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pivotTables/pivotTable1.xml" ContentType="application/vnd.openxmlformats-officedocument.spreadsheetml.pivot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tables/table60.xml" ContentType="application/vnd.openxmlformats-officedocument.spreadsheetml.table+xml"/>
  <Override PartName="/xl/comments2.xml" ContentType="application/vnd.openxmlformats-officedocument.spreadsheetml.comments+xml"/>
  <Override PartName="/xl/tables/table6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trlProps/ctrlProp8.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62.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6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e0o02ed\Videos\Portafolio\"/>
    </mc:Choice>
  </mc:AlternateContent>
  <xr:revisionPtr revIDLastSave="0" documentId="13_ncr:1_{974D16B2-A60F-4DAE-B6E5-BB2DE47FE942}" xr6:coauthVersionLast="47" xr6:coauthVersionMax="47" xr10:uidLastSave="{00000000-0000-0000-0000-000000000000}"/>
  <bookViews>
    <workbookView showSheetTabs="0" xWindow="28680" yWindow="-120" windowWidth="29040" windowHeight="15720" firstSheet="8" activeTab="8" xr2:uid="{00000000-000D-0000-FFFF-FFFF00000000}"/>
  </bookViews>
  <sheets>
    <sheet name="CONTROL DEL CAMBIO" sheetId="18" r:id="rId1"/>
    <sheet name="Auxiliar" sheetId="5" r:id="rId2"/>
    <sheet name="Seleccion" sheetId="8" r:id="rId3"/>
    <sheet name="Bloqueados" sheetId="6" r:id="rId4"/>
    <sheet name="Hoja3" sheetId="12" state="hidden" r:id="rId5"/>
    <sheet name="EExtraños" sheetId="7" state="hidden" r:id="rId6"/>
    <sheet name="BD Maestra 130300932020- 2021" sheetId="3" state="hidden" r:id="rId7"/>
    <sheet name="Hoja2" sheetId="2" state="hidden" r:id="rId8"/>
    <sheet name="Ingresos" sheetId="9" r:id="rId9"/>
    <sheet name="Hoja5" sheetId="16" r:id="rId10"/>
    <sheet name="Informe" sheetId="10" r:id="rId11"/>
    <sheet name="Reporte" sheetId="11" r:id="rId12"/>
    <sheet name="Hoja1" sheetId="13" r:id="rId13"/>
    <sheet name="Hoja4" sheetId="15" r:id="rId14"/>
    <sheet name="Gesión" sheetId="14" r:id="rId15"/>
    <sheet name="Hoja6" sheetId="17" r:id="rId16"/>
  </sheets>
  <functionGroups builtInGroupCount="19"/>
  <externalReferences>
    <externalReference r:id="rId17"/>
    <externalReference r:id="rId18"/>
    <externalReference r:id="rId19"/>
    <externalReference r:id="rId20"/>
  </externalReferences>
  <definedNames>
    <definedName name="_xlnm._FilterDatabase" localSheetId="6" hidden="1">'BD Maestra 130300932020- 2021'!$A$270:$AA$271</definedName>
    <definedName name="a" localSheetId="0">#REF!</definedName>
    <definedName name="a">#REF!</definedName>
    <definedName name="Año_2017">[1]Plan!$E$4:$NE$4</definedName>
    <definedName name="_xlnm.Print_Area" localSheetId="10">Informe!$A$1:$D$36</definedName>
    <definedName name="_xlnm.Print_Area" localSheetId="8">Ingresos!$D$1:$J$7</definedName>
    <definedName name="_xlnm.Print_Area" localSheetId="11">Reporte!$A$1:$S$69</definedName>
    <definedName name="Base" localSheetId="0">#REF!</definedName>
    <definedName name="Base">#REF!</definedName>
    <definedName name="BDPV" localSheetId="0">#REF!</definedName>
    <definedName name="BDPV">#REF!</definedName>
    <definedName name="Bodega_P5" localSheetId="0">#REF!</definedName>
    <definedName name="Bodega_P5">#REF!</definedName>
    <definedName name="codigos_en_LMP">[2]LMP!$C$1:$BL$1</definedName>
    <definedName name="Fecha_Molida">[3]Molida!$D$2:$ABF$2</definedName>
    <definedName name="Fecha_Resumen">[3]Resumen!$D$3:$ABF$3</definedName>
    <definedName name="Fecha_Variedades">'[3]Alb-Hamb'!$D$2:$ABF$2</definedName>
    <definedName name="gaby" localSheetId="0">#REF!</definedName>
    <definedName name="gaby">#REF!</definedName>
    <definedName name="ggg" localSheetId="0">#REF!</definedName>
    <definedName name="ggg">#REF!</definedName>
    <definedName name="Imag" localSheetId="10">Informe!$G$6</definedName>
    <definedName name="item_variedades">'[3]Alb-Hamb'!$B$3:$ABF$11</definedName>
    <definedName name="items_Molida">[3]Molida!$B$3:$ABF$21</definedName>
    <definedName name="LMP_1">[1]LMP!$D$4:$BA$4</definedName>
    <definedName name="LMP_2">[1]LMP!$B$6:$B$59</definedName>
    <definedName name="lo" localSheetId="0">#REF!</definedName>
    <definedName name="lo">#REF!</definedName>
    <definedName name="Logo" localSheetId="0">INDIRECT([4]Informe!$F$6)</definedName>
    <definedName name="Logo">INDIRECT(Informe!$F$6)</definedName>
    <definedName name="Maestro_1">[3]Maestro!$B$2:$I$262</definedName>
    <definedName name="Maestro_2">[3]Maestro_2!$A$2:$J$84</definedName>
    <definedName name="Maestro_3">[1]Maestro!$C$4:$O$53</definedName>
    <definedName name="may" localSheetId="0">Mayo</definedName>
    <definedName name="may">Mayo</definedName>
    <definedName name="MESA" localSheetId="0">#REF!</definedName>
    <definedName name="MESA">#REF!</definedName>
    <definedName name="MESES" localSheetId="0">#REF!</definedName>
    <definedName name="MESES">#REF!</definedName>
    <definedName name="NativeTimeline_Fecha">#N/A</definedName>
    <definedName name="oppooo" localSheetId="0">#REF!</definedName>
    <definedName name="oppooo">#REF!</definedName>
    <definedName name="P_Bolleria" localSheetId="0">[4]!Productos_B[[#All],[P_Bollería]]</definedName>
    <definedName name="P_Bolleria">Productos_B[[#All],[P_Bollería]]</definedName>
    <definedName name="P_Bollería" localSheetId="0">[4]!Productos_B[[#All],[P_Bollería]]</definedName>
    <definedName name="P_Bollería">Productos_B[[#All],[P_Bollería]]</definedName>
    <definedName name="Plan_1">[1]Plan!$E$4:$ABF$1016</definedName>
    <definedName name="Plan_1_P5">'[3]Plan P5'!$E$3:$ABG$1375</definedName>
    <definedName name="Plan_1_P6">'[3]Plan P6'!$E$3:$ABQ$1352</definedName>
    <definedName name="Plan_2">[1]Plan!$C$4:$C$1016</definedName>
    <definedName name="Plan_2_P5">'[3]Plan P5'!$C$3:$C$1375</definedName>
    <definedName name="Plan_2_P6">'[3]Plan P6'!$C$3:$C$1352</definedName>
    <definedName name="Plan_3">[1]Plan!$E$3:$NE$997</definedName>
    <definedName name="Plan_4">[1]Plan!$E$4:$NE$997</definedName>
    <definedName name="Receta">[1]BBDD_Receta!$A$4:$H$279</definedName>
    <definedName name="Resumen">[3]Resumen!$B$3:$ABF$112</definedName>
    <definedName name="sss" localSheetId="0">#REF!</definedName>
    <definedName name="sss">#REF!</definedName>
    <definedName name="SUMAL4" localSheetId="0">#REF!</definedName>
    <definedName name="SUMAL4">#REF!</definedName>
  </definedNames>
  <calcPr calcId="191028" calcMode="autoNoTable"/>
  <pivotCaches>
    <pivotCache cacheId="0" r:id="rId21"/>
    <pivotCache cacheId="1" r:id="rId22"/>
  </pivotCaches>
  <extLst>
    <ext xmlns:x14="http://schemas.microsoft.com/office/spreadsheetml/2009/9/main" uri="{79F54976-1DA5-4618-B147-4CDE4B953A38}">
      <x14:workbookPr defaultImageDpi="330"/>
    </ext>
    <ext xmlns:x15="http://schemas.microsoft.com/office/spreadsheetml/2010/11/main" uri="{D0CA8CA8-9F24-4464-BF8E-62219DCF47F9}">
      <x15:timelineCacheRefs>
        <x15:timelineCacheRef r:id="rId2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9" i="13" l="1"/>
  <c r="J2" i="14" a="1"/>
  <c r="J2" i="14" s="1"/>
  <c r="D28" i="13" l="1"/>
  <c r="D27" i="13" l="1"/>
  <c r="AP78" i="6"/>
  <c r="AP79" i="6"/>
  <c r="AP80" i="6"/>
  <c r="AP81" i="6"/>
  <c r="AP82" i="6"/>
  <c r="AP83" i="6"/>
  <c r="AP84" i="6"/>
  <c r="AP85" i="6"/>
  <c r="AP86" i="6"/>
  <c r="AP87" i="6"/>
  <c r="AP88" i="6"/>
  <c r="AP89" i="6"/>
  <c r="AP90" i="6"/>
  <c r="AP91" i="6"/>
  <c r="AP92" i="6"/>
  <c r="AP93" i="6"/>
  <c r="AP94" i="6"/>
  <c r="AP95" i="6"/>
  <c r="AP96" i="6"/>
  <c r="AP97" i="6"/>
  <c r="AP98" i="6"/>
  <c r="AP99" i="6"/>
  <c r="AP100" i="6"/>
  <c r="AP101" i="6"/>
  <c r="AP102" i="6"/>
  <c r="AP103" i="6"/>
  <c r="AP104" i="6"/>
  <c r="AP105" i="6"/>
  <c r="AP106" i="6"/>
  <c r="AP107" i="6"/>
  <c r="AP108" i="6"/>
  <c r="AP109" i="6"/>
  <c r="AP110" i="6"/>
  <c r="AP111" i="6"/>
  <c r="AP112" i="6"/>
  <c r="AP113" i="6"/>
  <c r="AP114" i="6"/>
  <c r="AP115" i="6"/>
  <c r="AP116" i="6"/>
  <c r="AP117" i="6"/>
  <c r="AP118" i="6"/>
  <c r="AP119" i="6"/>
  <c r="AP120" i="6"/>
  <c r="AP121" i="6"/>
  <c r="AP122" i="6"/>
  <c r="AP123" i="6"/>
  <c r="AP124" i="6"/>
  <c r="AP125" i="6"/>
  <c r="AP126" i="6"/>
  <c r="AP127" i="6"/>
  <c r="AP128" i="6"/>
  <c r="AP129" i="6"/>
  <c r="AP130" i="6"/>
  <c r="AP131" i="6"/>
  <c r="AP132" i="6"/>
  <c r="AP133" i="6"/>
  <c r="AP134" i="6"/>
  <c r="AP135" i="6"/>
  <c r="AP136" i="6"/>
  <c r="AP137" i="6"/>
  <c r="AP138" i="6"/>
  <c r="AP139" i="6"/>
  <c r="AP140" i="6"/>
  <c r="AP141" i="6"/>
  <c r="AP142" i="6"/>
  <c r="AP143" i="6"/>
  <c r="AP144" i="6"/>
  <c r="AP145" i="6"/>
  <c r="AP146" i="6"/>
  <c r="AP147" i="6"/>
  <c r="AP148" i="6"/>
  <c r="AP149" i="6"/>
  <c r="AP150" i="6"/>
  <c r="AP151" i="6"/>
  <c r="AP152" i="6"/>
  <c r="AP153" i="6"/>
  <c r="AP154" i="6"/>
  <c r="AP155" i="6"/>
  <c r="AP156" i="6"/>
  <c r="AP157" i="6"/>
  <c r="AP158" i="6"/>
  <c r="AP159" i="6"/>
  <c r="AP160" i="6"/>
  <c r="AP161" i="6"/>
  <c r="AP162" i="6"/>
  <c r="AP163" i="6"/>
  <c r="AP164" i="6"/>
  <c r="AP165" i="6"/>
  <c r="AP166" i="6"/>
  <c r="AP167" i="6"/>
  <c r="AP168" i="6"/>
  <c r="AP169" i="6"/>
  <c r="AP170" i="6"/>
  <c r="AP171" i="6"/>
  <c r="AP172" i="6"/>
  <c r="AP173" i="6"/>
  <c r="AP174" i="6"/>
  <c r="AP175" i="6"/>
  <c r="AP176" i="6"/>
  <c r="AP177" i="6"/>
  <c r="AP178" i="6"/>
  <c r="AP179" i="6"/>
  <c r="AP180" i="6"/>
  <c r="AP181" i="6"/>
  <c r="AP182" i="6"/>
  <c r="AP183" i="6"/>
  <c r="AP184" i="6"/>
  <c r="AP185" i="6"/>
  <c r="AP186" i="6"/>
  <c r="AP187" i="6"/>
  <c r="AP188" i="6"/>
  <c r="AP189" i="6"/>
  <c r="AP190" i="6"/>
  <c r="AP191" i="6"/>
  <c r="AP192" i="6"/>
  <c r="AP193" i="6"/>
  <c r="AP194" i="6"/>
  <c r="AP195" i="6"/>
  <c r="AP196" i="6"/>
  <c r="AP197" i="6"/>
  <c r="AP198" i="6"/>
  <c r="AP199" i="6"/>
  <c r="AP200" i="6"/>
  <c r="AP201" i="6"/>
  <c r="AP202" i="6"/>
  <c r="AP203" i="6"/>
  <c r="AP204" i="6"/>
  <c r="AP205" i="6"/>
  <c r="AP206" i="6"/>
  <c r="AP207" i="6"/>
  <c r="AP208" i="6"/>
  <c r="AP209" i="6"/>
  <c r="AP210" i="6"/>
  <c r="AP211" i="6"/>
  <c r="AP212" i="6"/>
  <c r="AP213" i="6"/>
  <c r="AP214" i="6"/>
  <c r="AP215" i="6"/>
  <c r="AP216" i="6"/>
  <c r="AP217" i="6"/>
  <c r="AP218" i="6"/>
  <c r="AP219" i="6"/>
  <c r="AP220" i="6"/>
  <c r="AP221" i="6"/>
  <c r="AP222" i="6"/>
  <c r="AP223" i="6"/>
  <c r="AP224" i="6"/>
  <c r="AP225" i="6"/>
  <c r="AP226" i="6"/>
  <c r="AP227" i="6"/>
  <c r="AP228" i="6"/>
  <c r="AP229" i="6"/>
  <c r="AP230" i="6"/>
  <c r="AP231" i="6"/>
  <c r="AP232" i="6"/>
  <c r="AP233" i="6"/>
  <c r="AP234" i="6"/>
  <c r="AP235" i="6"/>
  <c r="AP236" i="6"/>
  <c r="AP237" i="6"/>
  <c r="AP238" i="6"/>
  <c r="AP239" i="6"/>
  <c r="AP240" i="6"/>
  <c r="AP241" i="6"/>
  <c r="AP242" i="6"/>
  <c r="AP243" i="6"/>
  <c r="AP244" i="6"/>
  <c r="AP245" i="6"/>
  <c r="AP246" i="6"/>
  <c r="AP247" i="6"/>
  <c r="AP248" i="6"/>
  <c r="AP249" i="6"/>
  <c r="AP250" i="6"/>
  <c r="AP251" i="6"/>
  <c r="AP252" i="6"/>
  <c r="AP253" i="6"/>
  <c r="AP254" i="6"/>
  <c r="AP255" i="6"/>
  <c r="AP256" i="6"/>
  <c r="AP257" i="6"/>
  <c r="AP258" i="6"/>
  <c r="AP259" i="6"/>
  <c r="AP260" i="6"/>
  <c r="AP261" i="6"/>
  <c r="AP262" i="6"/>
  <c r="AP263" i="6"/>
  <c r="AP264" i="6"/>
  <c r="AP265" i="6"/>
  <c r="AP266" i="6"/>
  <c r="AP267" i="6"/>
  <c r="AP268" i="6"/>
  <c r="AP269" i="6"/>
  <c r="AP270" i="6"/>
  <c r="AP271" i="6"/>
  <c r="AP272" i="6"/>
  <c r="AP273" i="6"/>
  <c r="AP274" i="6"/>
  <c r="AP275" i="6"/>
  <c r="AP276" i="6"/>
  <c r="AP277" i="6"/>
  <c r="AP278" i="6"/>
  <c r="AP279" i="6"/>
  <c r="AP280" i="6"/>
  <c r="AP281" i="6"/>
  <c r="AP282" i="6"/>
  <c r="AP283" i="6"/>
  <c r="AP284" i="6"/>
  <c r="AP285" i="6"/>
  <c r="AP286" i="6"/>
  <c r="AP287" i="6"/>
  <c r="AP288" i="6"/>
  <c r="AP289" i="6"/>
  <c r="AP290" i="6"/>
  <c r="AP291" i="6"/>
  <c r="AP292" i="6"/>
  <c r="AP293" i="6"/>
  <c r="AP294" i="6"/>
  <c r="AP295" i="6"/>
  <c r="AP296" i="6"/>
  <c r="AP297" i="6"/>
  <c r="AP298" i="6"/>
  <c r="AP299" i="6"/>
  <c r="AP300" i="6"/>
  <c r="AP301" i="6"/>
  <c r="AP302" i="6"/>
  <c r="AP303" i="6"/>
  <c r="AP304" i="6"/>
  <c r="AP305" i="6"/>
  <c r="AP306" i="6"/>
  <c r="AP307" i="6"/>
  <c r="AP308" i="6"/>
  <c r="AP309" i="6"/>
  <c r="AP310" i="6"/>
  <c r="AP311" i="6"/>
  <c r="AP312" i="6"/>
  <c r="AP313" i="6"/>
  <c r="AP314" i="6"/>
  <c r="AP315" i="6"/>
  <c r="AP316" i="6"/>
  <c r="AP317" i="6"/>
  <c r="AP318" i="6"/>
  <c r="AP319" i="6"/>
  <c r="AP320" i="6"/>
  <c r="AP321" i="6"/>
  <c r="AP322" i="6"/>
  <c r="AP323" i="6"/>
  <c r="AP324" i="6"/>
  <c r="AP325" i="6"/>
  <c r="AP326" i="6"/>
  <c r="AP327" i="6"/>
  <c r="AP328" i="6"/>
  <c r="AP329" i="6"/>
  <c r="AP330" i="6"/>
  <c r="AP331" i="6"/>
  <c r="AP332" i="6"/>
  <c r="AP333" i="6"/>
  <c r="AP334" i="6"/>
  <c r="AP335" i="6"/>
  <c r="AP336" i="6"/>
  <c r="AP337" i="6"/>
  <c r="AP338" i="6"/>
  <c r="AP339" i="6"/>
  <c r="AP340" i="6"/>
  <c r="AP341" i="6"/>
  <c r="AP342" i="6"/>
  <c r="AP343" i="6"/>
  <c r="AP344" i="6"/>
  <c r="AP345" i="6"/>
  <c r="AP346" i="6"/>
  <c r="AP347" i="6"/>
  <c r="AP348" i="6"/>
  <c r="AP349" i="6"/>
  <c r="AP350" i="6"/>
  <c r="AP351" i="6"/>
  <c r="AP352" i="6"/>
  <c r="AP353" i="6"/>
  <c r="AP354" i="6"/>
  <c r="AP355" i="6"/>
  <c r="AP356" i="6"/>
  <c r="AP357" i="6"/>
  <c r="AP358" i="6"/>
  <c r="AP359" i="6"/>
  <c r="AP360" i="6"/>
  <c r="AP361" i="6"/>
  <c r="AP362" i="6"/>
  <c r="AP363" i="6"/>
  <c r="AP364" i="6"/>
  <c r="AP365" i="6"/>
  <c r="AP366" i="6"/>
  <c r="AP367" i="6"/>
  <c r="AP368" i="6"/>
  <c r="AP369" i="6"/>
  <c r="AP370" i="6"/>
  <c r="AP371" i="6"/>
  <c r="AP372" i="6"/>
  <c r="AP373" i="6"/>
  <c r="AP374" i="6"/>
  <c r="AP375" i="6"/>
  <c r="AP376" i="6"/>
  <c r="AP377" i="6"/>
  <c r="AP378" i="6"/>
  <c r="AP379" i="6"/>
  <c r="AP380" i="6"/>
  <c r="AP381" i="6"/>
  <c r="AP382" i="6"/>
  <c r="AP383" i="6"/>
  <c r="AP384" i="6"/>
  <c r="AP385" i="6"/>
  <c r="AP386" i="6"/>
  <c r="AP387" i="6"/>
  <c r="AP388" i="6"/>
  <c r="AP389" i="6"/>
  <c r="AP390" i="6"/>
  <c r="AP391" i="6"/>
  <c r="AP392" i="6"/>
  <c r="AP393" i="6"/>
  <c r="AP394" i="6"/>
  <c r="AP395" i="6"/>
  <c r="AP396" i="6"/>
  <c r="AP397" i="6"/>
  <c r="AP398" i="6"/>
  <c r="AP399" i="6"/>
  <c r="AP400" i="6"/>
  <c r="AP401" i="6"/>
  <c r="AP402" i="6"/>
  <c r="AP403" i="6"/>
  <c r="AP404" i="6"/>
  <c r="AP405" i="6"/>
  <c r="AP406" i="6"/>
  <c r="AP407" i="6"/>
  <c r="AP408" i="6"/>
  <c r="AP409" i="6"/>
  <c r="AP410" i="6"/>
  <c r="AP411" i="6"/>
  <c r="AP412" i="6"/>
  <c r="AP413" i="6"/>
  <c r="AP414" i="6"/>
  <c r="AP415" i="6"/>
  <c r="AP416" i="6"/>
  <c r="AP417" i="6"/>
  <c r="AP418" i="6"/>
  <c r="AP419" i="6"/>
  <c r="AP420" i="6"/>
  <c r="AP421" i="6"/>
  <c r="AP422" i="6"/>
  <c r="AP423" i="6"/>
  <c r="AP424" i="6"/>
  <c r="AP425" i="6"/>
  <c r="AP426" i="6"/>
  <c r="AP427" i="6"/>
  <c r="AP428" i="6"/>
  <c r="AP429" i="6"/>
  <c r="AP430" i="6"/>
  <c r="AP431" i="6"/>
  <c r="AP432" i="6"/>
  <c r="AP433" i="6"/>
  <c r="AP434" i="6"/>
  <c r="AP435" i="6"/>
  <c r="AP436" i="6"/>
  <c r="AP437" i="6"/>
  <c r="AP438" i="6"/>
  <c r="AP439" i="6"/>
  <c r="AP440" i="6"/>
  <c r="AP441" i="6"/>
  <c r="AP442" i="6"/>
  <c r="AP443" i="6"/>
  <c r="AP444" i="6"/>
  <c r="AP445" i="6"/>
  <c r="AP446" i="6"/>
  <c r="AP447" i="6"/>
  <c r="AP448" i="6"/>
  <c r="AP449" i="6"/>
  <c r="AP450" i="6"/>
  <c r="AP451" i="6"/>
  <c r="AP452" i="6"/>
  <c r="AP453" i="6"/>
  <c r="AP454" i="6"/>
  <c r="AP455" i="6"/>
  <c r="AP456" i="6"/>
  <c r="AP457" i="6"/>
  <c r="AP458" i="6"/>
  <c r="AP459" i="6"/>
  <c r="AP460" i="6"/>
  <c r="AP461" i="6"/>
  <c r="AP462" i="6"/>
  <c r="AP463" i="6"/>
  <c r="AP464" i="6"/>
  <c r="AP465" i="6"/>
  <c r="AP466" i="6"/>
  <c r="AP467" i="6"/>
  <c r="AP468" i="6"/>
  <c r="AP469" i="6"/>
  <c r="AP470" i="6"/>
  <c r="AP471" i="6"/>
  <c r="AP472" i="6"/>
  <c r="AP473" i="6"/>
  <c r="AP474" i="6"/>
  <c r="AP475" i="6"/>
  <c r="AP476" i="6"/>
  <c r="AP477" i="6"/>
  <c r="AP478" i="6"/>
  <c r="AP479" i="6"/>
  <c r="AP480" i="6"/>
  <c r="AP481" i="6"/>
  <c r="AP482" i="6"/>
  <c r="AP483" i="6"/>
  <c r="AP484" i="6"/>
  <c r="AP485" i="6"/>
  <c r="AP486" i="6"/>
  <c r="AP487" i="6"/>
  <c r="AP488" i="6"/>
  <c r="AP489" i="6"/>
  <c r="AP490" i="6"/>
  <c r="AP491" i="6"/>
  <c r="AP492" i="6"/>
  <c r="AP493" i="6"/>
  <c r="AP494" i="6"/>
  <c r="AP495" i="6"/>
  <c r="AP496" i="6"/>
  <c r="AP497" i="6"/>
  <c r="AP498" i="6"/>
  <c r="AP499" i="6"/>
  <c r="AP500" i="6"/>
  <c r="AP501" i="6"/>
  <c r="AP502" i="6"/>
  <c r="AP503" i="6"/>
  <c r="AP504" i="6"/>
  <c r="AP505" i="6"/>
  <c r="AP506" i="6"/>
  <c r="AP507" i="6"/>
  <c r="AP508" i="6"/>
  <c r="AP509" i="6"/>
  <c r="AP510" i="6"/>
  <c r="AP511" i="6"/>
  <c r="AP512" i="6"/>
  <c r="AP513" i="6"/>
  <c r="AP514" i="6"/>
  <c r="AP515" i="6"/>
  <c r="AP516" i="6"/>
  <c r="AP517" i="6"/>
  <c r="AP518" i="6"/>
  <c r="AP519" i="6"/>
  <c r="AP520" i="6"/>
  <c r="AP521" i="6"/>
  <c r="AP522" i="6"/>
  <c r="AP523" i="6"/>
  <c r="AP524" i="6"/>
  <c r="AP525" i="6"/>
  <c r="AP526" i="6"/>
  <c r="AP527" i="6"/>
  <c r="AP528" i="6"/>
  <c r="AP529" i="6"/>
  <c r="AP530" i="6"/>
  <c r="AP531" i="6"/>
  <c r="AP532" i="6"/>
  <c r="AP533" i="6"/>
  <c r="AP534" i="6"/>
  <c r="AP535" i="6"/>
  <c r="AP536" i="6"/>
  <c r="AP537" i="6"/>
  <c r="AP538" i="6"/>
  <c r="AP539" i="6"/>
  <c r="AP540" i="6"/>
  <c r="AP541" i="6"/>
  <c r="AP542" i="6"/>
  <c r="AP543" i="6"/>
  <c r="AP544" i="6"/>
  <c r="AP545" i="6"/>
  <c r="AP546" i="6"/>
  <c r="AP547" i="6"/>
  <c r="AP548" i="6"/>
  <c r="AP549" i="6"/>
  <c r="AP550" i="6"/>
  <c r="AP551" i="6"/>
  <c r="AP552" i="6"/>
  <c r="AP553" i="6"/>
  <c r="AP554" i="6"/>
  <c r="AP555" i="6"/>
  <c r="AP556" i="6"/>
  <c r="AP557" i="6"/>
  <c r="AP558" i="6"/>
  <c r="AP559" i="6"/>
  <c r="AP560" i="6"/>
  <c r="AP561" i="6"/>
  <c r="AP562" i="6"/>
  <c r="AP563" i="6"/>
  <c r="AP564" i="6"/>
  <c r="AP565" i="6"/>
  <c r="AP566" i="6"/>
  <c r="AP567" i="6"/>
  <c r="AP568" i="6"/>
  <c r="AP569" i="6"/>
  <c r="AP570" i="6"/>
  <c r="AP571" i="6"/>
  <c r="AP572" i="6"/>
  <c r="AP573" i="6"/>
  <c r="AP574" i="6"/>
  <c r="AP575" i="6"/>
  <c r="AP576" i="6"/>
  <c r="AP577" i="6"/>
  <c r="AP578" i="6"/>
  <c r="AP579" i="6"/>
  <c r="AP580" i="6"/>
  <c r="AP581" i="6"/>
  <c r="AP582" i="6"/>
  <c r="AP583" i="6"/>
  <c r="AP584" i="6"/>
  <c r="AP585" i="6"/>
  <c r="AP586" i="6"/>
  <c r="AP587" i="6"/>
  <c r="AP588" i="6"/>
  <c r="AP589" i="6"/>
  <c r="AP590" i="6"/>
  <c r="AP591" i="6"/>
  <c r="AP592" i="6"/>
  <c r="AP593" i="6"/>
  <c r="AP594" i="6"/>
  <c r="AP595" i="6"/>
  <c r="AP596" i="6"/>
  <c r="AP597" i="6"/>
  <c r="AP598" i="6"/>
  <c r="AP599" i="6"/>
  <c r="AP600" i="6"/>
  <c r="AP601" i="6"/>
  <c r="AP602" i="6"/>
  <c r="AP603" i="6"/>
  <c r="AP604" i="6"/>
  <c r="AP605" i="6"/>
  <c r="AP606" i="6"/>
  <c r="AP607" i="6"/>
  <c r="AP608" i="6"/>
  <c r="AP609" i="6"/>
  <c r="AP610" i="6"/>
  <c r="AP611" i="6"/>
  <c r="AP612" i="6"/>
  <c r="AP613" i="6"/>
  <c r="AP614" i="6"/>
  <c r="AP615" i="6"/>
  <c r="AP616" i="6"/>
  <c r="AP617" i="6"/>
  <c r="AP618" i="6"/>
  <c r="AP619" i="6"/>
  <c r="AP620" i="6"/>
  <c r="AP621" i="6"/>
  <c r="AP622" i="6"/>
  <c r="AP623" i="6"/>
  <c r="AP624" i="6"/>
  <c r="AP625" i="6"/>
  <c r="AP626" i="6"/>
  <c r="AP627" i="6"/>
  <c r="AP628" i="6"/>
  <c r="AP629" i="6"/>
  <c r="AP630" i="6"/>
  <c r="AP631" i="6"/>
  <c r="AP632" i="6"/>
  <c r="AP633" i="6"/>
  <c r="AP634" i="6"/>
  <c r="AP635" i="6"/>
  <c r="AP636" i="6"/>
  <c r="AP637" i="6"/>
  <c r="AP638" i="6"/>
  <c r="AP639" i="6"/>
  <c r="AP640" i="6"/>
  <c r="AP641" i="6"/>
  <c r="AP642" i="6"/>
  <c r="AP643" i="6"/>
  <c r="AP644" i="6"/>
  <c r="AP645" i="6"/>
  <c r="AP646" i="6"/>
  <c r="AP647" i="6"/>
  <c r="AP648" i="6"/>
  <c r="AP649" i="6"/>
  <c r="AP650" i="6"/>
  <c r="AP651" i="6"/>
  <c r="AP652" i="6"/>
  <c r="AP653" i="6"/>
  <c r="AP654" i="6"/>
  <c r="AP655" i="6"/>
  <c r="AP656" i="6"/>
  <c r="AP657" i="6"/>
  <c r="AP658" i="6"/>
  <c r="AP659" i="6"/>
  <c r="AP660" i="6"/>
  <c r="AP661" i="6"/>
  <c r="AP662" i="6"/>
  <c r="AP663" i="6"/>
  <c r="AP664" i="6"/>
  <c r="AP665" i="6"/>
  <c r="AP666" i="6"/>
  <c r="AP667" i="6"/>
  <c r="AP668" i="6"/>
  <c r="AP669" i="6"/>
  <c r="AP670" i="6"/>
  <c r="AP671" i="6"/>
  <c r="AP672" i="6"/>
  <c r="AP673" i="6"/>
  <c r="AP674" i="6"/>
  <c r="AP77" i="6"/>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K151" i="8"/>
  <c r="K152" i="8"/>
  <c r="K153" i="8"/>
  <c r="K154" i="8"/>
  <c r="K155" i="8"/>
  <c r="K156" i="8"/>
  <c r="K157" i="8"/>
  <c r="K158" i="8"/>
  <c r="K159" i="8"/>
  <c r="K160" i="8"/>
  <c r="K161" i="8"/>
  <c r="K162" i="8"/>
  <c r="K163" i="8"/>
  <c r="K164" i="8"/>
  <c r="K165" i="8"/>
  <c r="K166" i="8"/>
  <c r="K167" i="8"/>
  <c r="K168" i="8"/>
  <c r="K169" i="8"/>
  <c r="K170" i="8"/>
  <c r="K171" i="8"/>
  <c r="K172" i="8"/>
  <c r="K173" i="8"/>
  <c r="K174" i="8"/>
  <c r="K175" i="8"/>
  <c r="K176" i="8"/>
  <c r="K177" i="8"/>
  <c r="K178" i="8"/>
  <c r="K179" i="8"/>
  <c r="K180" i="8"/>
  <c r="K181" i="8"/>
  <c r="K182" i="8"/>
  <c r="K183" i="8"/>
  <c r="K184" i="8"/>
  <c r="K185" i="8"/>
  <c r="K186" i="8"/>
  <c r="K187" i="8"/>
  <c r="K188" i="8"/>
  <c r="K189" i="8"/>
  <c r="K190" i="8"/>
  <c r="K191" i="8"/>
  <c r="K192" i="8"/>
  <c r="K193" i="8"/>
  <c r="K194" i="8"/>
  <c r="K195" i="8"/>
  <c r="K196" i="8"/>
  <c r="K197" i="8"/>
  <c r="K198" i="8"/>
  <c r="K199" i="8"/>
  <c r="K200" i="8"/>
  <c r="K201" i="8"/>
  <c r="K202" i="8"/>
  <c r="K203" i="8"/>
  <c r="K204" i="8"/>
  <c r="K205" i="8"/>
  <c r="K206" i="8"/>
  <c r="K207" i="8"/>
  <c r="K208" i="8"/>
  <c r="K209" i="8"/>
  <c r="K210" i="8"/>
  <c r="K211" i="8"/>
  <c r="K212" i="8"/>
  <c r="K213" i="8"/>
  <c r="K214" i="8"/>
  <c r="K215" i="8"/>
  <c r="K216" i="8"/>
  <c r="K217" i="8"/>
  <c r="K218" i="8"/>
  <c r="K219" i="8"/>
  <c r="K220" i="8"/>
  <c r="K221" i="8"/>
  <c r="K222" i="8"/>
  <c r="K223" i="8"/>
  <c r="K224" i="8"/>
  <c r="K225" i="8"/>
  <c r="K226" i="8"/>
  <c r="K227" i="8"/>
  <c r="K228" i="8"/>
  <c r="K229" i="8"/>
  <c r="K230" i="8"/>
  <c r="K231" i="8"/>
  <c r="K232" i="8"/>
  <c r="K233" i="8"/>
  <c r="K234" i="8"/>
  <c r="K235" i="8"/>
  <c r="K236" i="8"/>
  <c r="K237" i="8"/>
  <c r="K238" i="8"/>
  <c r="K239" i="8"/>
  <c r="K240" i="8"/>
  <c r="K241" i="8"/>
  <c r="K242" i="8"/>
  <c r="K243" i="8"/>
  <c r="K244" i="8"/>
  <c r="K245" i="8"/>
  <c r="K246" i="8"/>
  <c r="K247" i="8"/>
  <c r="K248" i="8"/>
  <c r="K249" i="8"/>
  <c r="K250" i="8"/>
  <c r="K251" i="8"/>
  <c r="K252" i="8"/>
  <c r="K253" i="8"/>
  <c r="K254" i="8"/>
  <c r="K255" i="8"/>
  <c r="K256" i="8"/>
  <c r="K257" i="8"/>
  <c r="K258" i="8"/>
  <c r="K259" i="8"/>
  <c r="K260" i="8"/>
  <c r="K261" i="8"/>
  <c r="K262" i="8"/>
  <c r="K263" i="8"/>
  <c r="K264" i="8"/>
  <c r="K265" i="8"/>
  <c r="K266" i="8"/>
  <c r="K267" i="8"/>
  <c r="K268" i="8"/>
  <c r="K269" i="8"/>
  <c r="K270" i="8"/>
  <c r="K271" i="8"/>
  <c r="K272" i="8"/>
  <c r="K273" i="8"/>
  <c r="K274" i="8"/>
  <c r="K275" i="8"/>
  <c r="K276" i="8"/>
  <c r="K277" i="8"/>
  <c r="K278" i="8"/>
  <c r="K279" i="8"/>
  <c r="K280" i="8"/>
  <c r="K281" i="8"/>
  <c r="K282" i="8"/>
  <c r="K283" i="8"/>
  <c r="K284" i="8"/>
  <c r="K285" i="8"/>
  <c r="K286" i="8"/>
  <c r="K287" i="8"/>
  <c r="K288" i="8"/>
  <c r="K289" i="8"/>
  <c r="K290" i="8"/>
  <c r="K291" i="8"/>
  <c r="K292" i="8"/>
  <c r="K293" i="8"/>
  <c r="K294" i="8"/>
  <c r="K295" i="8"/>
  <c r="K296" i="8"/>
  <c r="K297" i="8"/>
  <c r="K298" i="8"/>
  <c r="K299" i="8"/>
  <c r="K300" i="8"/>
  <c r="K301" i="8"/>
  <c r="K302" i="8"/>
  <c r="K303" i="8"/>
  <c r="K304" i="8"/>
  <c r="K305" i="8"/>
  <c r="K306" i="8"/>
  <c r="K307" i="8"/>
  <c r="K308" i="8"/>
  <c r="K309" i="8"/>
  <c r="K310" i="8"/>
  <c r="K311" i="8"/>
  <c r="K312" i="8"/>
  <c r="K313" i="8"/>
  <c r="K314" i="8"/>
  <c r="K315" i="8"/>
  <c r="K316" i="8"/>
  <c r="K317" i="8"/>
  <c r="K318" i="8"/>
  <c r="K319" i="8"/>
  <c r="K320" i="8"/>
  <c r="K321" i="8"/>
  <c r="K322" i="8"/>
  <c r="K323" i="8"/>
  <c r="K324" i="8"/>
  <c r="K325" i="8"/>
  <c r="K326" i="8"/>
  <c r="K327" i="8"/>
  <c r="K328" i="8"/>
  <c r="K329" i="8"/>
  <c r="K330" i="8"/>
  <c r="K331" i="8"/>
  <c r="K332" i="8"/>
  <c r="K333" i="8"/>
  <c r="K334" i="8"/>
  <c r="K335" i="8"/>
  <c r="K336" i="8"/>
  <c r="K337" i="8"/>
  <c r="K338" i="8"/>
  <c r="K339" i="8"/>
  <c r="K340" i="8"/>
  <c r="K341" i="8"/>
  <c r="K342" i="8"/>
  <c r="K343" i="8"/>
  <c r="K344" i="8"/>
  <c r="K345" i="8"/>
  <c r="K346" i="8"/>
  <c r="K347" i="8"/>
  <c r="K348" i="8"/>
  <c r="K349" i="8"/>
  <c r="K350" i="8"/>
  <c r="K351" i="8"/>
  <c r="K352" i="8"/>
  <c r="K353" i="8"/>
  <c r="K354" i="8"/>
  <c r="K355" i="8"/>
  <c r="K356" i="8"/>
  <c r="K357" i="8"/>
  <c r="K358" i="8"/>
  <c r="K359" i="8"/>
  <c r="K360" i="8"/>
  <c r="K361" i="8"/>
  <c r="K362" i="8"/>
  <c r="K363" i="8"/>
  <c r="K364" i="8"/>
  <c r="K365" i="8"/>
  <c r="K366" i="8"/>
  <c r="K367" i="8"/>
  <c r="K368" i="8"/>
  <c r="K369" i="8"/>
  <c r="K370" i="8"/>
  <c r="K371" i="8"/>
  <c r="K372" i="8"/>
  <c r="K373" i="8"/>
  <c r="K374" i="8"/>
  <c r="K375" i="8"/>
  <c r="K376" i="8"/>
  <c r="K377" i="8"/>
  <c r="K378" i="8"/>
  <c r="K379" i="8"/>
  <c r="K380" i="8"/>
  <c r="K381" i="8"/>
  <c r="K382" i="8"/>
  <c r="K383" i="8"/>
  <c r="K384" i="8"/>
  <c r="K385" i="8"/>
  <c r="K386" i="8"/>
  <c r="K387" i="8"/>
  <c r="K388" i="8"/>
  <c r="K389" i="8"/>
  <c r="K390" i="8"/>
  <c r="K391" i="8"/>
  <c r="K392" i="8"/>
  <c r="K393" i="8"/>
  <c r="K394" i="8"/>
  <c r="K395" i="8"/>
  <c r="K396" i="8"/>
  <c r="K397" i="8"/>
  <c r="K398" i="8"/>
  <c r="K399" i="8"/>
  <c r="K400" i="8"/>
  <c r="K401" i="8"/>
  <c r="K402" i="8"/>
  <c r="K403" i="8"/>
  <c r="K404" i="8"/>
  <c r="K405" i="8"/>
  <c r="K406" i="8"/>
  <c r="K407" i="8"/>
  <c r="K408" i="8"/>
  <c r="K409" i="8"/>
  <c r="K410" i="8"/>
  <c r="K411" i="8"/>
  <c r="K412" i="8"/>
  <c r="K413" i="8"/>
  <c r="K414" i="8"/>
  <c r="K415" i="8"/>
  <c r="K416" i="8"/>
  <c r="K417" i="8"/>
  <c r="K418" i="8"/>
  <c r="K419" i="8"/>
  <c r="K420" i="8"/>
  <c r="K421" i="8"/>
  <c r="K422" i="8"/>
  <c r="K423" i="8"/>
  <c r="K424" i="8"/>
  <c r="K425" i="8"/>
  <c r="K426" i="8"/>
  <c r="K427" i="8"/>
  <c r="K428" i="8"/>
  <c r="K429" i="8"/>
  <c r="K430" i="8"/>
  <c r="K431" i="8"/>
  <c r="K432" i="8"/>
  <c r="K433" i="8"/>
  <c r="K434" i="8"/>
  <c r="K435" i="8"/>
  <c r="K436" i="8"/>
  <c r="K12" i="8"/>
  <c r="C28" i="14" a="1"/>
  <c r="C28" i="14" s="1"/>
  <c r="Z367" i="6" l="1"/>
  <c r="D26" i="13" l="1"/>
  <c r="D25" i="13"/>
  <c r="D24" i="13"/>
  <c r="D22" i="13"/>
  <c r="J22" i="13"/>
  <c r="D2" i="13"/>
  <c r="D21" i="13" l="1"/>
  <c r="D20" i="13"/>
  <c r="D17" i="13"/>
  <c r="D18" i="13"/>
  <c r="D8" i="13"/>
  <c r="D16" i="13"/>
  <c r="D7" i="13"/>
  <c r="D13" i="13"/>
  <c r="D15" i="13"/>
  <c r="D14" i="13"/>
  <c r="F1" i="14" l="1"/>
  <c r="D28" i="14" a="1"/>
  <c r="E28" i="14" a="1"/>
  <c r="I2" i="14" l="1" a="1"/>
  <c r="I2" i="14" s="1"/>
  <c r="H2" i="14" a="1"/>
  <c r="H2" i="14" s="1"/>
  <c r="G2" i="14" a="1"/>
  <c r="B1" i="14" s="1"/>
  <c r="K2" i="14" a="1"/>
  <c r="K2" i="14" s="1"/>
  <c r="D28" i="14"/>
  <c r="E28" i="14"/>
  <c r="J12" i="8"/>
  <c r="J11" i="8"/>
  <c r="J10" i="8"/>
  <c r="J9" i="8"/>
  <c r="J8" i="8"/>
  <c r="J7" i="8"/>
  <c r="J6" i="8"/>
  <c r="J5" i="8"/>
  <c r="J4" i="8"/>
  <c r="J3" i="8"/>
  <c r="J2" i="8"/>
  <c r="Y600" i="6"/>
  <c r="Y615" i="6"/>
  <c r="D6" i="13" s="1"/>
  <c r="Y643" i="6"/>
  <c r="Y654" i="6"/>
  <c r="AD513" i="6"/>
  <c r="AD519" i="6"/>
  <c r="AI565" i="6"/>
  <c r="AF565" i="6"/>
  <c r="Y569" i="6"/>
  <c r="Y577" i="6"/>
  <c r="D23" i="13" s="1"/>
  <c r="AI584" i="6"/>
  <c r="AF584" i="6"/>
  <c r="AI585" i="6"/>
  <c r="AF585" i="6"/>
  <c r="Y585" i="6"/>
  <c r="D12" i="13" s="1"/>
  <c r="AI586" i="6"/>
  <c r="Y588" i="6"/>
  <c r="Y589" i="6"/>
  <c r="D3" i="13" l="1"/>
  <c r="D5" i="13"/>
  <c r="D11" i="13"/>
  <c r="D19" i="13"/>
  <c r="G2" i="14"/>
  <c r="D4" i="13"/>
  <c r="D10" i="13"/>
  <c r="D9" i="13"/>
  <c r="C10" i="14" l="1"/>
  <c r="A10" i="11"/>
  <c r="K1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tc={D4212AAB-6B9A-4D9C-BFD7-3594DAC40F50}</author>
    <author>tc={577F1FEA-6514-471F-8A3B-B08AE6F9AFE7}</author>
    <author>tc={624E7B69-8826-4CF2-91A6-6647D8595FC2}</author>
    <author>tc={2AEBBC54-A74C-4B42-A9EA-4DAE068C656D}</author>
  </authors>
  <commentList>
    <comment ref="H1" authorId="0" shapeId="0" xr:uid="{00000000-0006-0000-0100-00000100000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Esta columna está Relacionado con la Línea de proceso de la Columna B. No se insertó en esa tabla para no Modificar las configuraciones existente en el ambiente de VBA</t>
        </r>
      </text>
    </comment>
    <comment ref="Z1" authorId="1" shapeId="0" xr:uid="{00000000-0006-0000-0100-00000200000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NC de las Líneas de Panadería</t>
        </r>
      </text>
    </comment>
    <comment ref="AA1" authorId="2" shapeId="0" xr:uid="{00000000-0006-0000-0100-00000300000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NC para las Líneas de Pizza, Bollería y Empanadas</t>
        </r>
      </text>
    </comment>
    <comment ref="AB1" authorId="3" shapeId="0" xr:uid="{00000000-0006-0000-0100-00000400000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NC Disponibles para las Líneas de Despacho y Recepción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tc={C00C870A-0416-4D1D-AA69-C1199376BA27}</author>
  </authors>
  <commentList>
    <comment ref="X603" authorId="0" shapeId="0" xr:uid="{00000000-0006-0000-0200-00000100000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Como no se informó cantidad por parte de Producción el Film Quedó Bloqueado y no se emitió Reclamo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83C788-7CA0-41A1-BD5B-CCF5A4EF1C81}" keepAlive="1" name="Consulta - BD_Bloqueados" description="Conexión a la consulta 'BD_Bloqueados' en el libro." type="5" refreshedVersion="0" background="1">
    <dbPr connection="Provider=Microsoft.Mashup.OleDb.1;Data Source=$Workbook$;Location=BD_Bloqueados;Extended Properties=&quot;&quot;" command="SELECT * FROM [BD_Bloqueado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<sst xmlns="http://schemas.openxmlformats.org/spreadsheetml/2006/main" count="17973" uniqueCount="4820">
  <si>
    <t xml:space="preserve">REGISTRO </t>
  </si>
  <si>
    <t>Código</t>
  </si>
  <si>
    <t>R-ISO06-01</t>
  </si>
  <si>
    <t xml:space="preserve">Versión </t>
  </si>
  <si>
    <t>BD Maestra deBloqueos</t>
  </si>
  <si>
    <t>Fecha</t>
  </si>
  <si>
    <t>Página</t>
  </si>
  <si>
    <t xml:space="preserve">Elaborado por: </t>
  </si>
  <si>
    <r>
      <t>Revisado por:</t>
    </r>
    <r>
      <rPr>
        <sz val="12"/>
        <color indexed="8"/>
        <rFont val="Calibri"/>
        <family val="2"/>
      </rPr>
      <t xml:space="preserve"> </t>
    </r>
  </si>
  <si>
    <t xml:space="preserve">Aprobado por: </t>
  </si>
  <si>
    <t>Edson Orozco</t>
  </si>
  <si>
    <t>Carla Munita</t>
  </si>
  <si>
    <t>CONTROL DEL CAMBIO</t>
  </si>
  <si>
    <t>Numero de Revisión</t>
  </si>
  <si>
    <t>Fecha de Revisión</t>
  </si>
  <si>
    <t>Descripción del Cambio</t>
  </si>
  <si>
    <t xml:space="preserve">No se Agregan Cambios, se mantiene formato y configuración </t>
  </si>
  <si>
    <t>Tipo_de_Evento</t>
  </si>
  <si>
    <t>Turno</t>
  </si>
  <si>
    <t>NC</t>
  </si>
  <si>
    <t>Tipo_de_Peligro</t>
  </si>
  <si>
    <t>Linea_de_Proceso</t>
  </si>
  <si>
    <t>Panadería_L1</t>
  </si>
  <si>
    <t>Panadería_L2</t>
  </si>
  <si>
    <t>Panadería_L3</t>
  </si>
  <si>
    <t>Panadería_L4</t>
  </si>
  <si>
    <t>Panadería_L5</t>
  </si>
  <si>
    <t>Pizza</t>
  </si>
  <si>
    <t>Empanadas</t>
  </si>
  <si>
    <t>Bollería</t>
  </si>
  <si>
    <t>Recepción</t>
  </si>
  <si>
    <t>Multivac_1</t>
  </si>
  <si>
    <t>Multivac_2</t>
  </si>
  <si>
    <t>Despacho</t>
  </si>
  <si>
    <t>Camaras</t>
  </si>
  <si>
    <t>Otro</t>
  </si>
  <si>
    <t>Planta</t>
  </si>
  <si>
    <t>Analista</t>
  </si>
  <si>
    <t>Supervisor</t>
  </si>
  <si>
    <t>Proveedor</t>
  </si>
  <si>
    <t>SAP_Proveedor</t>
  </si>
  <si>
    <t>P_Bollería</t>
  </si>
  <si>
    <t>SAP_P_Bollería</t>
  </si>
  <si>
    <t>P_Empanadas</t>
  </si>
  <si>
    <t>SAP_P_Empanadas</t>
  </si>
  <si>
    <t>P_Pizza</t>
  </si>
  <si>
    <t>SAP_P_Pizza</t>
  </si>
  <si>
    <t>P_L1</t>
  </si>
  <si>
    <t>SAP_P_L1</t>
  </si>
  <si>
    <t>P_L2</t>
  </si>
  <si>
    <t>SAP_P_L2</t>
  </si>
  <si>
    <t>P_L4</t>
  </si>
  <si>
    <t>SAP_P_L4</t>
  </si>
  <si>
    <t>P_L3</t>
  </si>
  <si>
    <t>SAP_P_L3</t>
  </si>
  <si>
    <t>P_L5</t>
  </si>
  <si>
    <t>SAP_P_L5</t>
  </si>
  <si>
    <t>P_M1</t>
  </si>
  <si>
    <t>SAP_P_M1</t>
  </si>
  <si>
    <t>P_M2</t>
  </si>
  <si>
    <t>SAP_P_M2</t>
  </si>
  <si>
    <t>P_V1</t>
  </si>
  <si>
    <t>SAP_P_V1</t>
  </si>
  <si>
    <t>P_V2</t>
  </si>
  <si>
    <t>SAP_P_V2</t>
  </si>
  <si>
    <t>MP</t>
  </si>
  <si>
    <t>SAP_MP</t>
  </si>
  <si>
    <t>Destino_1</t>
  </si>
  <si>
    <t>Destino_2</t>
  </si>
  <si>
    <t>S_Matencion</t>
  </si>
  <si>
    <t>Tipo_EE</t>
  </si>
  <si>
    <t>Origen_EE</t>
  </si>
  <si>
    <t>Criticidad</t>
  </si>
  <si>
    <t>Tamaño_EE</t>
  </si>
  <si>
    <t>Día</t>
  </si>
  <si>
    <t>Mes</t>
  </si>
  <si>
    <t>Año</t>
  </si>
  <si>
    <t>Bloqueo MMPP/MMEE</t>
  </si>
  <si>
    <t>Mañana</t>
  </si>
  <si>
    <t>Desviación Microbiologica</t>
  </si>
  <si>
    <t>Físico</t>
  </si>
  <si>
    <t>Elaboración</t>
  </si>
  <si>
    <t xml:space="preserve">Elaboración </t>
  </si>
  <si>
    <t>Mezclas</t>
  </si>
  <si>
    <t>Multivac 1</t>
  </si>
  <si>
    <t>Multivac 2</t>
  </si>
  <si>
    <t>Camara -20 L1 y L2</t>
  </si>
  <si>
    <t>Christian V</t>
  </si>
  <si>
    <t>Cynthia R</t>
  </si>
  <si>
    <t xml:space="preserve">AGROCOMERCIAL CODIGUA SPA          </t>
  </si>
  <si>
    <t>Semielaborado Magdalena chips chocolate</t>
  </si>
  <si>
    <t>Empanada Horno Seleccion</t>
  </si>
  <si>
    <t>Pizza Salame</t>
  </si>
  <si>
    <t>Semi elaborado hallulla</t>
  </si>
  <si>
    <t>Semi elaborado marraqueta</t>
  </si>
  <si>
    <t>Semi Elaborado Doblada</t>
  </si>
  <si>
    <t>Semi Elaborado Pan italiano</t>
  </si>
  <si>
    <t>Hallullita ATM</t>
  </si>
  <si>
    <t>Doblada ATM Tráfico</t>
  </si>
  <si>
    <t>Hallulla ATM Líder</t>
  </si>
  <si>
    <t>Aceite Maravilla</t>
  </si>
  <si>
    <t>Bloqueado</t>
  </si>
  <si>
    <t>Liberado</t>
  </si>
  <si>
    <t>Juan G</t>
  </si>
  <si>
    <t>Ferroso</t>
  </si>
  <si>
    <t>Materia Prima</t>
  </si>
  <si>
    <t>1 a 3</t>
  </si>
  <si>
    <t>&lt;1</t>
  </si>
  <si>
    <t>Bloqueo PT/SE</t>
  </si>
  <si>
    <t>Tarde</t>
  </si>
  <si>
    <t xml:space="preserve">Alteración Organoléptica </t>
  </si>
  <si>
    <t>Químico</t>
  </si>
  <si>
    <t>Anaconda 1</t>
  </si>
  <si>
    <t>Horneado</t>
  </si>
  <si>
    <t>D. Metales</t>
  </si>
  <si>
    <t>Camara -20 L4</t>
  </si>
  <si>
    <t>Catalina F</t>
  </si>
  <si>
    <t>Marcela S</t>
  </si>
  <si>
    <t xml:space="preserve">AGROCOMMERCE S.A.                  </t>
  </si>
  <si>
    <t>Semielaborado Magdalena tres leches</t>
  </si>
  <si>
    <t>Empanada Horno Mediana</t>
  </si>
  <si>
    <t>Pizza Casino Napolitana</t>
  </si>
  <si>
    <t>Semi Elaborado Marraqueta piloto</t>
  </si>
  <si>
    <t>Hallulla_2 Ban</t>
  </si>
  <si>
    <t>Dobladas</t>
  </si>
  <si>
    <t>Pan Italiano</t>
  </si>
  <si>
    <t>Hallullita ATM Sampling</t>
  </si>
  <si>
    <t>Hallulla ATM CM</t>
  </si>
  <si>
    <t>Aceituna C-220 Entera</t>
  </si>
  <si>
    <t>Merma</t>
  </si>
  <si>
    <t>Jesus Ah</t>
  </si>
  <si>
    <t>No Ferroso</t>
  </si>
  <si>
    <t>Intraestructura o Equipos</t>
  </si>
  <si>
    <t>9 a 27</t>
  </si>
  <si>
    <t>1 a 2</t>
  </si>
  <si>
    <t>Incidencia Cuerpo Extraño</t>
  </si>
  <si>
    <t>Noche</t>
  </si>
  <si>
    <t>Incumplimiento FT/ITPP</t>
  </si>
  <si>
    <t>Microbiológico</t>
  </si>
  <si>
    <t>Anaconda 2</t>
  </si>
  <si>
    <t>Montaje</t>
  </si>
  <si>
    <t>Anaconda</t>
  </si>
  <si>
    <t>Camara MP Recepción</t>
  </si>
  <si>
    <t>Alan C</t>
  </si>
  <si>
    <t>Felipe R</t>
  </si>
  <si>
    <t xml:space="preserve">AGROSUPER COMER DE ALIM LTDA       </t>
  </si>
  <si>
    <t>Semielaborado Magdalena vainilla</t>
  </si>
  <si>
    <t>Chaparrita Salchicha Queso</t>
  </si>
  <si>
    <t>Pizza Española</t>
  </si>
  <si>
    <t>Semi Elaborado Pan Coliza</t>
  </si>
  <si>
    <t>Hallulla_2 Ekono (B)</t>
  </si>
  <si>
    <t>Dobladas (Ekono)</t>
  </si>
  <si>
    <t>Pan Italiano Ekono (B)</t>
  </si>
  <si>
    <t>Hallullita ATM 5 UN</t>
  </si>
  <si>
    <t>Dobladas ATM 9 UN</t>
  </si>
  <si>
    <t>Aceituna Rodaja (kilo)</t>
  </si>
  <si>
    <t>Reproceso</t>
  </si>
  <si>
    <t>Tony Rodriguez</t>
  </si>
  <si>
    <t>Aluminio</t>
  </si>
  <si>
    <t>Herramientas o Refacciones</t>
  </si>
  <si>
    <t>45 a 125</t>
  </si>
  <si>
    <t>&gt;2</t>
  </si>
  <si>
    <t>Incumplimiento PCC/PC</t>
  </si>
  <si>
    <t>Radiológico</t>
  </si>
  <si>
    <t>Envasado Granel</t>
  </si>
  <si>
    <t>Empaque</t>
  </si>
  <si>
    <t>Envasado</t>
  </si>
  <si>
    <t>Camara MP Bollería</t>
  </si>
  <si>
    <t xml:space="preserve">Edson </t>
  </si>
  <si>
    <t>Sandra V</t>
  </si>
  <si>
    <t xml:space="preserve">BAKELS CHILE S A                   </t>
  </si>
  <si>
    <t>Semielaborado Magdalena chocolate</t>
  </si>
  <si>
    <t>Pack Horno Mediana 2 un. Ekono</t>
  </si>
  <si>
    <t>Pizza Casino Napolitana Cuadrada</t>
  </si>
  <si>
    <t>Marraqueta Manga  (24 Unidades) CM</t>
  </si>
  <si>
    <t>Hallulla_2 (10 BAN)</t>
  </si>
  <si>
    <t>Dobladas Ekono (B)</t>
  </si>
  <si>
    <t>Italiano CM 5 K</t>
  </si>
  <si>
    <t>Hallullitas ATM CM</t>
  </si>
  <si>
    <t>Doblada ATM CM</t>
  </si>
  <si>
    <t>Aceituna Sevillana</t>
  </si>
  <si>
    <t>Tomas L</t>
  </si>
  <si>
    <t>Organico</t>
  </si>
  <si>
    <t>Otros</t>
  </si>
  <si>
    <t>Incumplimiento de control (RAC/RITAC/SSOP)</t>
  </si>
  <si>
    <t>Legalidad</t>
  </si>
  <si>
    <t>D.Metales</t>
  </si>
  <si>
    <t>Empaque Robots</t>
  </si>
  <si>
    <t xml:space="preserve">D. Metales </t>
  </si>
  <si>
    <t>Variovac 1</t>
  </si>
  <si>
    <t>Patricio Ñ</t>
  </si>
  <si>
    <t>Sandra F</t>
  </si>
  <si>
    <t xml:space="preserve">BAÑADOS Y CIA S.A.                 </t>
  </si>
  <si>
    <t>Pack Magdalena tres leches - 9 Un.</t>
  </si>
  <si>
    <t>Empanada Coctel Carne Mayorista</t>
  </si>
  <si>
    <t>Pizza Napolitana</t>
  </si>
  <si>
    <t>Marraqueta Congelada</t>
  </si>
  <si>
    <t>Hallulla_2 (15 BAN)</t>
  </si>
  <si>
    <t>Merma masa Dobladas</t>
  </si>
  <si>
    <t>Pan Italiano Congelado PLT</t>
  </si>
  <si>
    <t>Marraqueta ATM Lider</t>
  </si>
  <si>
    <t>Pan Amasado ATM</t>
  </si>
  <si>
    <t>Anhídrido Carbónico</t>
  </si>
  <si>
    <t>Javier N</t>
  </si>
  <si>
    <t xml:space="preserve">Plástico </t>
  </si>
  <si>
    <t>Desviación Infraestructura</t>
  </si>
  <si>
    <t>Calidad</t>
  </si>
  <si>
    <t>D.Metales Granel</t>
  </si>
  <si>
    <t>D. de Metales A</t>
  </si>
  <si>
    <t>Variovac 2</t>
  </si>
  <si>
    <t>D. Metales Productos Granel</t>
  </si>
  <si>
    <t>D. metales</t>
  </si>
  <si>
    <t>Marileny M</t>
  </si>
  <si>
    <t>Adelso P</t>
  </si>
  <si>
    <t xml:space="preserve">BEMIS CHILE LIMITADA               </t>
  </si>
  <si>
    <t>Pack Magdalena chips chocolate - 6 un</t>
  </si>
  <si>
    <t>Empanada Coctel Pollo Mayorista</t>
  </si>
  <si>
    <t>Masa Pre Pizza Pack</t>
  </si>
  <si>
    <t>Marraqueta Envasada</t>
  </si>
  <si>
    <t>Hallulla Casino Granel (Intense)</t>
  </si>
  <si>
    <t>Merma masa Pan Italiano</t>
  </si>
  <si>
    <t>Marraqueta ATM CM</t>
  </si>
  <si>
    <t>Amasado ATM CM</t>
  </si>
  <si>
    <t>Azucar Gº2 10x1</t>
  </si>
  <si>
    <t>Luis L</t>
  </si>
  <si>
    <t xml:space="preserve">Cartón </t>
  </si>
  <si>
    <t>Presencia de Plagas</t>
  </si>
  <si>
    <t>Autenticidad</t>
  </si>
  <si>
    <t>D.Metales A</t>
  </si>
  <si>
    <t>D. de Metales B</t>
  </si>
  <si>
    <t xml:space="preserve"> </t>
  </si>
  <si>
    <t>D. Metales Variovac1</t>
  </si>
  <si>
    <t>Yesenia V</t>
  </si>
  <si>
    <t>Evelio R</t>
  </si>
  <si>
    <t xml:space="preserve">BIDFOOD CHILE S.A.                 </t>
  </si>
  <si>
    <t>Pack Magdalena Vainilla - 9 Un.</t>
  </si>
  <si>
    <t>Chaparrita Salchicha Queso Mayorista</t>
  </si>
  <si>
    <t>Pizza Napolitana SBA (acuenta)</t>
  </si>
  <si>
    <t>Marraqueta Manga (12 Unidades)</t>
  </si>
  <si>
    <t>Hallulla Congelada</t>
  </si>
  <si>
    <t>Bandeja H-20</t>
  </si>
  <si>
    <t>Juan R</t>
  </si>
  <si>
    <t xml:space="preserve">Madera </t>
  </si>
  <si>
    <t>Food Defense</t>
  </si>
  <si>
    <t>Fraude</t>
  </si>
  <si>
    <t>D.Metales B</t>
  </si>
  <si>
    <t>D. de Metales C</t>
  </si>
  <si>
    <t>D. Metales Productos a Granel</t>
  </si>
  <si>
    <t>María S</t>
  </si>
  <si>
    <t>Eliecer Ll</t>
  </si>
  <si>
    <t xml:space="preserve">BIDFOOD SA                         </t>
  </si>
  <si>
    <t>Pack Magdalena Chocolate - 9 Un.</t>
  </si>
  <si>
    <t>Empanada Horno Mediana Mayorista</t>
  </si>
  <si>
    <t>Pizza Pollo Champiñon SBA</t>
  </si>
  <si>
    <t>Marraqueta_2 Ekono</t>
  </si>
  <si>
    <t>Hallulla Envasada</t>
  </si>
  <si>
    <t>Bandeja Mayorista Tapa fondo</t>
  </si>
  <si>
    <t>Pedro T</t>
  </si>
  <si>
    <t>D. Metales Variovac2</t>
  </si>
  <si>
    <t>Floreida B</t>
  </si>
  <si>
    <t>Francisco V</t>
  </si>
  <si>
    <t xml:space="preserve">CAMILO FERRON CHILE S.A.           </t>
  </si>
  <si>
    <t>Merma Semielaborado Magdalena chocolate</t>
  </si>
  <si>
    <t>Pack Empanada Coctel Jamón Queso 10 un.</t>
  </si>
  <si>
    <t>Masa Pre Pizza Ultra Delgada</t>
  </si>
  <si>
    <t>Marraqueta_2 Ban</t>
  </si>
  <si>
    <t>Base Pan  Amasado</t>
  </si>
  <si>
    <t>Jonathan C</t>
  </si>
  <si>
    <t>Isabel R</t>
  </si>
  <si>
    <t xml:space="preserve">CIA AGRICOLA Y LECHERA QUILLAYES   </t>
  </si>
  <si>
    <t>Merma Semielaborado Magdalena vainilla</t>
  </si>
  <si>
    <t>Pack Empanada Hoja Pino 2 un.</t>
  </si>
  <si>
    <t>Pizza Pepperoni Acuenta</t>
  </si>
  <si>
    <t>Marraqueta_2 Ekono (B)</t>
  </si>
  <si>
    <t>Base Pan  Dobladas</t>
  </si>
  <si>
    <t>Marcos L</t>
  </si>
  <si>
    <t xml:space="preserve">CIA. MOLINERA SAN CRISTOBAL S.A.   </t>
  </si>
  <si>
    <t>Merma Semielaborado Magdalena tres leche</t>
  </si>
  <si>
    <t>Pack Empanada Hoja Jamón Queso 2 Und.</t>
  </si>
  <si>
    <t>Masa Pizza Ultra Delgada</t>
  </si>
  <si>
    <t>Marraqueta_2 (10 BAN)</t>
  </si>
  <si>
    <t>Bolsa 1020 x 750 (Fuelle 200 mm)</t>
  </si>
  <si>
    <t xml:space="preserve">CODEPACK S.A.                      </t>
  </si>
  <si>
    <t>Merma Semielaborado Magdalena chips cho</t>
  </si>
  <si>
    <t>Empanada Horno Suprema Rf</t>
  </si>
  <si>
    <t>Marraqueta granel piloto</t>
  </si>
  <si>
    <t>Bolsa Mayorista 34.00 X 44 X 0.0090</t>
  </si>
  <si>
    <t xml:space="preserve">COEMBAL CHILE S.A.                 </t>
  </si>
  <si>
    <t>Empanada Horno Mediana Rf</t>
  </si>
  <si>
    <t>Bolsa Pan Soft 18x46x0.0045</t>
  </si>
  <si>
    <t xml:space="preserve">COMERCIAL AGRICOVIAL S.A.          </t>
  </si>
  <si>
    <t>Pack Empanada Coctel Aceituna Queso</t>
  </si>
  <si>
    <t>Pan Coliza</t>
  </si>
  <si>
    <t>Carton Bandeja 18,6 x 10,5 Cm.</t>
  </si>
  <si>
    <t xml:space="preserve">Comercial e Industrial Arizona     </t>
  </si>
  <si>
    <t>Pan Coliza Congelada PLT</t>
  </si>
  <si>
    <t>Carton Bandeja 31 x 11 Cm.</t>
  </si>
  <si>
    <t xml:space="preserve">COMERCIAL TRES ALMENDROS LIMITADA  </t>
  </si>
  <si>
    <t>Merma masa Hallulla</t>
  </si>
  <si>
    <t>Semi Elaborado Pan Amasado</t>
  </si>
  <si>
    <t>Carton Lamina 100 x 120 Cm. CUBRE PALLET</t>
  </si>
  <si>
    <t xml:space="preserve">COMERCIALIZADORA DE PRODUCTOS      </t>
  </si>
  <si>
    <t>Empanada Coctel Pollo</t>
  </si>
  <si>
    <t>Pan Amasado</t>
  </si>
  <si>
    <t>Champignones Laminado en Conserva</t>
  </si>
  <si>
    <t>CONSORCIO INDUSTRIAL DE ALIMENTOS S</t>
  </si>
  <si>
    <t>Chaparrita Casino</t>
  </si>
  <si>
    <t>Merma masa Coliza</t>
  </si>
  <si>
    <t>Merma Masa marraqueta piloto</t>
  </si>
  <si>
    <t>Pan Amasado Congelado</t>
  </si>
  <si>
    <t>Champiñon Laminado Premium</t>
  </si>
  <si>
    <t>COOP AGRICOLA Y LECHERA DE LA UNION</t>
  </si>
  <si>
    <t>Empanada Coctel Pollo Congelada Casino</t>
  </si>
  <si>
    <t>Merma Masa Marraqueta</t>
  </si>
  <si>
    <t>Pan Amasado Ekono</t>
  </si>
  <si>
    <t>Choclo Cocido</t>
  </si>
  <si>
    <t xml:space="preserve">DITZLER CHILE LIMITADA             </t>
  </si>
  <si>
    <t>Pack Empanada Horno Mediana 2 un.</t>
  </si>
  <si>
    <t>Pan Amasado Ekono (B)</t>
  </si>
  <si>
    <t>Ciinta TTO Negra 55mmx1200m</t>
  </si>
  <si>
    <t xml:space="preserve">DIWATTS S.A.                       </t>
  </si>
  <si>
    <t>Pack Empanada Hoja Queso 2 un.</t>
  </si>
  <si>
    <t>Cinta Acrílica Azul  48x100</t>
  </si>
  <si>
    <t xml:space="preserve">ECOLAB S A                         </t>
  </si>
  <si>
    <t>Pack Empanada Coctel Carne 10 un</t>
  </si>
  <si>
    <t>Cinta Acrílica Café 48x100</t>
  </si>
  <si>
    <t>EDUARDO JOSE FIERRO DUARTE PLASTICO</t>
  </si>
  <si>
    <t>Pack Empanada Coctel Pollo 10 un.</t>
  </si>
  <si>
    <t>Pan Amasado Congelado PLT</t>
  </si>
  <si>
    <t>Cinta Acrílica Celeste 48x100</t>
  </si>
  <si>
    <t xml:space="preserve">EL DORADO GROUP SPA                </t>
  </si>
  <si>
    <t>Pack Empanada Coctel Queso 12 un</t>
  </si>
  <si>
    <t>Semi Elaborado Hallullita especial preco</t>
  </si>
  <si>
    <t>Cinta Acrílica Naranja 48x100</t>
  </si>
  <si>
    <t xml:space="preserve">EMBALAJES INTERNACIONALES OSKUPACK </t>
  </si>
  <si>
    <t>Mezcla Queso Maquina Empanadas</t>
  </si>
  <si>
    <t>Cinta Acrílica Negro 48x100</t>
  </si>
  <si>
    <t xml:space="preserve">Empack Flexible S.A.               </t>
  </si>
  <si>
    <t>Cóctel queso aceituna</t>
  </si>
  <si>
    <t>Cinta Acrílica Rosada 48x100</t>
  </si>
  <si>
    <t xml:space="preserve">ESSITY CHILE S A                   </t>
  </si>
  <si>
    <t>Empanada Hoja Queso</t>
  </si>
  <si>
    <t>Etiqueta Pack empanada hoja queso</t>
  </si>
  <si>
    <t xml:space="preserve">FABRICA DE BANDEJAS LIMITADA       </t>
  </si>
  <si>
    <t>Empanada Coctel Carne</t>
  </si>
  <si>
    <t>Cinta Trans. Termica Tharo 110mmx3</t>
  </si>
  <si>
    <t xml:space="preserve">FRESCA OLIVA SPA                   </t>
  </si>
  <si>
    <t>Empanada Coctel Queso</t>
  </si>
  <si>
    <t>Hallulla especial soft para congelar</t>
  </si>
  <si>
    <t>Desmoldante Masas</t>
  </si>
  <si>
    <t xml:space="preserve">FRUTAROM CHILE S.A                 </t>
  </si>
  <si>
    <t>Coctel Jamón Queso</t>
  </si>
  <si>
    <t>Hallulla Especial Suave</t>
  </si>
  <si>
    <t>Et. 100x150 Sod, Grasas, P/Cong, 1000E/R</t>
  </si>
  <si>
    <t xml:space="preserve">GOOD FOOD S.A.                     </t>
  </si>
  <si>
    <t>Empanada Hoja Jamón Queso</t>
  </si>
  <si>
    <t>Hallulla Especial Suave 10UN</t>
  </si>
  <si>
    <t>Et. 2.5x5 Blanca</t>
  </si>
  <si>
    <t xml:space="preserve">GPE PACKAGING SPA                  </t>
  </si>
  <si>
    <t>Empanada Hoja Pino</t>
  </si>
  <si>
    <t>Et. Alto 100x150  Sodio, Grasas Sat.y Ca</t>
  </si>
  <si>
    <t xml:space="preserve">GRANOTEC S.A.                      </t>
  </si>
  <si>
    <t>Empanada Horno Suprema</t>
  </si>
  <si>
    <t>Et. Blanca 22x30 mm Polipr.</t>
  </si>
  <si>
    <t xml:space="preserve">HELA SPICE LATAM S.A.              </t>
  </si>
  <si>
    <t>Merma Masa Pan Amasado</t>
  </si>
  <si>
    <t>Et.100x150 Sod, Grasa, Calorias P/Cong,1</t>
  </si>
  <si>
    <t xml:space="preserve">HEREDIA MOLINOS S.A.               </t>
  </si>
  <si>
    <t>Merma masa Hallullita</t>
  </si>
  <si>
    <t>Etiq. Alto 100x150  Sodio y Grasas Sat.</t>
  </si>
  <si>
    <t xml:space="preserve">HIELO FIESTA S.A.                  </t>
  </si>
  <si>
    <t>Merma masa Hallulla Especial Suave</t>
  </si>
  <si>
    <t>Etiqueta 100x150 (Logos Empanadas Pack Q</t>
  </si>
  <si>
    <t xml:space="preserve">IFCO SYSTEMS CHILE S.A.            </t>
  </si>
  <si>
    <t>Merma masa Hallulla Especial</t>
  </si>
  <si>
    <t>Etiqueta Blanca 100X100mm T. Termica</t>
  </si>
  <si>
    <t>IMPOR EXPORT COMERCIAL Y DISTRIB MA</t>
  </si>
  <si>
    <t>Etiqueta Marraqueta</t>
  </si>
  <si>
    <t>IMPORTADORA Y COMERCIALIZADORA HILA</t>
  </si>
  <si>
    <t>Fermaid Terrua 3524</t>
  </si>
  <si>
    <t xml:space="preserve">INDURA S A                         </t>
  </si>
  <si>
    <t>Film Amarillo KG</t>
  </si>
  <si>
    <t xml:space="preserve">INDUSTRIAL Y COM SOLUCORP LTDA     </t>
  </si>
  <si>
    <t>Film Azul KG</t>
  </si>
  <si>
    <t xml:space="preserve">INNOVACION ALIMENTARIA SPA         </t>
  </si>
  <si>
    <t>Film Emp. Cock Jamon Queso</t>
  </si>
  <si>
    <t>INVERSIONES E INDUSTRIAS VALLE VERD</t>
  </si>
  <si>
    <t>Film Emp. Cock Pino Li</t>
  </si>
  <si>
    <t xml:space="preserve">ISABELITA FOOD SERVICE SPA         </t>
  </si>
  <si>
    <t>Film Emp. Cock Pollo Li</t>
  </si>
  <si>
    <t xml:space="preserve">ISABELITA SPA                      </t>
  </si>
  <si>
    <t>Film Emp. Cock Queso Li</t>
  </si>
  <si>
    <t xml:space="preserve">JORGE BARZELATTO Y CIA. LTDA       </t>
  </si>
  <si>
    <t>Film Emp.Coctel Queso Aceituna</t>
  </si>
  <si>
    <t xml:space="preserve">JOSE MANUEL LANGER GIORDANO        </t>
  </si>
  <si>
    <t>Film Fondo 400 Micras 392</t>
  </si>
  <si>
    <t xml:space="preserve">K + S CHILE SA                     </t>
  </si>
  <si>
    <t>Film Fondo MB Transparente (180 Micras)</t>
  </si>
  <si>
    <t xml:space="preserve">KLEEN SUPPLY SPA                   </t>
  </si>
  <si>
    <t>Film Fondo Semirrígido Barrera. 662</t>
  </si>
  <si>
    <t xml:space="preserve">LATIN AMERICAN FOODS S.A.          </t>
  </si>
  <si>
    <t>Film Hallulla 530</t>
  </si>
  <si>
    <t xml:space="preserve">LESAFFRE INDUSTRIAL CHILE S.A      </t>
  </si>
  <si>
    <t>Film Impreso  Emp. Hoja Pino</t>
  </si>
  <si>
    <t xml:space="preserve">LEVADURAS COLLICO SA               </t>
  </si>
  <si>
    <t>Film impreso Pan ATM</t>
  </si>
  <si>
    <t xml:space="preserve">LIZZI MARLENE MORA BAEZA           </t>
  </si>
  <si>
    <t>Film Marraqueta 770x 0.30</t>
  </si>
  <si>
    <t xml:space="preserve">MACRO FOOD S A                     </t>
  </si>
  <si>
    <t>Film Masa Ultra Delgada</t>
  </si>
  <si>
    <t xml:space="preserve">MOLINO LA ESTAMPA S.A.             </t>
  </si>
  <si>
    <t>Film Pack  Emp. Horno Pino 2 UN.</t>
  </si>
  <si>
    <t xml:space="preserve">MONTEXPORT S.A                     </t>
  </si>
  <si>
    <t>Film Pack  Emp. Jamon Queso</t>
  </si>
  <si>
    <t xml:space="preserve">MULTIVAC CHILE S.A                 </t>
  </si>
  <si>
    <t>Film Palletizar Transparente</t>
  </si>
  <si>
    <t xml:space="preserve">OMENACA S A                        </t>
  </si>
  <si>
    <t>Film Para Palletizar</t>
  </si>
  <si>
    <t xml:space="preserve">Patricio Fry Vanni                 </t>
  </si>
  <si>
    <t>Film Pre Pizza</t>
  </si>
  <si>
    <t xml:space="preserve">PBB S.A.                           </t>
  </si>
  <si>
    <t>Film Rojo KG</t>
  </si>
  <si>
    <t xml:space="preserve">PLASTISERVI LTDA                   </t>
  </si>
  <si>
    <t>Film Tapa  Napolitana (Impreso)</t>
  </si>
  <si>
    <t xml:space="preserve">PRINAL LIMITADA                    </t>
  </si>
  <si>
    <t>Film Tapa 4 Quesos (Impreso)</t>
  </si>
  <si>
    <t xml:space="preserve">PRODUCTOS FERNANDEZ SA             </t>
  </si>
  <si>
    <t>Film Tapa Peperonni (Impreso)</t>
  </si>
  <si>
    <t xml:space="preserve">PRODUCTOS TECNICOS PROTECSA S A    </t>
  </si>
  <si>
    <t>Film Tapa Pizza Pollo Champiñon SBA ( Im</t>
  </si>
  <si>
    <t xml:space="preserve">PUNTO AZUL LTDA                    </t>
  </si>
  <si>
    <t>Film Tapa Pizzeta Coctel ( Impreso)</t>
  </si>
  <si>
    <t xml:space="preserve">PURATOS CHILE S.A.                 </t>
  </si>
  <si>
    <t>Film Tapa Salame (Impreso)</t>
  </si>
  <si>
    <t xml:space="preserve">REUTTER S A                        </t>
  </si>
  <si>
    <t>Film Tapa Suprema  (Impreso)</t>
  </si>
  <si>
    <t xml:space="preserve">RODACENTER LTDA.                   </t>
  </si>
  <si>
    <t>Film Tapa Todas las Carnes (Impreso)</t>
  </si>
  <si>
    <t xml:space="preserve">SANTA ROSA CHILE ALIMENTOS LTDA    </t>
  </si>
  <si>
    <t>Film Tapa Vegetariana (Impreso)</t>
  </si>
  <si>
    <t>SERVICIO DE MANTENCION Y REPARACION</t>
  </si>
  <si>
    <t>Film Tapa  Pizza Napolitana SBA ( Impres</t>
  </si>
  <si>
    <t xml:space="preserve">Soc.Com.Jaime Muñoz e Hijo Ltda.   </t>
  </si>
  <si>
    <t>Film Tapa  Pizza Pepperoni SBA ( Impreso</t>
  </si>
  <si>
    <t>SOCIEDAD COMERCIAL E INVERSIONES LO</t>
  </si>
  <si>
    <t>Film Transparente Flowpack</t>
  </si>
  <si>
    <t xml:space="preserve">SOCIEDAD PLASTICOS TECNICOS SPA    </t>
  </si>
  <si>
    <t>Granozyme HLL 3522</t>
  </si>
  <si>
    <t xml:space="preserve">TEAM FOODS CHILE SPA               </t>
  </si>
  <si>
    <t>Harina Fina - San Cristóbal</t>
  </si>
  <si>
    <t>AGRICOLA Y COMERCIAL SANTA CECILIA</t>
  </si>
  <si>
    <t>Harina Marraqueta en Saco</t>
  </si>
  <si>
    <t>Harina Marraquetas</t>
  </si>
  <si>
    <t xml:space="preserve">WINPACK SA                         </t>
  </si>
  <si>
    <t>Harina Masa Pizzas 20 kg.</t>
  </si>
  <si>
    <t>Harina Plata San Cristobal</t>
  </si>
  <si>
    <t>ICB</t>
  </si>
  <si>
    <t>Pendiente 1</t>
  </si>
  <si>
    <t>Hielo en Escamas</t>
  </si>
  <si>
    <t>SMART PACK</t>
  </si>
  <si>
    <t>Hoja Sepadora 37 X 56.5 Cms.</t>
  </si>
  <si>
    <t xml:space="preserve">AGRICOLA LAS DOS MARIAS S.A.       </t>
  </si>
  <si>
    <t>Propionato de Calcio</t>
  </si>
  <si>
    <t>COMERCIALIZADORA DE PRODUCTOS MYLPAN S.A.</t>
  </si>
  <si>
    <t>Huevo Duro</t>
  </si>
  <si>
    <t>Artealimentos</t>
  </si>
  <si>
    <t>Huevo Liquido Pasteurizado</t>
  </si>
  <si>
    <t>Intense de Sal (Sustituto)</t>
  </si>
  <si>
    <t>Jamón Juliana</t>
  </si>
  <si>
    <t>Jamón Juliana Pierna</t>
  </si>
  <si>
    <t>Jamon Sándwich Líder</t>
  </si>
  <si>
    <t>Leche Polvo 26% Mg</t>
  </si>
  <si>
    <t>Levadura 0,5 gramos</t>
  </si>
  <si>
    <t>Levadura Granel</t>
  </si>
  <si>
    <t>Longanicilla Laminada</t>
  </si>
  <si>
    <t>Maestra Hoja</t>
  </si>
  <si>
    <t>Manteca L Trans Bolsa (1 KG)</t>
  </si>
  <si>
    <t>Manteca L Trans Bolsa (10 KG)</t>
  </si>
  <si>
    <t>Manteca L Trans GBlanda</t>
  </si>
  <si>
    <t>Manteca Mejorada</t>
  </si>
  <si>
    <t>Manteca Vegetal</t>
  </si>
  <si>
    <t>Margarina Kilo</t>
  </si>
  <si>
    <t>Meatball Carne</t>
  </si>
  <si>
    <t>Mejorador Amasado Soft</t>
  </si>
  <si>
    <t>Mejorador Hallulla</t>
  </si>
  <si>
    <t>Mejorador Hallulla  R-S</t>
  </si>
  <si>
    <t>Mejorador Hallulla Soft</t>
  </si>
  <si>
    <t>Mezcla Queso Gouda-Chanco Hebra</t>
  </si>
  <si>
    <t>Mix enzimático para pizza</t>
  </si>
  <si>
    <t>Nitrógeno Líquido</t>
  </si>
  <si>
    <t>Nucleo Masa Best</t>
  </si>
  <si>
    <t>Oregano Molido Grueso</t>
  </si>
  <si>
    <t>O-Tentic</t>
  </si>
  <si>
    <t>Palmito Entero</t>
  </si>
  <si>
    <t>Papa Cubo Pre-Cocida</t>
  </si>
  <si>
    <t>Papel Volantin Blanco</t>
  </si>
  <si>
    <t>Peperonni Vela</t>
  </si>
  <si>
    <t>Pimiento Verde Cubo</t>
  </si>
  <si>
    <t>Pino Carne Empanada Cóctel</t>
  </si>
  <si>
    <t>Pino Empanada Acuenta</t>
  </si>
  <si>
    <t>Pino Empanada Pollo a las Finas Hierbas</t>
  </si>
  <si>
    <t>Pino Empanada Premium (Posta Negra)</t>
  </si>
  <si>
    <t>Pino Reformulado Lider</t>
  </si>
  <si>
    <t>Pollo Cubo Asado</t>
  </si>
  <si>
    <t>Queso Cubo 25 Grs</t>
  </si>
  <si>
    <t>Queso Gauda Hebra</t>
  </si>
  <si>
    <t>Queso Gauda para Laminar</t>
  </si>
  <si>
    <t>Queso Hebras 100 % Mozzarella</t>
  </si>
  <si>
    <t>Queso Lam. Gau 20 g.(1KG)</t>
  </si>
  <si>
    <t>Queso Mozzarella WM</t>
  </si>
  <si>
    <t>Queso Reggianito</t>
  </si>
  <si>
    <t>S - 500 ultra</t>
  </si>
  <si>
    <t>Sal</t>
  </si>
  <si>
    <t>Salame Vela</t>
  </si>
  <si>
    <t>salsa de Pizza Nueva Formula</t>
  </si>
  <si>
    <t>Semola Masa Pizza</t>
  </si>
  <si>
    <t>Sustituto Huevo Líquido</t>
  </si>
  <si>
    <t>Tabique Corto 390x50</t>
  </si>
  <si>
    <t>Tabique Largo 590x50</t>
  </si>
  <si>
    <t>Tocino Cubo</t>
  </si>
  <si>
    <t>Toupan</t>
  </si>
  <si>
    <t>Vienesa al Vacio</t>
  </si>
  <si>
    <t>Logo alto grasas saturadas 40x40</t>
  </si>
  <si>
    <t>Logo Alto Calorias 30x30</t>
  </si>
  <si>
    <t>Logo alto en Sodio 35x35</t>
  </si>
  <si>
    <t>Logo Alto en Sodio 25x25</t>
  </si>
  <si>
    <t>Taquitos Salame</t>
  </si>
  <si>
    <t>Chorizo Vela</t>
  </si>
  <si>
    <t>Film Tapa Base Queso (Impreso)</t>
  </si>
  <si>
    <t>Film Trans. Pan ATM Mayorista</t>
  </si>
  <si>
    <t>Film Pack Hoja Queso</t>
  </si>
  <si>
    <t>Sal Industrial (25 Kg)</t>
  </si>
  <si>
    <t>Harina Fina Granel</t>
  </si>
  <si>
    <t>Et. Sello Emp. Queso 2 un.</t>
  </si>
  <si>
    <t>Film Tapa generico Pan ATM 355</t>
  </si>
  <si>
    <t>Film Tapa generico Pan ATM 385</t>
  </si>
  <si>
    <t>Film Tapa generico Pan ATM 420</t>
  </si>
  <si>
    <t>Harina fuerza media saco</t>
  </si>
  <si>
    <t>Sorbato de potasio</t>
  </si>
  <si>
    <t>Etiqueta Pack empanada jamon queso</t>
  </si>
  <si>
    <t>Etiqueta Pack empanada hoja pino</t>
  </si>
  <si>
    <t>Film 250 Micras Panaderia atm</t>
  </si>
  <si>
    <t>Chorizo cubo</t>
  </si>
  <si>
    <t>Base pan Amasado (Nueva Formula)</t>
  </si>
  <si>
    <t>Línea_Proceso</t>
  </si>
  <si>
    <t>Linea de Proceso</t>
  </si>
  <si>
    <t>Área</t>
  </si>
  <si>
    <t>Supervisores</t>
  </si>
  <si>
    <t>Línea de Proceso</t>
  </si>
  <si>
    <t>Productos</t>
  </si>
  <si>
    <t>SAP_Productos</t>
  </si>
  <si>
    <t>NCL</t>
  </si>
  <si>
    <t>Iniciales</t>
  </si>
  <si>
    <t>NumMes</t>
  </si>
  <si>
    <t>RUT</t>
  </si>
  <si>
    <t>Material</t>
  </si>
  <si>
    <t>Descripcion</t>
  </si>
  <si>
    <t>Supervisores_Panadería</t>
  </si>
  <si>
    <t>Supervisores_PEB</t>
  </si>
  <si>
    <t>Supervisores_Recepción</t>
  </si>
  <si>
    <t>Supervisores_Despacho</t>
  </si>
  <si>
    <t>NC_Panadería</t>
  </si>
  <si>
    <t>NC_PBE</t>
  </si>
  <si>
    <t>NC_DR</t>
  </si>
  <si>
    <t>Enero</t>
  </si>
  <si>
    <t>A y G</t>
  </si>
  <si>
    <t>FILM BOPP 490X40 TACA 260 MAGDALENAS 9UN</t>
  </si>
  <si>
    <t>Jorge S</t>
  </si>
  <si>
    <t>Gabriel Z.</t>
  </si>
  <si>
    <t>Febrero</t>
  </si>
  <si>
    <t>FILM BOPP 380X40 TACA 260 MAGDALENA 6UN</t>
  </si>
  <si>
    <t>Agricola Las Rastras SPA</t>
  </si>
  <si>
    <t>David A.</t>
  </si>
  <si>
    <t>Marzo</t>
  </si>
  <si>
    <t>Guante Nitrilo Azul L</t>
  </si>
  <si>
    <t>Agricovial</t>
  </si>
  <si>
    <t>Robert A</t>
  </si>
  <si>
    <t>Juan T.</t>
  </si>
  <si>
    <t>Incumplimiento textura/Dimensiones/Peso</t>
  </si>
  <si>
    <t>Desviacion de parametro de FT</t>
  </si>
  <si>
    <t>Incumplimiento de FT</t>
  </si>
  <si>
    <t>Edson O</t>
  </si>
  <si>
    <t>Abril</t>
  </si>
  <si>
    <t>Agrocommerce</t>
  </si>
  <si>
    <t>Producto con Defecto (Manchas, Arrugas,grietas,Marcas)</t>
  </si>
  <si>
    <t>Desviación de Temperatura (No PCC)</t>
  </si>
  <si>
    <t>Mayo</t>
  </si>
  <si>
    <t>Agrosuper</t>
  </si>
  <si>
    <t>Raul L</t>
  </si>
  <si>
    <t>Desviación de PCC</t>
  </si>
  <si>
    <t>Desviación de Envasado</t>
  </si>
  <si>
    <t>Johan M</t>
  </si>
  <si>
    <t>Junio</t>
  </si>
  <si>
    <t>Huevo Liquido Totem</t>
  </si>
  <si>
    <t>Aintech</t>
  </si>
  <si>
    <t>Tibor P</t>
  </si>
  <si>
    <t>Incumplimiento de control (PC/RAC/RITAC/SSOP)</t>
  </si>
  <si>
    <t>Presencia Plagas</t>
  </si>
  <si>
    <t>Julio</t>
  </si>
  <si>
    <t>Luis V</t>
  </si>
  <si>
    <t>Error de Etiquetado/Trazabilidad</t>
  </si>
  <si>
    <t>Agosto</t>
  </si>
  <si>
    <t>ASA</t>
  </si>
  <si>
    <t>Angelica U</t>
  </si>
  <si>
    <t>Ausencia de Trazabilidad</t>
  </si>
  <si>
    <t>Septiembre</t>
  </si>
  <si>
    <t>Bakels</t>
  </si>
  <si>
    <t>Carlos P</t>
  </si>
  <si>
    <t>Presencia de Elementos Extraños</t>
  </si>
  <si>
    <t>María V</t>
  </si>
  <si>
    <t>Octubre</t>
  </si>
  <si>
    <t>Bañados</t>
  </si>
  <si>
    <t>Claudio C</t>
  </si>
  <si>
    <t>Mal Sellado (No PCC)</t>
  </si>
  <si>
    <t>Food Defense (Definido por Investigación)</t>
  </si>
  <si>
    <t>Liz S</t>
  </si>
  <si>
    <t>Noviembre</t>
  </si>
  <si>
    <t>Barzelatto</t>
  </si>
  <si>
    <t>Constanza C</t>
  </si>
  <si>
    <t>Receta incorrecta</t>
  </si>
  <si>
    <t>Incumplimiento de Procedimiento</t>
  </si>
  <si>
    <t>Ana C</t>
  </si>
  <si>
    <t>ANC</t>
  </si>
  <si>
    <t>Diciembre</t>
  </si>
  <si>
    <t>Azucar Saco ( 5kg)</t>
  </si>
  <si>
    <t>Bemis</t>
  </si>
  <si>
    <t>Fernando M</t>
  </si>
  <si>
    <t>Uso de MP o ME No Conforme</t>
  </si>
  <si>
    <t>Camaras PT</t>
  </si>
  <si>
    <t>Daniela P</t>
  </si>
  <si>
    <t>DP</t>
  </si>
  <si>
    <t xml:space="preserve">Pulpa de pierna congelada de cerdo   </t>
  </si>
  <si>
    <t>Bidfood</t>
  </si>
  <si>
    <t>Harold R</t>
  </si>
  <si>
    <t>Camaras MP</t>
  </si>
  <si>
    <t>Yesenia R</t>
  </si>
  <si>
    <t>YR</t>
  </si>
  <si>
    <t>Decutec</t>
  </si>
  <si>
    <t>Bio-Bio</t>
  </si>
  <si>
    <t>Nicole A</t>
  </si>
  <si>
    <t>Presencia de Humedad</t>
  </si>
  <si>
    <t xml:space="preserve">Presencia de Humedad </t>
  </si>
  <si>
    <t>MM</t>
  </si>
  <si>
    <t>Camilo Ferron</t>
  </si>
  <si>
    <t>Simon L</t>
  </si>
  <si>
    <t>Paula P</t>
  </si>
  <si>
    <t>PP</t>
  </si>
  <si>
    <t>Carnes Ñuble</t>
  </si>
  <si>
    <t>Carozzi</t>
  </si>
  <si>
    <t xml:space="preserve">Cinta TTO bolleria </t>
  </si>
  <si>
    <t>CIAL</t>
  </si>
  <si>
    <t>Desmoldante para masas</t>
  </si>
  <si>
    <t>Codepack</t>
  </si>
  <si>
    <t>B-QUAT</t>
  </si>
  <si>
    <t>Coembal</t>
  </si>
  <si>
    <t>Hoja Separadora 37x56.5 cms</t>
  </si>
  <si>
    <t>Collico</t>
  </si>
  <si>
    <t>Colun</t>
  </si>
  <si>
    <t>Cramer</t>
  </si>
  <si>
    <t>Ditzler</t>
  </si>
  <si>
    <t>Bandeja Mayorista Tapa Fondo</t>
  </si>
  <si>
    <t>Dos Marias</t>
  </si>
  <si>
    <t>Ecolab</t>
  </si>
  <si>
    <t>Ecopack</t>
  </si>
  <si>
    <t>No Indicado</t>
  </si>
  <si>
    <t>Eduardo Fierro</t>
  </si>
  <si>
    <t>Empack</t>
  </si>
  <si>
    <t>Essity</t>
  </si>
  <si>
    <t>Film Tapa Salame</t>
  </si>
  <si>
    <t>Fexa</t>
  </si>
  <si>
    <t>Film Impreso Marraqueta ATM</t>
  </si>
  <si>
    <t>Fresca Oliva</t>
  </si>
  <si>
    <t>Frigorifico Osorno</t>
  </si>
  <si>
    <t>Film tapa generico pan atm 425</t>
  </si>
  <si>
    <t>Frutarom</t>
  </si>
  <si>
    <t>Film tapa pizza española</t>
  </si>
  <si>
    <t>Gourmet</t>
  </si>
  <si>
    <t>Camara MP Pizza</t>
  </si>
  <si>
    <t>Film tapa Transparente Pizza 656 x72</t>
  </si>
  <si>
    <t>GPE</t>
  </si>
  <si>
    <t xml:space="preserve">Film 530 skin pack 130 micras      </t>
  </si>
  <si>
    <t>Granotec</t>
  </si>
  <si>
    <t>Heredia</t>
  </si>
  <si>
    <t>Hielo Fiesta</t>
  </si>
  <si>
    <t>Hilachas</t>
  </si>
  <si>
    <t>Indura</t>
  </si>
  <si>
    <t xml:space="preserve">Film Apet km. (390 cm) molida      </t>
  </si>
  <si>
    <t>Innovalim</t>
  </si>
  <si>
    <t>Film width max 490mm (bandeja H40 221x17</t>
  </si>
  <si>
    <t>Interandina</t>
  </si>
  <si>
    <t>K+S</t>
  </si>
  <si>
    <t>Bolsa Pan Soft 18x46x0,0045</t>
  </si>
  <si>
    <t>Kleen Supply</t>
  </si>
  <si>
    <t>Bolsa Empanada Mayorista 34x54x0,0090</t>
  </si>
  <si>
    <t>La Estampa</t>
  </si>
  <si>
    <t>Langer</t>
  </si>
  <si>
    <t>Lesaffre</t>
  </si>
  <si>
    <t>Lizzi Mora</t>
  </si>
  <si>
    <t>Trimig 80/20 Refrigerado</t>
  </si>
  <si>
    <t>Macrofood</t>
  </si>
  <si>
    <t>Chips de chocolate Alternativo (Carozzi)</t>
  </si>
  <si>
    <t>Manar</t>
  </si>
  <si>
    <t>Marfrig</t>
  </si>
  <si>
    <t>Montexport</t>
  </si>
  <si>
    <t>Multivac</t>
  </si>
  <si>
    <t>Mylpan</t>
  </si>
  <si>
    <t>Omeñaca</t>
  </si>
  <si>
    <t xml:space="preserve">Ciinta TTO Negra 55mmx1200m       </t>
  </si>
  <si>
    <t>Oscupack</t>
  </si>
  <si>
    <t>Patricio Fry</t>
  </si>
  <si>
    <t>Plastiservi</t>
  </si>
  <si>
    <t>Prinal</t>
  </si>
  <si>
    <t>Protecsa</t>
  </si>
  <si>
    <t>Camara MP Bodega Seco</t>
  </si>
  <si>
    <t>Punto Azul</t>
  </si>
  <si>
    <t>Cinta Acrílica Azul  48x100        </t>
  </si>
  <si>
    <t>Puratos</t>
  </si>
  <si>
    <t>Quillayes Surlat</t>
  </si>
  <si>
    <t>Et. Alto 100x150 Sodio y Grasas Sat.</t>
  </si>
  <si>
    <t>Reutter</t>
  </si>
  <si>
    <t>San Cristobal</t>
  </si>
  <si>
    <t>Logo alto calorias 30x30</t>
  </si>
  <si>
    <t>santa cecilia</t>
  </si>
  <si>
    <t>Logo alto en sodio 35x35</t>
  </si>
  <si>
    <t>Smartpack</t>
  </si>
  <si>
    <t>Logo alto en Sodio 25x25</t>
  </si>
  <si>
    <t>Soc Jaime Muñoz</t>
  </si>
  <si>
    <t>ET.100X150 SOD,GRASA,CALORIAS P/CONGEL, 1000E/R</t>
  </si>
  <si>
    <t>Solucorp</t>
  </si>
  <si>
    <t>Etiqueta Blanca 100x 100 alto calorias</t>
  </si>
  <si>
    <t>Solutec</t>
  </si>
  <si>
    <t>Etiqueta Marraqueta  transparente</t>
  </si>
  <si>
    <t>SPT</t>
  </si>
  <si>
    <t>Etiqueta Hallulla  transparente</t>
  </si>
  <si>
    <t>tagler</t>
  </si>
  <si>
    <t>Etiqueta Doblada transparente</t>
  </si>
  <si>
    <t>Team Foods Chile</t>
  </si>
  <si>
    <t>Etiqueta logo altos transparente</t>
  </si>
  <si>
    <t>Treck</t>
  </si>
  <si>
    <t>Cinta TTO 110 x 700 metros Planta 2</t>
  </si>
  <si>
    <t>Tressa</t>
  </si>
  <si>
    <t>Etiqueta Hallullita especial transparent</t>
  </si>
  <si>
    <t>Valle Verde</t>
  </si>
  <si>
    <t>Etiqueta logo alto caloria transparente</t>
  </si>
  <si>
    <t>Vanni</t>
  </si>
  <si>
    <t>Etiqueta Pack Chaparritas Lider</t>
  </si>
  <si>
    <t>Walmart Chile</t>
  </si>
  <si>
    <t>ET. Alto Sodio 35mm Transparente</t>
  </si>
  <si>
    <t>Winpack</t>
  </si>
  <si>
    <t>Etiqueta hallulla especial 70x 150</t>
  </si>
  <si>
    <t>Etiqueta Dobladita</t>
  </si>
  <si>
    <t>Italiano Familiar</t>
  </si>
  <si>
    <t>Etiqueta muestra gratis hallullitas 5 un</t>
  </si>
  <si>
    <t>Italiano 120g</t>
  </si>
  <si>
    <t>Etiqueta Hallullita atm 5 Unidades</t>
  </si>
  <si>
    <t>Baguette 250gr</t>
  </si>
  <si>
    <t xml:space="preserve">Et. 100x 150 Club House Doblada </t>
  </si>
  <si>
    <t>Baguette 120gr</t>
  </si>
  <si>
    <t>Et. 100x 150 Club House Amasado</t>
  </si>
  <si>
    <t>Chocosito</t>
  </si>
  <si>
    <t>Et. 100x 150 Club House Marraqueta</t>
  </si>
  <si>
    <t>Et. 100x 150 Club House Hallullitas</t>
  </si>
  <si>
    <t>Et. 100x 150 Club House Hallulla</t>
  </si>
  <si>
    <t>Et. Empanada Napolitana 100x100</t>
  </si>
  <si>
    <t>Et. Magdalena sabor Vainilla 9U (0.70x150mm)</t>
  </si>
  <si>
    <t>Et. Magdalena sabor Chocolate 9U (0.70x150mm)</t>
  </si>
  <si>
    <t>Et. Magdalena sabor Tres Leches 9U (0.70x150mm)</t>
  </si>
  <si>
    <t>Et. Magdalena Chips Magdalena 6U (0.90x120mm)</t>
  </si>
  <si>
    <t>Et Magdalena chip chocolate (Carozzi)</t>
  </si>
  <si>
    <t>Pizza Pepperoni Lider</t>
  </si>
  <si>
    <t>Bandeja 500 gr Transparente</t>
  </si>
  <si>
    <t>Pizza Vegetariana</t>
  </si>
  <si>
    <t>Bandeja 700 gr Transparente</t>
  </si>
  <si>
    <t xml:space="preserve">Bandeja Albóndigas Negro        </t>
  </si>
  <si>
    <t>Bandeja Hamburguesas Negro</t>
  </si>
  <si>
    <t>Bandeja H40 PET Transparente</t>
  </si>
  <si>
    <t>Bandeja Skin Pack (270 x 215 x 15 mm) Co</t>
  </si>
  <si>
    <t>Bandeja Skin Pack XXL (365 x 215 x 15 mm</t>
  </si>
  <si>
    <t>Bandeja 250 gramos boca de 500 gramos</t>
  </si>
  <si>
    <t xml:space="preserve">PH Liquid 6014             </t>
  </si>
  <si>
    <t>Unimix Albóndiga</t>
  </si>
  <si>
    <t>Unimix Hamburguesa NF</t>
  </si>
  <si>
    <t>unimix sabor hamburguesa americana</t>
  </si>
  <si>
    <t>unimix sabor base molida americana</t>
  </si>
  <si>
    <t>Batido SP Cramer</t>
  </si>
  <si>
    <t>Sabor Tres leches T41405-46</t>
  </si>
  <si>
    <t>Sabor vainilla v0163146</t>
  </si>
  <si>
    <t>Sabor chocolate C0116046</t>
  </si>
  <si>
    <t>Unimix Variedades de Cerdo</t>
  </si>
  <si>
    <t>CFQ - Sanitizer 20 kG</t>
  </si>
  <si>
    <t>Jabon C/Triclosan Bidon</t>
  </si>
  <si>
    <t>Endure 300 Caja (5 X 950 Ml)</t>
  </si>
  <si>
    <t>Papel Higiénico - Rollos de 500 mts</t>
  </si>
  <si>
    <t xml:space="preserve">endure 300 5 x 950 ml caja                        </t>
  </si>
  <si>
    <t>xy 12 60 kg</t>
  </si>
  <si>
    <t>topax 66 220 kg</t>
  </si>
  <si>
    <t>Nitro plus 70 kg</t>
  </si>
  <si>
    <t xml:space="preserve">vortexx 20 kg                                     </t>
  </si>
  <si>
    <t xml:space="preserve">quik fill 980  60 kg                              </t>
  </si>
  <si>
    <t xml:space="preserve">jabon triclosan  20 kg         </t>
  </si>
  <si>
    <t>command 220kg</t>
  </si>
  <si>
    <t>topax 18 (60)kg</t>
  </si>
  <si>
    <t xml:space="preserve">toalla autocorte 200 m 8 rollos     </t>
  </si>
  <si>
    <t xml:space="preserve">topax neutro 60 kg                                </t>
  </si>
  <si>
    <t xml:space="preserve">Geltar Pulsar Cera 20 kg. </t>
  </si>
  <si>
    <t xml:space="preserve">Quick Fill 910  60Kg.                             </t>
  </si>
  <si>
    <t>Quick Fill 310  20Kg.</t>
  </si>
  <si>
    <t xml:space="preserve">Topax 66.  60KG                                   </t>
  </si>
  <si>
    <t>Topax 66. 1000 Kg.</t>
  </si>
  <si>
    <t>Quick Fill 320 20 kg</t>
  </si>
  <si>
    <t>EMPANADA NAPOLITANA PACK 2 UN</t>
  </si>
  <si>
    <t>CFQ - Sanitizer 60 kG</t>
  </si>
  <si>
    <t xml:space="preserve">Drio san duo              </t>
  </si>
  <si>
    <t>Urinal Rings</t>
  </si>
  <si>
    <t>Nitro Plus 24KG (986024)</t>
  </si>
  <si>
    <t xml:space="preserve">Green Wash  </t>
  </si>
  <si>
    <t>toalla autocorte 2x250</t>
  </si>
  <si>
    <t xml:space="preserve">Pirotin magdalena </t>
  </si>
  <si>
    <t>Pack Magdalena tres leches - 6 Un.</t>
  </si>
  <si>
    <t xml:space="preserve">Film Manual Amarillo 1,5        </t>
  </si>
  <si>
    <t>Pack Magdalena Vainilla - 6 Un.</t>
  </si>
  <si>
    <t xml:space="preserve">Film Para Palletizar                   </t>
  </si>
  <si>
    <t xml:space="preserve"> Bolsa Basura Transparente 90x120x0.04  </t>
  </si>
  <si>
    <t xml:space="preserve">Bolsas Basuras Transp. 115x150x0.03     </t>
  </si>
  <si>
    <t>Cinta Ad. Rojo 48x100m. CALIDAD</t>
  </si>
  <si>
    <t>Cinta Ad. Amarillo 48x100m</t>
  </si>
  <si>
    <t>Bolsa 105 x 75 (Fuelle 200 mm)</t>
  </si>
  <si>
    <t>Bolsa Prepicada</t>
  </si>
  <si>
    <t>Film Azul KG (1,5kg x rollo)</t>
  </si>
  <si>
    <t xml:space="preserve">Film Amarillo KG                     </t>
  </si>
  <si>
    <t xml:space="preserve">Bolsa Fuelle (100x70x0,040)       </t>
  </si>
  <si>
    <t xml:space="preserve">Bolsa Verde Decomiso 100 x 80      </t>
  </si>
  <si>
    <t xml:space="preserve">Bolsa Roja Decomiso 100 x 80      </t>
  </si>
  <si>
    <t xml:space="preserve">Bolsa Amarilla Decomiso 100 x 80    </t>
  </si>
  <si>
    <t>Bolsa Azul 100 Micras Carnes</t>
  </si>
  <si>
    <t>Lamina transparente 70x70 Plantas de car</t>
  </si>
  <si>
    <t xml:space="preserve">Bolsa Basura Azul 80x110        </t>
  </si>
  <si>
    <t>Film Tapa Pizza Ind. Napolitana ( Impr.)</t>
  </si>
  <si>
    <t>Film Tapa Suprema (Impreso)</t>
  </si>
  <si>
    <t>Film Impreso Emp. Hoja Pino</t>
  </si>
  <si>
    <t>Film Tapa Pizza Napolitana SBA</t>
  </si>
  <si>
    <t>Film Tapa Pizza Pollo Champiñong SBA</t>
  </si>
  <si>
    <t>Film Tapa Pizza Pepperoni SBA (Impreso)</t>
  </si>
  <si>
    <t>Film Emp. Cock Jamón Queso</t>
  </si>
  <si>
    <t>Film Pack Emp. Horno Pino</t>
  </si>
  <si>
    <t xml:space="preserve">Film Pepperoni alternativo </t>
  </si>
  <si>
    <t xml:space="preserve">Papel higiénico 6x600 Essity                      </t>
  </si>
  <si>
    <t xml:space="preserve">Toala papel jumbo2x 310mt Essity                  </t>
  </si>
  <si>
    <t xml:space="preserve">V Asiento - Paraguay          </t>
  </si>
  <si>
    <t>V Lomo Liso - Paraguay</t>
  </si>
  <si>
    <t>V Posta Negra - Paraguay</t>
  </si>
  <si>
    <t>V Posta Paleta - Paraguay</t>
  </si>
  <si>
    <t>Empanizador</t>
  </si>
  <si>
    <t>Cacao en polvo</t>
  </si>
  <si>
    <t>Granozime HLL3522</t>
  </si>
  <si>
    <t>Mejorador Hallulla (Fermaid - Masa madre)</t>
  </si>
  <si>
    <t>Aditivo extra fermaid</t>
  </si>
  <si>
    <t>Mejorador Bolleria (Granomix QQC 4424)</t>
  </si>
  <si>
    <t>Polvo de hornear 2P AL (LEVAMIX)</t>
  </si>
  <si>
    <t xml:space="preserve">Harina Marraqueta   </t>
  </si>
  <si>
    <t>Harina Fuerza Media Saco</t>
  </si>
  <si>
    <t>Hielo en escama</t>
  </si>
  <si>
    <t>Nitrogeno Liquido</t>
  </si>
  <si>
    <t>Oxígeno Líquido (O2)</t>
  </si>
  <si>
    <t>Indural C30</t>
  </si>
  <si>
    <t>Dióxido de Carbono Granel.</t>
  </si>
  <si>
    <t xml:space="preserve">Monoxido de Carbono </t>
  </si>
  <si>
    <t>Pino Lider Reformulado</t>
  </si>
  <si>
    <t xml:space="preserve">V Asiento - Brasil           </t>
  </si>
  <si>
    <t>V Cogote - Brasil</t>
  </si>
  <si>
    <t>V Ganso - Brasil</t>
  </si>
  <si>
    <t xml:space="preserve">V Lomo Liso - Brasil          </t>
  </si>
  <si>
    <t>V Posta Negra - Brasil</t>
  </si>
  <si>
    <t>V Posta Paleta - Brasil</t>
  </si>
  <si>
    <t>V Posta Rosada - Brasil</t>
  </si>
  <si>
    <t>V Posta Rosada - Paraguay</t>
  </si>
  <si>
    <t>Sal Industrial</t>
  </si>
  <si>
    <t>Cinta Ad. Trans. 48mmx100m.</t>
  </si>
  <si>
    <t xml:space="preserve">Paños Garzon                            </t>
  </si>
  <si>
    <t xml:space="preserve">Virutilla Verde Scotch Brite            </t>
  </si>
  <si>
    <t xml:space="preserve">Guante Nitrilo Azul M                             </t>
  </si>
  <si>
    <t>Guante Nitrilo Azul S                </t>
  </si>
  <si>
    <t>Ponchos desechables blancos caja</t>
  </si>
  <si>
    <t xml:space="preserve">Paño multiuso gamuza38x40 caja 250 un             </t>
  </si>
  <si>
    <t xml:space="preserve">Fibra abrasiva verde genérica pack 10 un          </t>
  </si>
  <si>
    <t>Quita Pelusa</t>
  </si>
  <si>
    <t>Mascarilla Facial</t>
  </si>
  <si>
    <t>Buzo desechable blanco</t>
  </si>
  <si>
    <t>Harina Marraqueta</t>
  </si>
  <si>
    <t>Harina Fina/Flor Saco</t>
  </si>
  <si>
    <t xml:space="preserve">Pechera Blanca (100%PVC)                          </t>
  </si>
  <si>
    <t xml:space="preserve">Guante de Algodón Pigmentado                     </t>
  </si>
  <si>
    <t>V Ganso Especial Congelado - Brasil</t>
  </si>
  <si>
    <t>Film 150 Micras Panaderia atm</t>
  </si>
  <si>
    <t>Film 80 micras Panaderia atm</t>
  </si>
  <si>
    <t>Jamon Sandwich Lider</t>
  </si>
  <si>
    <t>Chorizo Cubo 0,5 x 0,5</t>
  </si>
  <si>
    <t>Peperonni Tradicional (Alternativo)</t>
  </si>
  <si>
    <t>Hongo Stop</t>
  </si>
  <si>
    <t>Base Pan  Amasado</t>
  </si>
  <si>
    <t>Base Pan  Dobladas</t>
  </si>
  <si>
    <t>Mejorador Hallulla  R-S</t>
  </si>
  <si>
    <t>Aditivo Panaderia RN-C</t>
  </si>
  <si>
    <t>Base pan dulce</t>
  </si>
  <si>
    <t>Mejorador Malta Marraqueta (RN-CC)</t>
  </si>
  <si>
    <t>Lamina Manga 110x0.028 micras</t>
  </si>
  <si>
    <t xml:space="preserve">Tecsa Food-A                            </t>
  </si>
  <si>
    <t>S-500</t>
  </si>
  <si>
    <t>Sorbato de potasio Liquido (Protektor)</t>
  </si>
  <si>
    <t>Toupan + Conservante (Propionato)</t>
  </si>
  <si>
    <t>Chips de chocolate</t>
  </si>
  <si>
    <t>O-tentic Durum</t>
  </si>
  <si>
    <t xml:space="preserve">Guante Nitrilo Azul L                       </t>
  </si>
  <si>
    <t>Gorro desechable</t>
  </si>
  <si>
    <t>Manguillas Polietileno</t>
  </si>
  <si>
    <t xml:space="preserve">Mascarilla Facial            </t>
  </si>
  <si>
    <t>Pechera con Manga</t>
  </si>
  <si>
    <t xml:space="preserve">Harina Marraqueta </t>
  </si>
  <si>
    <t>Harina plata Granel</t>
  </si>
  <si>
    <t xml:space="preserve">Papel Soporte Moret           </t>
  </si>
  <si>
    <t>Film Tapa Sin Impresión con Barrera Ind</t>
  </si>
  <si>
    <t>Etiq. Merc.  Asiento Bistec P6 C/Resol. </t>
  </si>
  <si>
    <t>Etiq. Merc. Lomo Liso Bistec P6 C/Resol.</t>
  </si>
  <si>
    <t>Etiq. Merc. Posta Paleta Bistec P6 C/Res</t>
  </si>
  <si>
    <t>Etiq. Asado AmericanoTozo P6 C/Resol.</t>
  </si>
  <si>
    <t>Etiq. Asiento Trozo P6  C/Resol.</t>
  </si>
  <si>
    <t>Etiqueta El Buen Corte V Ganso (Trozo) P6 Con Resolución </t>
  </si>
  <si>
    <t xml:space="preserve"> Etiq. Posta Negra (Trozo) P6 C/Resol.  </t>
  </si>
  <si>
    <t>Etiq. Posta Paleta (Trozo) P6 C/Resol. </t>
  </si>
  <si>
    <t>Etiq. Posta Rosada (Trozo) P6 C/Resol. </t>
  </si>
  <si>
    <t xml:space="preserve">Etiqueta Bistec  Americano P 6      </t>
  </si>
  <si>
    <t>Etiqueta Carbonada</t>
  </si>
  <si>
    <t xml:space="preserve">Etiqueta hamburguesa americana     </t>
  </si>
  <si>
    <t>Etiqueta Mercadeo Carne en Tiras P6</t>
  </si>
  <si>
    <t xml:space="preserve">etiqueta mercadeo churrascos de postas </t>
  </si>
  <si>
    <t>etiqueta mercadeo bistec de postas</t>
  </si>
  <si>
    <t xml:space="preserve">etiqueta mercadeo escalopas de postas  </t>
  </si>
  <si>
    <t>Film tapa generico pan atm 392</t>
  </si>
  <si>
    <t>Etiqueta Carne Molida 10%(18x700) P5 Con preservante</t>
  </si>
  <si>
    <t>Etiq.Carne Molida 10%(24x500)Preservante</t>
  </si>
  <si>
    <t>Etiq.Molida Especial 7%(18x700)Preservan</t>
  </si>
  <si>
    <t>Etiq.Molida Especial 7%(24x500)Preservan</t>
  </si>
  <si>
    <t>Etiq.Molida Especial 7%(36x250)Preservan</t>
  </si>
  <si>
    <t xml:space="preserve">Etiq.Tartaro 4 %(18x700)Preservante   </t>
  </si>
  <si>
    <t xml:space="preserve">Etiq.Tartaro 4 %(24x500)Preservante   </t>
  </si>
  <si>
    <t xml:space="preserve">Etiq.Tartaro 4 %(36x250)Preservante   </t>
  </si>
  <si>
    <t xml:space="preserve">Etiqueta V Asiento Anticucho 400gr   </t>
  </si>
  <si>
    <t>Etiqueta Escalopa Posta Apanada</t>
  </si>
  <si>
    <t>Etiqueta Bife Especial Punta Paleta</t>
  </si>
  <si>
    <t>Etiqueta Flat Iron Punta Paleta</t>
  </si>
  <si>
    <t>Etiqueta Molida de Cerdo 200 gr 10% Grasa Trafico P5</t>
  </si>
  <si>
    <t>Etiqueta Molida cerdo  450 gr 10% M.G</t>
  </si>
  <si>
    <t>Etiqueta Molidamix  cerdo  500 gr  10% M</t>
  </si>
  <si>
    <t>Etiqueta Hamburguesa Americana P5 con preservantes</t>
  </si>
  <si>
    <t>Etiqueta  Americana Saborizada P5 con preservantes</t>
  </si>
  <si>
    <t>Etiqueta Albondiga  Preservante</t>
  </si>
  <si>
    <t xml:space="preserve">Etiqueta Hamburguesa Tradic 500 gr P5 con preservantes </t>
  </si>
  <si>
    <t>Etiqueta Mini hamburguesa preservante</t>
  </si>
  <si>
    <t xml:space="preserve">Etiqueta Bife Cerdo skinpack </t>
  </si>
  <si>
    <t xml:space="preserve">Etiqueta Medallones cerdo Skinpack </t>
  </si>
  <si>
    <t xml:space="preserve">Etiqueta Lómito sándwich ATM </t>
  </si>
  <si>
    <t>Etiqueta Trocitos de cerdo ATM</t>
  </si>
  <si>
    <t xml:space="preserve">Etiqueta Trozo Cerdo skinpack </t>
  </si>
  <si>
    <t>Film Transparente (linea empanadas Cockt</t>
  </si>
  <si>
    <t>Etiqueta Albóndigas de Cerdo 450gr (12un</t>
  </si>
  <si>
    <t>Etiqueta Hamburguesa de Cerdo 500 gr (12</t>
  </si>
  <si>
    <t>Papel Moret 130 mm</t>
  </si>
  <si>
    <t>Papel soporte Moret 149 mm</t>
  </si>
  <si>
    <t>Etiqueta PVC 150 x 45 Blanca Unidad</t>
  </si>
  <si>
    <t xml:space="preserve">Etiqueta PVC 150 x 45 Blanca Unidad   </t>
  </si>
  <si>
    <t xml:space="preserve">Cinta Termotransferible 102mm      </t>
  </si>
  <si>
    <t xml:space="preserve">Etiqueta 100x60 Blanca         </t>
  </si>
  <si>
    <t>Et. Alto 100x150 Sodio, Grasas Sat. y Calorias</t>
  </si>
  <si>
    <t>ET. 100X150 SOD, GRASAS, P/CONGEL, 1000E/R</t>
  </si>
  <si>
    <t>Black Ink 2770K</t>
  </si>
  <si>
    <t>Provian K  preservante carnes</t>
  </si>
  <si>
    <t xml:space="preserve">Bota Blanca con Punta de Acero     </t>
  </si>
  <si>
    <t>Zapaton Cuero Negro 35</t>
  </si>
  <si>
    <t>Zapaton Cuero Negro 36</t>
  </si>
  <si>
    <t xml:space="preserve">Zapaton Cuero Negro 37         </t>
  </si>
  <si>
    <t>Zapaton Cuero Negro 38</t>
  </si>
  <si>
    <t>Zapaton Cuero Negro 39</t>
  </si>
  <si>
    <t>Zapaton Cuero Negro 40</t>
  </si>
  <si>
    <t>Zapaton Cuero Negro 41</t>
  </si>
  <si>
    <t>Zapaton Cuero Negro 42</t>
  </si>
  <si>
    <t>Zapaton Cuero Negro 43</t>
  </si>
  <si>
    <t>Zapaton Cuero Negro 44</t>
  </si>
  <si>
    <t>shampoo</t>
  </si>
  <si>
    <t>Jabon Glicerina</t>
  </si>
  <si>
    <t>Queso Mantecoso Granulado</t>
  </si>
  <si>
    <t>Queso Mantecoso Barra</t>
  </si>
  <si>
    <t>Queso Gauda Barra</t>
  </si>
  <si>
    <t>Platano Premium (18 KG) IMP</t>
  </si>
  <si>
    <t>Palta Hass Verde</t>
  </si>
  <si>
    <t>Platano barraganete (caja 18 Kg)</t>
  </si>
  <si>
    <t>Zuncho 12mm Blanco</t>
  </si>
  <si>
    <t>Film 656 tapa Genérico Pizzas</t>
  </si>
  <si>
    <t>ID</t>
  </si>
  <si>
    <t>Semana</t>
  </si>
  <si>
    <t>Hora</t>
  </si>
  <si>
    <t>Línea</t>
  </si>
  <si>
    <t xml:space="preserve">Analista </t>
  </si>
  <si>
    <t>Operario</t>
  </si>
  <si>
    <t>Tipo de Bloqueo</t>
  </si>
  <si>
    <t>RUT_Proveedor</t>
  </si>
  <si>
    <t>SAP_Material</t>
  </si>
  <si>
    <t>Tipo Peligro</t>
  </si>
  <si>
    <t>Descripción_NC</t>
  </si>
  <si>
    <t>Causa Raiz</t>
  </si>
  <si>
    <t>Acciones Inmediatas</t>
  </si>
  <si>
    <t>Acciones Correctivas</t>
  </si>
  <si>
    <t>Destino 1</t>
  </si>
  <si>
    <t>Destino 2</t>
  </si>
  <si>
    <t>Cantidad (kg)</t>
  </si>
  <si>
    <t>Cantidad (CLP)</t>
  </si>
  <si>
    <t>Lote</t>
  </si>
  <si>
    <t>Detalle NC</t>
  </si>
  <si>
    <t>Detalle Causa</t>
  </si>
  <si>
    <t>Formato (kg)</t>
  </si>
  <si>
    <t>UMV</t>
  </si>
  <si>
    <t>MMPP</t>
  </si>
  <si>
    <t>Envases y embalajes</t>
  </si>
  <si>
    <t>Semielab.</t>
  </si>
  <si>
    <t>M.OBRA</t>
  </si>
  <si>
    <t>ENERGI</t>
  </si>
  <si>
    <t>GASN</t>
  </si>
  <si>
    <t>Sub Error Operacional</t>
  </si>
  <si>
    <t>FB19324TM134635</t>
  </si>
  <si>
    <t xml:space="preserve">Evelyn Guzman </t>
  </si>
  <si>
    <t>WAYS</t>
  </si>
  <si>
    <t>Durante el recorrido se observa desviación de PCC Nro. 4 de Enfriamiento en empaque empanada. Temperatura con desvío 8,3 °C.</t>
  </si>
  <si>
    <t>Tpm informa que al revisar temperatura de anaconda se encontraba seteada a -25 °C. Se recomienda revisar seteo de anaconda por dimensiones de producto.</t>
  </si>
  <si>
    <t>Se identifica producto involucrado con desviación.</t>
  </si>
  <si>
    <t>Se identifica el producto involucrado en desvío, se bloquea y se envía a cámara de -20 °C CPAN para cumplir con acción correctiva de dar golpe de Frío hasta alcanzar temperatura de refrigeración luego de 2 hrs de enfriamiento.</t>
  </si>
  <si>
    <t>CV19324TN050956</t>
  </si>
  <si>
    <t>Evelin Mena</t>
  </si>
  <si>
    <t xml:space="preserve">Presuntivo Escherichia Coli en hielo fiest fecha de elaboración 29-01-2024 y fecha de vencimiento 28-01-2028 de acuerdo a programa bimensual de analisis </t>
  </si>
  <si>
    <t>Posibles causas se puede deber a las malas condiciones de almacenamiento en cámara CPAN de planta masas</t>
  </si>
  <si>
    <t>Se bloquea hielo involucrado en la desviación microbiologica por E.Coli</t>
  </si>
  <si>
    <t>Resultado  final dio ausencia de E.Coli sin embargo en el analisis de coliformes totales dio fuera de rango establecido en reglamento sanitario de los alimentos</t>
  </si>
  <si>
    <t>Devolución a proveedor</t>
  </si>
  <si>
    <t>Sin Lote</t>
  </si>
  <si>
    <t>MS19124TM134938</t>
  </si>
  <si>
    <t>Jonathan Anfrens</t>
  </si>
  <si>
    <t xml:space="preserve">Personal de Producciòn panaderia L1  informa que encuentran en un pallet 1 saco  de harina (Ali 2) de 20Kg roto y con plastico en forma de tapón para evitar que se este se continuara esparciendo. </t>
  </si>
  <si>
    <t xml:space="preserve">Se identifica y se bloquea saco de 20 kg se envia a bodega </t>
  </si>
  <si>
    <t xml:space="preserve">Se bloquea y se envia a bodega. </t>
  </si>
  <si>
    <t>MM19124TM132410</t>
  </si>
  <si>
    <t>Viviana Estrada</t>
  </si>
  <si>
    <t>Siendo las 11:00 operadora informa que film tapa presenta problemas en la taca ocasionando que el film se corra en su presentación. Se toma muestra y se entrega a analista de recepción para evaluar y generar si corresponde reclamo a proveedor. Se observaron manchas en el borde de la taca.</t>
  </si>
  <si>
    <t>Bloqueo de 6 bobinas sin uso y 4 con poco uso del mismo lote.</t>
  </si>
  <si>
    <t>Estudiar causa del fallo de acuerdo a FT y generar si corresponde reclamo a proveedor @tibor indicar cantidad bloqueada</t>
  </si>
  <si>
    <t>YR19024TT200956</t>
  </si>
  <si>
    <t>N. Casanova</t>
  </si>
  <si>
    <t xml:space="preserve">Durante seguimiento de producto se visualiza que marraqueta presenta particulas negras no caractetisticas del producto y ademas se visualizo greña lateral pronunciada en producto envasado sin ser segregado de manera eficiente. </t>
  </si>
  <si>
    <t xml:space="preserve">Partículas corresponden a suciedad proveniente de los cangilones de la fermentadora. y la greña a falta de vapor en la fermentadora. </t>
  </si>
  <si>
    <t xml:space="preserve">Se identifica y bloquea producto sellado involucrado en defecto, se acompaña segregación antes de envasar y aún así envasan producto con manchas que deben reenvasarse. </t>
  </si>
  <si>
    <t>Se debe realizar selección del producto envasado, reprocesar segregando productos con defecto.</t>
  </si>
  <si>
    <t>YR18824TN032302</t>
  </si>
  <si>
    <t>D. Guajardo</t>
  </si>
  <si>
    <t>Durante seguimiento se detectó envases de pizza Vegetariana líder con bajo peso. Peso neto de producto corresponde a 475 gr.</t>
  </si>
  <si>
    <t xml:space="preserve">Se revisa en zona de alimec pizza que puede afectar el bajo peso y se presento problema en ralladora de queso, debió dosificarse queso manualmente ya envasado y este se encontraba un poco compactado y además operadora responsable en módulo no tenia agilidad para la actividad afectando dosificación correcta del queso. </t>
  </si>
  <si>
    <t xml:space="preserve">Se identifica y bloquea producto desde último control en cumplimiento, se revisa con operadora de zona de alimec mejorar la dosificación del queso controlando que queso este sin grumos y dosificar oportunamente el queso para evitar bajo peso de producto. </t>
  </si>
  <si>
    <t xml:space="preserve">Se identifica y bloquea producto involucrado en desvío, se realiza controles posteriores a desvio cada media hora y el producto se mantiene en cumplimiento.  se reprocesa producto pesando el  100 %  y separando unidades con desvío, y se reprocesa. </t>
  </si>
  <si>
    <t>MM18724TN230007</t>
  </si>
  <si>
    <t>Danitza Díaz</t>
  </si>
  <si>
    <t xml:space="preserve">se reprocesan 20 bandejas de Marraqueta ATM lote 184 por desviación de parametro de concentracion de oxigeno </t>
  </si>
  <si>
    <t>Operadora detecta modificacion de parametros en manometros de presion</t>
  </si>
  <si>
    <t>se bloquea producto desde el ultimo control en cumplimiento</t>
  </si>
  <si>
    <t>Se reprocesa producto.</t>
  </si>
  <si>
    <t>MM18724TN225256</t>
  </si>
  <si>
    <t>Danitza Carvajal</t>
  </si>
  <si>
    <t xml:space="preserve">Se reprocesan 42,24 kg de Marraqueta ATM Lote 183 por desviación de concentración de oxigeno </t>
  </si>
  <si>
    <t>Uso incorrecto de aguja por operaria externa a la linea (apoyo)</t>
  </si>
  <si>
    <t>Se bloquean 4  bandejas y se revisan empaques encontrandose concentraciones en cumplimiento</t>
  </si>
  <si>
    <t>se reprocesan bandejas desde el ultimo control en cumplimiento</t>
  </si>
  <si>
    <t>FB18724TT201726</t>
  </si>
  <si>
    <t>Jordy Guevara</t>
  </si>
  <si>
    <t>Tpm Jordy Guevara informa a las 19:20 que una de las bolsas de papa cubo lote 178 presenta un elemento extraño dentro del producto.</t>
  </si>
  <si>
    <t>Proveniente de Materia Prima Papa cubo pre-cocida</t>
  </si>
  <si>
    <t>Se bloquea bolsa y se revisan otros paquetes de papa cubo no encuentrandose mas particulas.</t>
  </si>
  <si>
    <t>Se realiza reclamo a proveedor</t>
  </si>
  <si>
    <t>CV18724TM141402</t>
  </si>
  <si>
    <t>Erasmo Bastias</t>
  </si>
  <si>
    <t>Se detecta desviación de temperatura de enfriamiento en empanada suprema selección lote 187, desde las 06:40 am hasta las 08:40 am</t>
  </si>
  <si>
    <t>Las posibles causas que lo generan puede ser por hielo en evaporadores de anaconda y la otra posible causa es la cantidad de relleno que se le agrega al producto.</t>
  </si>
  <si>
    <t>Se bloquean 4 palets de horno suprema selección lote 187, se envian a cámara de despacho.</t>
  </si>
  <si>
    <t>despues se realiza AC dando temperaturas dentro de rangos establecidos, a las 09:05 y a las 10:44 am</t>
  </si>
  <si>
    <t>YR18724TN045549</t>
  </si>
  <si>
    <t>L. Zuñiga</t>
  </si>
  <si>
    <t xml:space="preserve">Durante seguimiento de producto se realiza inmersión del producto observando defecto del material de empaque por rortura del film fondo. </t>
  </si>
  <si>
    <t xml:space="preserve">Manipulación inadecuada por parte de operadoras durante el pesaje que se esta realizando directamente en línea. </t>
  </si>
  <si>
    <t xml:space="preserve">Se bloquea producto desde último control en cumplimiento, se revisa film en cinta de variovac sin observar daño. </t>
  </si>
  <si>
    <t xml:space="preserve">Se bloquea producto involucrado en desvío para reproceso, se solicita al personal de empaque verificar correctamente los envases antes del envasado final en bandejas plomo con la finalidad de separar productos </t>
  </si>
  <si>
    <t>YR18724TN042928</t>
  </si>
  <si>
    <t xml:space="preserve">Durante seguimiento de producto en línea se realiza control de gramaje encontrando bajo peso, incumpliendo peso neto especifico del producto Hallulla ATM Líder 900 gr.  </t>
  </si>
  <si>
    <t xml:space="preserve">Durante turno noche se revisa control de pesos por parte de operadora de turno en línea 1 con producción de hallulla fermeid para verificar si existe bajo peso y esta en cumplimiento. Por favor turno tarde verificar peso con personal de línea para poder evaluar a que se debe el bajo peso para este producto. </t>
  </si>
  <si>
    <t>Se avisa a supervisor de turno, se identifica y bloquea productos desde último control en cumplimiento incluyendo producto en anaconda antes de ajuste de dosificadora.  Producto desviado debe ser pesado nuevamente por área de producción separando producto en incumplimiento según lo establece SOP 87 Control de gramaje y peso planta masas.</t>
  </si>
  <si>
    <t xml:space="preserve">Se bloquea producto desde último control en cumplimiento. Se separa bajo peso y se reprocesa a granel. Se  realiza pesaje de todos los envases a la salida de variovac 2 con la finalidad de garantizar el cumplimiento del peso neto 900 gr. </t>
  </si>
  <si>
    <t>CV18624TM154705</t>
  </si>
  <si>
    <t>Wadson Vesardre</t>
  </si>
  <si>
    <t>Se activa alerta por perdida de frecuencia en monitoreo en control de horneado de línea 4</t>
  </si>
  <si>
    <t>TPM Arnaldo Acuña no no deja informado en tablet del motivo del no realizar el control de horneado en ese tiempo trascurrido, ya que en registro de control de tiempos estaba informado de detención de línea por cambio de formato de hallulla fermaid a marraqueta lider.</t>
  </si>
  <si>
    <t>Se bloquean 3 pallets de hallulla fermaid por perdida de frecuencia de monitoreo en temperatura de horneo. De acuerdo a las AC establecidas en registro se deben pedir curvas de tenperatura de horneado, como el tiempo trascurrido es de mas de 4 horas estas no quedan grabadas en sistema como respaldo.</t>
  </si>
  <si>
    <t>Capacitar a TPM Arnaldo Acuña ya que debe registrar todo los controles asociados con la frecuencia establecida tenga o no tenga producción.</t>
  </si>
  <si>
    <t>CV18624TM153008</t>
  </si>
  <si>
    <t>Se activa alerta por perdida de frecuencia en control de gramaje RAC-168 en dos horarios durante la mañana a las 11:40 y a las 12:58.</t>
  </si>
  <si>
    <t>La primera fue por desconocimiento del tiempo de frecuencia de control del monitoreo que es cada 1 hora y la segunda fue por reemplazo en el horario de almuerzo (Ruben Monsalvez) no llevó el control de acuerdo a la frecuencia establecida.</t>
  </si>
  <si>
    <t>Se bloquean 10 pallets de marraqueta lider para ATM LOTE 186, como este producto va para envasado ATM se debe envasar y hacer el gramaje correspondiente en líneas Multivac 1 y 2.</t>
  </si>
  <si>
    <t>Se debe realizar capacitación a TPM Wadson Vesardre y Ruben Monsalvez por correcto control de frecuencia de monitoreo de gramaje en línea 4</t>
  </si>
  <si>
    <t>YR18624TN055529</t>
  </si>
  <si>
    <t xml:space="preserve">E. Revilla </t>
  </si>
  <si>
    <t xml:space="preserve">Durante verificación de libros se visualizo incumplimiento en frecuencia de monitoreo en detector de metales de variovac pan. </t>
  </si>
  <si>
    <t xml:space="preserve">Operadora olvida registrar control y monitoreo en la frecuencia establecida. </t>
  </si>
  <si>
    <t>Se identifica y bloquea producto involucrado en desvío, se avisa a TPM, se reprocesa.</t>
  </si>
  <si>
    <t>Producto es pasado por detector de metales nuevamente, y se registra reproceso en R-ITAC-24-01</t>
  </si>
  <si>
    <t>YR18624TN021703</t>
  </si>
  <si>
    <t>Durante el control y monitoreo del RAC -168 Control de gramaje operadora responsable detecta 1 unidad de producto bajo peso. No cumple con peso neto especificado en etiqueta 855 gr, producto peso 848 gr</t>
  </si>
  <si>
    <t xml:space="preserve">Producto con bajo peso desde área de producción panadería línea 4 </t>
  </si>
  <si>
    <t xml:space="preserve">Se realiza control de gramaje a granel, se revisan bandejas involuvradas en desvio y se reprocesa a granel. </t>
  </si>
  <si>
    <t xml:space="preserve">Se avisa a supervisor de turno y analista de calidad, se reprocesa producto a granel y se devuelve a producción panadería. </t>
  </si>
  <si>
    <t>YR18524TN033822</t>
  </si>
  <si>
    <t xml:space="preserve">Durante verificación de libro en variovac pan se observó que último sato colocado en R-ITAC 129-03 presenta error en fecha de vencimiento. (se anexa imágen) se verifica pallets en zona de despacho y se corrobora que efectivamente tienen este error, además en turno tienen incumplimiento en frecuencia de monitoreo en RAC -112 correspondiente a las 20:45 pm. y registrando Sin producción dónde el resto de los controles se encuentran realizados. </t>
  </si>
  <si>
    <t xml:space="preserve">Personal de turno tarde requiere más impresiones de sato durante el envasado y no se percata de error en sato. Fecha de vencimiento incompleta sin el numero que indica el mes.  </t>
  </si>
  <si>
    <t xml:space="preserve">Se avisa a supervisor de turno, se revisan pallets emvasados en turno tarde, se identifican y bloquean. </t>
  </si>
  <si>
    <t xml:space="preserve">Turno mañana por favor realizar revisión de estos pallets reprocesando producto con error en fecha de vencimiento. </t>
  </si>
  <si>
    <t>AC18424TT195002</t>
  </si>
  <si>
    <t>Operadores de Produccion empanada detectan elemento extraño en empaque de papa cubo cocida lote 178</t>
  </si>
  <si>
    <t>Proveniente de Materia Prima</t>
  </si>
  <si>
    <t>se bloquea empaque , se revisan otros paquetes de papa cubo no se encuentran mas particulas</t>
  </si>
  <si>
    <t>YR18424TN061324</t>
  </si>
  <si>
    <t>F. Contreras</t>
  </si>
  <si>
    <t xml:space="preserve">Se revisa en terreno y se visualizo suciedad proveniente de cangilones con puntos negros bastantes notorios. Puede confundirse con hollin del horno.  </t>
  </si>
  <si>
    <t xml:space="preserve">Se bloquea producto involucrado en desvío. Se recibe instrucción de segregación de producto por parte de operaciones pero en la verificación se puede constatar no es efectiva. </t>
  </si>
  <si>
    <t xml:space="preserve">Parte operativa informa de segregación de producto se realizará  en multivac 1 antes del envasado en atmosfera modificada con verificación por parte de calidad pero al revisar envases de producto se observa que segregación no es efectiva manteniendo manchas en panes, se instruye al personal pero aún así se separa  envases con manchas negras. Producto se mantiene retenido. </t>
  </si>
  <si>
    <t>AC18324TT170008</t>
  </si>
  <si>
    <t>Scarlet Rubio</t>
  </si>
  <si>
    <t>Mientras se hace revision de equipo Checkpoint, se detecta desviacion de concentracion de gases, se toman varias muestras de linea y de pallet que estaban completando y se encuentran unidades con desviacion de O2</t>
  </si>
  <si>
    <t>Problema con el vacio</t>
  </si>
  <si>
    <t>Se aumenta el vacio, se bloquean unidades comprometidas desde la ultima medicion en cumplimiento</t>
  </si>
  <si>
    <t>Se reprocesa producto (132 Unidades)</t>
  </si>
  <si>
    <t>118,8</t>
  </si>
  <si>
    <t>YR17824TM163623</t>
  </si>
  <si>
    <t>E. Revilla</t>
  </si>
  <si>
    <t xml:space="preserve">Se solicito a empresa Omeñaca respaldo de  requisitos posterior a desvío microbiológicos cómo acción correctiva sin ser enviados en el despacho del día. </t>
  </si>
  <si>
    <t xml:space="preserve">Falta de requisito solicitado, no se reciben resultados de análisis micribiológicos durante la recepción de los lotes recibidos. </t>
  </si>
  <si>
    <t xml:space="preserve">Se avisa a supervisor de turno de bloqueo y se identifica según procedimiento con film amarillo y tarja. </t>
  </si>
  <si>
    <t xml:space="preserve">Se bloquea producto, a espera de resultados microbiológicos. </t>
  </si>
  <si>
    <t>965,06</t>
  </si>
  <si>
    <t>ZY412/ZY406</t>
  </si>
  <si>
    <t>MM17724TM140441</t>
  </si>
  <si>
    <t>Angelica Vasquez</t>
  </si>
  <si>
    <t xml:space="preserve">Siendo las 10:20 durante la realización de seguimiento se observa mala dosificación de topping y pocas cantidades de Salame, se informa a supervisor el hallazgo y se procede a bloquear 2 pallets detienen anaconda y proceden a reprocesar en linea para cumplir con FT. Operarios alegan que el espesor del Salame esta fuera de FT por lo que se procede a medir y dar los datos a analista de recepción de materia prima para que verifique con la FT estando dentro de Parametros por lo que se descarta que la causa es la materia prima se procede a observar los tubos cilindricos de laminadora y se observan abolladuras lateras  </t>
  </si>
  <si>
    <t>Deformidad de tubos cilindricos de laminadora</t>
  </si>
  <si>
    <t xml:space="preserve">Bloqueo de Producto afectado </t>
  </si>
  <si>
    <t xml:space="preserve">Reprocesar producto afectado (turno tarde) y Evaluar mejoras en tubos cilindricos </t>
  </si>
  <si>
    <t>FB17724TN032228</t>
  </si>
  <si>
    <t xml:space="preserve">Pre Pizza </t>
  </si>
  <si>
    <t>Al momento de la verificación en línea se pudo evidenciar etiqueta inkjet borrosa en producto Pre-pizza Lote 177</t>
  </si>
  <si>
    <t>Falta de control por personal de etiquetadora y mantenimiento a etiquetadoras inkjet.</t>
  </si>
  <si>
    <t xml:space="preserve">Se bloquea producto involucrado </t>
  </si>
  <si>
    <t>Se procede a Reetiquetar Producto con Inkjet borrosa</t>
  </si>
  <si>
    <t>FB17724TN031208</t>
  </si>
  <si>
    <t xml:space="preserve">Viviana Estrada </t>
  </si>
  <si>
    <t>Al momento de la verificación en línea se pudo evidenciar etiqueta inyect borrosa en producto Pre Pizza Lote 176</t>
  </si>
  <si>
    <t>Falta de control por personal de etiquetadora y mantenimiento a etiquetadoras inject.</t>
  </si>
  <si>
    <t>Se procede a reetiquetar Producto con Inyect borrosa</t>
  </si>
  <si>
    <t>YR17624TM164049</t>
  </si>
  <si>
    <t>G. Rubilar</t>
  </si>
  <si>
    <t>Analista Liz Sánchez el día 17/06/2024 informa que durante producción de bolleria después de conección a totten se observa condición de vacío en estructura de totten observado por supervisore Francisco Venegas, quien informa a Calidad y por seguridad se procede a bloquear Totten con un contenido aproximado de 700kg de Huevo Líquido.</t>
  </si>
  <si>
    <t>El equipo de mantenimiento llevo a cabo una investigación y determinó que la causa del problema es la que válvula ha perdido su calibración.</t>
  </si>
  <si>
    <t xml:space="preserve">Se procede a desconectar totem y realizar bloqueo de este. </t>
  </si>
  <si>
    <t xml:space="preserve">Se retiro totem, se bloqueo  y se espero investigación de personal de mantención. </t>
  </si>
  <si>
    <t>E16424E-1</t>
  </si>
  <si>
    <t>MM17424TT174811</t>
  </si>
  <si>
    <t>Agustin Joubert</t>
  </si>
  <si>
    <t>Siendo las 16:40 Supervisor Claudio Morera da aviso que en producción de Coctel Jamon hacen uso de la materia prima Margarina Maestra Hoja de origen vegetal en vez de Margarina Maestra hoja combinada (vegetal y Animal)</t>
  </si>
  <si>
    <t xml:space="preserve">Uso de Materia prima de otro origen </t>
  </si>
  <si>
    <t>Bloqueo del producto</t>
  </si>
  <si>
    <t>Evaluar producto para verificar comportamiento de la materia prima en el producto</t>
  </si>
  <si>
    <t>MM17424TT172504</t>
  </si>
  <si>
    <t>Siendo las 16:40 Supervisor Claudio Morera da aviso que en producción de Coctel Queso hacen uso de la materia prima Margarina Maestra Hoja de origen vegetal en vez de Margarina Maestra hoja combinada ( vegetal y Animal)</t>
  </si>
  <si>
    <t xml:space="preserve">Bloqueo de producto </t>
  </si>
  <si>
    <t>PÑ17424TN053854</t>
  </si>
  <si>
    <t>Catalina Barahona</t>
  </si>
  <si>
    <t>producto presenta bajo peso</t>
  </si>
  <si>
    <t>mala dosificacion de MMPP</t>
  </si>
  <si>
    <t>identificar y bloquear producto invoucrado</t>
  </si>
  <si>
    <t>mejorar la dosificacion del relleno de la empanada, crear un estandar. supervisor tibor Petranyi informa que producto sera entregado como donacion</t>
  </si>
  <si>
    <t>MS17324TM141807</t>
  </si>
  <si>
    <t>Ambar Solis</t>
  </si>
  <si>
    <t>Estimado se bloquea producto por etiqueta incorrecta de hallulla ATM "LOT" faltando la E a la etiqueta</t>
  </si>
  <si>
    <t xml:space="preserve">Error en Injeckt </t>
  </si>
  <si>
    <t xml:space="preserve">Se identifica y se bloquea producto. Se informa al supervisor y TPM y se corrige la Injeckt. </t>
  </si>
  <si>
    <t xml:space="preserve">Se informa al supervisor y TPM y se corrige la Injeckt. </t>
  </si>
  <si>
    <t>AC17324TM124003</t>
  </si>
  <si>
    <t>Debora Guajardo</t>
  </si>
  <si>
    <t>Se detecta al realizar seguimiento de Pizza Napolitana SBA que se encontraban pizzas bajo peso (9 de 16), se revisan productos del pallet que se estaba armando y tambien se encontraron unidades bajo peso</t>
  </si>
  <si>
    <t xml:space="preserve">Falta de Topping </t>
  </si>
  <si>
    <t>Se Bloquean productos</t>
  </si>
  <si>
    <t>Se realiza revision de pallets y reproceso de unidades bajo peso (adicion de topping)</t>
  </si>
  <si>
    <t>YR17324TM095447</t>
  </si>
  <si>
    <t>M. Pardo</t>
  </si>
  <si>
    <t xml:space="preserve">Durante proceso de transvasije personal visualizo elemento extraño (particula color negro) en envase de queso mozzarella granulado.  </t>
  </si>
  <si>
    <t>Por identificar</t>
  </si>
  <si>
    <t xml:space="preserve">Se realiza bloqueo de materia prima, se debe enviar reclamo al proveedor </t>
  </si>
  <si>
    <t xml:space="preserve">Bloqueo de materia prima del lote involucrado en desvío. </t>
  </si>
  <si>
    <t>240910G</t>
  </si>
  <si>
    <t>PÑ17024TN042023</t>
  </si>
  <si>
    <t>Leticia Villena</t>
  </si>
  <si>
    <t>presencia excesiva de manteca en producto terminado</t>
  </si>
  <si>
    <t>posible problema con MMPP margarina.</t>
  </si>
  <si>
    <t>identificar y bloquear producto con el defecto.</t>
  </si>
  <si>
    <t xml:space="preserve">se revisaron variables en la linea productivas que pudieran afectar el producto. </t>
  </si>
  <si>
    <t>CV16724TM143140</t>
  </si>
  <si>
    <t>Moise Dussaint</t>
  </si>
  <si>
    <t>Azucar Bonanza de color no caracteristico de acuerdo a FT</t>
  </si>
  <si>
    <t>Posible mezcla con azucar rubia en la elaboración.</t>
  </si>
  <si>
    <t>Se bloquean con cinta amarilla</t>
  </si>
  <si>
    <t>Generar reclamo a proveedor Agrocomerce tomar AC dentro de los 5 días hábiles</t>
  </si>
  <si>
    <t>CV16724TM142057</t>
  </si>
  <si>
    <t>Semielaborado masa de empanada horno mediana con presencia de grumo de aspecto blanquecino</t>
  </si>
  <si>
    <t>La posible causa se puede deber a que se mantiene en cámara de refrigerado y por temperatura ambiente de sala de como resultado la formación de estos grumos. La otra posible causa que la manteca no está homogénea dando diferentes punto de fusión.</t>
  </si>
  <si>
    <t>Se bloquean masa semielborado de empanada horno mediana lote 167, fecha de vencimiento 20-06-24.</t>
  </si>
  <si>
    <t>Se debe generar reclamo a Proveedor Frutarom e informar dentro de 5 días hábiles</t>
  </si>
  <si>
    <t>CV16724TM120625</t>
  </si>
  <si>
    <t>Materia Prima manteca de palma 20 kilos utilizada en la elaboración de empanada horno pino, se observa en masa de recorte grumo de aspecto blanquesino.</t>
  </si>
  <si>
    <t>La posible causa se puede deber a que se mantiene en cámara de refrigerado y por temperatura ambiente de sala de como resultado la formación de estos grumos. La otra posible causa que la manteca no esta homogemea dando diferentes punto de fusión.</t>
  </si>
  <si>
    <t>Se bloquea materia prima manteca de palma 20 kilos proveedor Frutarom, fecha de elaboración 03-04-24 y vencimiento 03-04-25, lote 2327036B</t>
  </si>
  <si>
    <t>Se debe generar reclamo a proveedor Frutarom e informar AC dentro de  5 días hábiles</t>
  </si>
  <si>
    <t>2327036B</t>
  </si>
  <si>
    <t>AC16624TT191604</t>
  </si>
  <si>
    <t>Evelyn Guzman</t>
  </si>
  <si>
    <t>Empanadas Coctel Jamon Queso donde de utilizò Jamon Juliana Artesanal que se encontrò con cartilagos tamaño considerable y coloracion no caracteristica</t>
  </si>
  <si>
    <t>MMPP con defectos</t>
  </si>
  <si>
    <t>Se ubico el corte correspondiente al lote de Jamon con problemas y se Bloqueo inmediatamente al salir de la anaconda</t>
  </si>
  <si>
    <t>Quedo identificado con su tarja,</t>
  </si>
  <si>
    <t>AC16624TT175348</t>
  </si>
  <si>
    <t>Operadoras de produccion empanadas mientras abrian Bolsas de Jamon Juliana Artesanal Lote 4142124, encuentran trozos de cartilagos y ademas manchas negras y grises no caracteristicas</t>
  </si>
  <si>
    <t>Materia Prima con defecto</t>
  </si>
  <si>
    <t>Se bloquea MMPP ( 221 kg), se bloquea batea , y se bloquea corte de empanadas coctel queso donde se usò materia prima comprometida</t>
  </si>
  <si>
    <t>Se cambia de lote</t>
  </si>
  <si>
    <t>AC16524TT191016</t>
  </si>
  <si>
    <t>Se detectan 5 Bandejas de Empanada NOT Pino lote 113 FE 22-04-24 (en refresh) , para envasar las cuales ya habia pasado la vida util para congelado (30 dias)</t>
  </si>
  <si>
    <t>Falla en FIFO</t>
  </si>
  <si>
    <t>Se bloquea producto</t>
  </si>
  <si>
    <t>PÑ16422TT140640</t>
  </si>
  <si>
    <t>J Rain</t>
  </si>
  <si>
    <t>se observa precencia de agua en pan envasado ATM</t>
  </si>
  <si>
    <t>condensacion del pan durante el almacenamiento en zona de despacho</t>
  </si>
  <si>
    <t>bloqueo de producto terminado</t>
  </si>
  <si>
    <t>se instruye al personal de la linea para revisar la MMPP antes de envasar.</t>
  </si>
  <si>
    <t>Error Operacional</t>
  </si>
  <si>
    <t>Incumplimiento del procedimiento establecido: se aplico AC golpe de frío con bolsas fuelles cerradas</t>
  </si>
  <si>
    <t>PÑ16224TM155336</t>
  </si>
  <si>
    <t>luis yucra</t>
  </si>
  <si>
    <t>producto no cumple con forma ni espesor.</t>
  </si>
  <si>
    <t>mal ajuste de parametros de fermentadora y horno</t>
  </si>
  <si>
    <t>avisar a supervisor y tpm pata realizar ajustes, identificar producto involucrado.</t>
  </si>
  <si>
    <t>se ajustan temperatura y humedad .</t>
  </si>
  <si>
    <t>PÑ16224TM154748</t>
  </si>
  <si>
    <t>producto presenta desviacion de textura por sobre parametros.</t>
  </si>
  <si>
    <t>problemas con sensor de vapor de horno en L1.</t>
  </si>
  <si>
    <t>se identifico producto, se dio aviso a tpm y supervisor para realizar mejoras.</t>
  </si>
  <si>
    <t>se aumenta humedad y temperatura del horno.</t>
  </si>
  <si>
    <t>AC16224TT173500</t>
  </si>
  <si>
    <t xml:space="preserve">Se revisan 15 bandejas de la produccion de napolitana de principio de turno, se detecta que estaba con incumplimiento de Ficha tecnica . (Espesor en promedio 1,4 cm, deberia ser 2,8 minimo) </t>
  </si>
  <si>
    <t>Por definir turno mañana</t>
  </si>
  <si>
    <t>Se realiza revision, era lo ultimo de la produccion</t>
  </si>
  <si>
    <t>PP16224TM124209</t>
  </si>
  <si>
    <t>C. Barahona</t>
  </si>
  <si>
    <t xml:space="preserve">Siendo las 11:15 empaque empandas da aviso que la empanda Napolitana esta presentando problemas, me acerco a revisar y la empanada esta presentando los sigueintes defectos: Empanda sin desarrollo de hojaldre , bajo espesor y sobre dimensionada sobresale de las bandejas blancas que dificulta el sellado para pack. </t>
  </si>
  <si>
    <t xml:space="preserve">En espera de respuesta de supervisor </t>
  </si>
  <si>
    <t xml:space="preserve">Se bloquea la produccion con los defectos informados, se solicita que separen la empanda que no desarrolla hojandre y la sobredomensionadas. </t>
  </si>
  <si>
    <t xml:space="preserve">se avisa a mantencion para revision de temperarura de horno , revision de temperatura de anaconda  y los productos para elaboracion de empandada napolitana. </t>
  </si>
  <si>
    <t>Luis Yucra</t>
  </si>
  <si>
    <t>PP15224TN025632</t>
  </si>
  <si>
    <t xml:space="preserve">V.Estrada </t>
  </si>
  <si>
    <t xml:space="preserve">Durante el recorriedo de revision de linea me acerco a revisar el area de Variovac pan encontrandome a la TPM Valeri re pesando el producto envasado , le pregunte si teniana problema de peso, lo cual me dice que si, reviso el libro para determinar desde que hora se debe realizar el reproceso y no estaba hecho con la frecuencia establecida, por lo que procedo a bloquear los palets desde el  ultimo control registrado que fue a las 23:14 , se bloquea el producto que sale despues del ultimo control,  para un total de 3 palet con 6 bandejas. </t>
  </si>
  <si>
    <t xml:space="preserve">Perdida de frecuencia de monitoreo y Bajo peso del producto. </t>
  </si>
  <si>
    <t xml:space="preserve">Identificacion de palets desde el ultimo control y bloqueo de producto </t>
  </si>
  <si>
    <t xml:space="preserve">Situar a personal con pesa a la salida de la varivac pan, para que pese producto saliente. </t>
  </si>
  <si>
    <t>RAC-168 (Frecuencia de Monitoreo)</t>
  </si>
  <si>
    <t>Incumplimiento de Frecuencia de Monitoreo</t>
  </si>
  <si>
    <t>YR15124TT182312</t>
  </si>
  <si>
    <t>R. Reyes</t>
  </si>
  <si>
    <t xml:space="preserve">Operadora responsable de realizar control y monitoreo aviso que se presento desvio de gases en Multivac 1 Oxigeno por sobre el parámetro y CO2 por debajo del parámetro establecido.  </t>
  </si>
  <si>
    <t>por identificar.</t>
  </si>
  <si>
    <t xml:space="preserve">TPM de línea realiza ajustes de parámetros de la mezcla de gases en el sistema de avanzado, se identifica y bloquea producto involucrado en desvío. </t>
  </si>
  <si>
    <t xml:space="preserve">Se identifica y bloquea producto involucrado en desvío, se monitorea gases posterior al ajuste y se asegura que los parametros estan dentro de los límites establecidos y se reenvasa  pan involucrado en desvío.  </t>
  </si>
  <si>
    <t>PCC5 (Desviación de Concentración Gases)</t>
  </si>
  <si>
    <t>No Informado</t>
  </si>
  <si>
    <t>kg</t>
  </si>
  <si>
    <t>LS15924TM163053</t>
  </si>
  <si>
    <t>Operario informa devío detectado en monitoreo de control gramaje en Hallulla ATM.</t>
  </si>
  <si>
    <t>@Adelso Favor realiza la causa raíz</t>
  </si>
  <si>
    <t xml:space="preserve">se aparta 2 pallets de producto terminado desde último cumplimiento para revisión, se realiza control de peso continuo a salida de envasadora. </t>
  </si>
  <si>
    <t>Devolución a producción de producto con incumplimiento.</t>
  </si>
  <si>
    <t>15801V2</t>
  </si>
  <si>
    <t>LS24923TM123814</t>
  </si>
  <si>
    <t>Bella Amasifuem</t>
  </si>
  <si>
    <t>Se detecta registro incompleto en control de PCC5 a  las 4:18 en cambio de producto de pepperoni a Napolitana Lider.</t>
  </si>
  <si>
    <t>Se tomaron mediciones de gases a productos de primeros pallets desde la ùltima mediciòn en cumplimiento.</t>
  </si>
  <si>
    <t>Reprocesar el producto involucrado en el desvìo.</t>
  </si>
  <si>
    <t>162,75 </t>
  </si>
  <si>
    <t>AC15924TN014122</t>
  </si>
  <si>
    <t>Andrea Gomez</t>
  </si>
  <si>
    <t>Al comienzo de turno noche TPM Andrea Gomez y Supervisor Carlos Parada detectan que desde las 19:00 de turno tarde en el area de empaque panaderia linea 1 no habian realizado el cambio de formato y estaban etiquetando como hallulla fermaid el producto Hallulla Intense que va para ATM.</t>
  </si>
  <si>
    <t>TPM de turno tarde no informa de cambio de formato</t>
  </si>
  <si>
    <t>Se bloquean productos desde la hora de cambio de formato 19:00 ( 330 bandejas)</t>
  </si>
  <si>
    <t>Se revisan pallets y se retiran etiquetas de Hallulla Fermaid y se identifican como Hallulla intense para ATM. Se corrigen registros de empaque linea 1</t>
  </si>
  <si>
    <t>MS15924TN043658</t>
  </si>
  <si>
    <t xml:space="preserve">TPM informa desvio de temperatura en empanada Horno Suprema 15ºC. </t>
  </si>
  <si>
    <t xml:space="preserve">Problemas con la temperatura en la anaconda. </t>
  </si>
  <si>
    <t xml:space="preserve">Se identifica y bloquea producto involucrado, se envia a càmara de congelado para golpe de frio. </t>
  </si>
  <si>
    <t>Se envia a càmara de congelado para golpe de frio</t>
  </si>
  <si>
    <t>MS15924TN051204</t>
  </si>
  <si>
    <t xml:space="preserve">TPM informa desvío de temperatura en empanada Horno Suprema 15ºC. </t>
  </si>
  <si>
    <t xml:space="preserve">Por definir </t>
  </si>
  <si>
    <t>Se identifica y bloquea producto involucrado, se envía a cámara de congelado para golpe de frio.</t>
  </si>
  <si>
    <t>Se envía a cámara de congelado para golpe de frio</t>
  </si>
  <si>
    <t>AC15824TN023113</t>
  </si>
  <si>
    <t>Camila Godoy</t>
  </si>
  <si>
    <t>Al principio de turno operadores detectan al realizar PCC 4 que producto se encontaba con desviacion de temperatura 21 ºC</t>
  </si>
  <si>
    <t>Turno tarde deja anaconda de enfriamiento apagada</t>
  </si>
  <si>
    <t>Se bloquea producto, se dejan bolsas abiertas, 77 bandejas</t>
  </si>
  <si>
    <t>se da golpe de frio, se libera producto , temperatura de 8,7 ºC</t>
  </si>
  <si>
    <t>AC15824TN022403</t>
  </si>
  <si>
    <t>Al principio de turno operadores detectan al realizar PCC 4 que producto se encontaba con desviacion de temperatura 26 ºC</t>
  </si>
  <si>
    <t>Se bloquea producto , 75 bandejas</t>
  </si>
  <si>
    <t>se dejan bolsas abiertas, se da golpe de frio, se libera producto , temperatura de 2,4 ºC</t>
  </si>
  <si>
    <t>YR15824TM142844</t>
  </si>
  <si>
    <t>S. Andraes</t>
  </si>
  <si>
    <t>Durante recorrido de líneas y firma de libros por parte de Analista de Calidad Marileny Montilla visualizó incumplimiento de frecuencia de monitoreo en RAC -112, no registrandose control y monitoreo de las 5:00 am, complentando de las 04:00 am y 06:00 am (se anexa imágen)</t>
  </si>
  <si>
    <t xml:space="preserve">Operario de turno noche no registra control y monitoreo en la frecuencia establecida, supervisores de turno noche por favor reforzar capacitación con operador responsable. </t>
  </si>
  <si>
    <t xml:space="preserve">Se avisa a supervisora de turno, se identifica y bloquea producto involucrado en el período de tiempo del incumplimiento. </t>
  </si>
  <si>
    <t xml:space="preserve">Se verifica trazabilidad desde el pallet 16 hasta el pallet 24 en zona de despacho antes de envío de producto a tunel de enfriamiento, verificando cumplimiento de fecha de vencimiento y lote. </t>
  </si>
  <si>
    <t>YR15224TT195957</t>
  </si>
  <si>
    <t>A. Martinez</t>
  </si>
  <si>
    <t xml:space="preserve">Personal de turno tarde informa que posterior a control de PCC a las 13:45 pm equipo presento problemas con detención constante.  </t>
  </si>
  <si>
    <t xml:space="preserve">Se solicito  a personal de mantención entregar analisis de causa raìz </t>
  </si>
  <si>
    <t xml:space="preserve">Se avisa a calidad y persomal de mantención, se identifica y bloquea producto desde último control en cumplimiento. </t>
  </si>
  <si>
    <t xml:space="preserve">Personal de mantención logra ajustar la sensibilidad del detector para el producto de lìnea y explico que el producto bloqueado debía enviarse a cámara de congelado para que el estado de producto cumpla con las especificaciones de la nueva receta  </t>
  </si>
  <si>
    <t>FB15124TM130123</t>
  </si>
  <si>
    <t>Angelica Morales</t>
  </si>
  <si>
    <t>Durante el control y monitoreo de Detector de metales M2 a las 10:20 se pudo observar que no reconoció patrón Ferroso al pasarlo puducto por poducto</t>
  </si>
  <si>
    <t>Alteración del umbral.</t>
  </si>
  <si>
    <t xml:space="preserve">Se avisa a personal de mantención y supervisor de Turno. Se identifica y bloquea producto desde el último control en cumplimiento.  </t>
  </si>
  <si>
    <t xml:space="preserve">En vista de que no llego personal de mantencion TPM procedio a modificar sensibilidad del detector y se verifico posteriormente correcto funcionamiento. A demas se reproceso nuevamente el producto involucrado </t>
  </si>
  <si>
    <t>Falla de Equipo</t>
  </si>
  <si>
    <t>YR15124TT184350</t>
  </si>
  <si>
    <t xml:space="preserve">A. Martinez </t>
  </si>
  <si>
    <t xml:space="preserve">Durante el recorrido de línea en empaque panadería, se visualizó desvío de temperatura para Italiano 120  3,1 °C  registrada en control de PCC 4 enfriamiento planta 2.  Temperatura máx 0 °C. </t>
  </si>
  <si>
    <t xml:space="preserve">Deshielo de anaconda. </t>
  </si>
  <si>
    <t xml:space="preserve">Se bloquea producto involucrado en desvío. </t>
  </si>
  <si>
    <t xml:space="preserve">Se envía producto a cámara de -20  °C para aplicar golpe de frío.   </t>
  </si>
  <si>
    <t>PCC4 (Desviación de T)</t>
  </si>
  <si>
    <t>YR14824TT195428</t>
  </si>
  <si>
    <t xml:space="preserve">A. </t>
  </si>
  <si>
    <t xml:space="preserve">Durante el control y monitoreo de Detector de metales A3 a las 18:30 pm, no reconocio patron Ferroso. </t>
  </si>
  <si>
    <t xml:space="preserve">Por identificar, personal de mantención que acudio a resolver falla del equipo no logro realizar los ajustes del equipo para solucionar el problema indican que existe una alteración del umbral no caracteristica del equipo. </t>
  </si>
  <si>
    <t xml:space="preserve">Se avisa a personal de mantención, calidad no es informado al momento del desvío. Se identifica producto desde el último control en cumplimiento.  </t>
  </si>
  <si>
    <t xml:space="preserve">Se identifica y bloquea producto involucrado en desvío según RAC -522, Supervisora de turno Sandra Vargas indico que se destino producto a envasado en variovac pan. Se envaso producto en variovac pan, se realiza control de pcc cada hora y se registra en libro de variovac pan. </t>
  </si>
  <si>
    <t>PCC6(Falla de Sistema de Rechazo)</t>
  </si>
  <si>
    <t>YR15124TT175655</t>
  </si>
  <si>
    <t xml:space="preserve">Durante seguimiento de producto se realiza control de gramaje encontrando bajo peso, incumpliendo peso neto especifico del producto Marraqueta  ATM Líder 880 GR. </t>
  </si>
  <si>
    <t xml:space="preserve">Por identificar. </t>
  </si>
  <si>
    <t xml:space="preserve">Se avisa a supervisor de turno, se identifica y bloquea productos desde último control en cumplimiento. </t>
  </si>
  <si>
    <t xml:space="preserve">Se realiza pesaje de  unidad por unidad de producto bloqueado separando producto bajo peso, y se realiza pesaje de producto de bandejas a granel antes de envasado para identificar producto bajo peso y enviarlo a granel.  </t>
  </si>
  <si>
    <t>MS14624TT203456</t>
  </si>
  <si>
    <t xml:space="preserve">Personal de empaque empanadas de turno Mañana no realiza el monitoreo del control de gramaje RAC-168 a las 12:25 </t>
  </si>
  <si>
    <t xml:space="preserve">Por olvido del operador. </t>
  </si>
  <si>
    <t xml:space="preserve">Se identifica y se bloquea el producto involucrado. </t>
  </si>
  <si>
    <t xml:space="preserve">Se revisa por norma chilena y al encontrarse con desviaciòn, se revisa en su totalidad los 3 pallets bloqueados y se procede a segregar el producto que se encuentra en incumplimiento. Quedando 17 bandejas con bajo peso. </t>
  </si>
  <si>
    <t>UN</t>
  </si>
  <si>
    <t>YR14624TN061402</t>
  </si>
  <si>
    <t>V. Chade</t>
  </si>
  <si>
    <t xml:space="preserve">Durante seguimiento de producto se identifico producto con desvio de gases, Oxigeno por sobre lo establecido y CO2 por debajo de lo establecido. </t>
  </si>
  <si>
    <t xml:space="preserve">Por definir. </t>
  </si>
  <si>
    <t xml:space="preserve">Se avisa a supervisor de turno, se bloquea producto involucrado es desvío, se reprocesa a granel. </t>
  </si>
  <si>
    <t xml:space="preserve">Se ajustan parámetros de  vacío en variovac y se corrige desvío, se reenvasa producto involucrado en desvío. </t>
  </si>
  <si>
    <t>PP14924TN031804</t>
  </si>
  <si>
    <t xml:space="preserve">C, Barahona </t>
  </si>
  <si>
    <t xml:space="preserve">Se identifica empanada coctel que sale entre las 22:00 a las 22:30 en empaque , para sa ser bloqueado por utilizar materia prima (pino carne ) que se bloqueo en turno tarde por perder condiciones organolepticas. </t>
  </si>
  <si>
    <t xml:space="preserve">Se identifica prouducto se separa para ser bloqueado </t>
  </si>
  <si>
    <t>Se bloquea identifica producto y bloquea</t>
  </si>
  <si>
    <t>LS14824TT204343</t>
  </si>
  <si>
    <t>Massiel Suazo</t>
  </si>
  <si>
    <t>Pino Carne</t>
  </si>
  <si>
    <t xml:space="preserve"> Operadora informa a calidad que MMPP presenta olor fuerte que percibe al trasvasije al dosificador. Se verifica que se percibe olor no característico en MMPP</t>
  </si>
  <si>
    <t>Olor no característico en bolsas parte exterior, aún no se sabe que causo esto.</t>
  </si>
  <si>
    <t>Bloqueo de MMPP  .</t>
  </si>
  <si>
    <t>Solicitud a empaque para bloqueo de producto que salga de anaconda correspondiente a los 30 minutos de producción con ese lote. Cambio de lote</t>
  </si>
  <si>
    <t>132-1</t>
  </si>
  <si>
    <t>YR14624TN055112</t>
  </si>
  <si>
    <t>A. Acuña</t>
  </si>
  <si>
    <t xml:space="preserve">Siendo las 11:41 pm se realiza seguimiento en línea donde se observa producto con bajo espesor 5 unidades de 15 muestreadas, se avisa a supervisora de turno y se generan acciones correctivas, al realizar la contramuestra a las 03:20 am se observa que aún persiste incumplimiento en dimensiones. Se realiza muestreo de 1 bandeja de 03:00 Am encontrándose en incumplimiento en un total de 36 unidades muestreadas. </t>
  </si>
  <si>
    <t>Por definir</t>
  </si>
  <si>
    <t xml:space="preserve">Bloqueo de producto involucrado en desvio, desde las 00:00 am hasta las 06:30 am </t>
  </si>
  <si>
    <t>Se aumenta levadura y se ajusta parámetros de temperatura en fermentadora y se cambia a uso de agua de red por temperatura baja en agua de pozo.</t>
  </si>
  <si>
    <t>RAC-168 (bajo gramaje)</t>
  </si>
  <si>
    <t>FB14424TT174851</t>
  </si>
  <si>
    <t>Axel Cancino</t>
  </si>
  <si>
    <t>Se informa que durante el recorrido por línea 5 se visualizó producto Chocosito lote 144 con defecto proveniente de los robot samurái, obteniendo un porcentaje alto de producto sin corte entre 10 a 12 panes dentro de una muestra de 15 unidades.</t>
  </si>
  <si>
    <t>problemas en cuchillas samurai</t>
  </si>
  <si>
    <t>Se informa al supervisor de Turno Carlos Parada para identificar los pallets involucrados y asi proceder para su posterior bloqueo</t>
  </si>
  <si>
    <t xml:space="preserve">Se identifica producto involucrado y se procede a segregar productos sin cortes </t>
  </si>
  <si>
    <t>Desviación de Parámetros de FT</t>
  </si>
  <si>
    <t>MM14424TN023122</t>
  </si>
  <si>
    <t>Benina Juste</t>
  </si>
  <si>
    <t xml:space="preserve">Siendo las 00:40 en recorrido por empaque bolleria se observa 19 bandejas e informan que las mismas tienen problemas de bajo peso y que procederan a mermarla. Se toma muestra y se corrobora bajo peso de empaque encontrandose en 414 gr teniendo en cuenta que el contenido neto es de 430 gr. Se consulta con Sup Raul Lista el cual informa que efectivamente estan realizando los ajustes de parametros en dosificador </t>
  </si>
  <si>
    <t>Mal funcionamiento del dosificador (desajuste)</t>
  </si>
  <si>
    <t xml:space="preserve">Ajusten recorrido de pistones y Realizan pesaje cada 10 min </t>
  </si>
  <si>
    <t>CV14624TM134034</t>
  </si>
  <si>
    <t>Se detecta temperatura con desviación a la salida de anaconda valor de 7,4°C.</t>
  </si>
  <si>
    <t>Anaconda con seteo de -20°C, debiendo estar sobre los -25°C.</t>
  </si>
  <si>
    <t>Se bloquea desde el último control en cumplimiento y se envía a despacho sector cámara de congelado CPAN.</t>
  </si>
  <si>
    <t>Se toma temperatura a las 13:30 horas dando un valor de 2,9°C</t>
  </si>
  <si>
    <t>MS14824TT084318</t>
  </si>
  <si>
    <t>Horno Suprema bajo peso</t>
  </si>
  <si>
    <t>Mala dosificaciòn del pino</t>
  </si>
  <si>
    <t xml:space="preserve">Se identifica y se bloquea el producto. </t>
  </si>
  <si>
    <t>Donación</t>
  </si>
  <si>
    <t>MM14624TN005346</t>
  </si>
  <si>
    <t>Jhonny Gomez</t>
  </si>
  <si>
    <t>Siendo las 23:42 en recorrido por linea se observa en meson Queso Reggianito con evidencia de ramificación de Hifas de la parte central al exterior del producto operario informa que devolvio a recepción 5 Quesos y que se dan cuenta porque observan mancha superficial al aperturar el envase y proceden a realizar cortes trasversales evidenciando las hifas. Se procede a bloquear el lote 754401/100 y se da aviso a supervisor de recepción  y supervisor de Deli para que procedan a bloquear todo el lote y de esta manera se gestione reclamo a proveedor</t>
  </si>
  <si>
    <t xml:space="preserve">Solicitar al proveedor </t>
  </si>
  <si>
    <t>Bloqueo de 5 unidades de Queso con evidencia de hifas y lote completo de Queso Reggianito por seguridad y para reclamo</t>
  </si>
  <si>
    <t xml:space="preserve">Se solicita evaluar realizar reclamo a proveedor y solicitar causa raiz y acciones correctivas ademas de Auditar su proceso productivo debido a que la contaminación proviene desde la parte interna del producto hacia la superficie la cual no es visible en las recepciones </t>
  </si>
  <si>
    <t>754401/100</t>
  </si>
  <si>
    <t>YR14424TN052413</t>
  </si>
  <si>
    <t>V. Arenas</t>
  </si>
  <si>
    <t xml:space="preserve">Durante seguimiento de producto se realiza control de gramaje encontrando bajo peso, incumpliendo peso neto especifico del producto Doblada ATM Líder  855 GR. </t>
  </si>
  <si>
    <t xml:space="preserve">Por identificar </t>
  </si>
  <si>
    <t xml:space="preserve">Se realiza pesaje de producto unidad por unidad de producto bloqueado separando producto bajo peso, y se realiza pesaje de producto en línea durante el envasado. </t>
  </si>
  <si>
    <t>YR13924TM141801</t>
  </si>
  <si>
    <t>Y. Rain</t>
  </si>
  <si>
    <t xml:space="preserve">Durante verificación de registros se observó incumplimiento de la frecuencia de monitoreo en variovac pan   Rac 168 Control de Gramaje, RAC 112 PC04 Control de trazabilidad y rotulación Inkject/ etiquetado manual </t>
  </si>
  <si>
    <t xml:space="preserve">Operadora indico que inicio proceso posterior a detención y no realizo controles por estar sola en el área. </t>
  </si>
  <si>
    <t xml:space="preserve">Se avisa a supervisor de turno, se identifica y bloquea producto involucrado en desvío, se reproceso a granel para su reenvasado.  </t>
  </si>
  <si>
    <t xml:space="preserve">Producto involucrado en desvio sera reenvasado por tambien estar involucrado en desvío. Se verificara acción correctiva en conjunto. </t>
  </si>
  <si>
    <t>Incumplimiento de Frecuencia de Monitoreo en 2 o Mas Registros</t>
  </si>
  <si>
    <t>YR13924TM140409</t>
  </si>
  <si>
    <t>Y Rain</t>
  </si>
  <si>
    <t>Incumplimiento de frecuencia de monitoreo operadora Yoselin Rain no cumple con  el control de PCC 5 ATM</t>
  </si>
  <si>
    <t xml:space="preserve">Operadora indico que  incio  proceso posterior a detención  y no realizo controles por estar sola en el área. </t>
  </si>
  <si>
    <t xml:space="preserve">Se avisa a supervisor de turno, se  identifica y bloquea producto involucrado en desvio.  </t>
  </si>
  <si>
    <t xml:space="preserve">Reenvasado de producto, se realizo reproceso a granel,  el reenvasado se realizara en el turno tarde, se separo cantidad de bandejas involucradas en desvío. </t>
  </si>
  <si>
    <t>Falta de  Dotación de Personal</t>
  </si>
  <si>
    <t>YR14524TN011529</t>
  </si>
  <si>
    <t>K. Yañes</t>
  </si>
  <si>
    <t xml:space="preserve">Durante Seguimiento de productos en  líneas se realiza control de gramaje y se identifica envases por debajo del peso neto establecido  para pizza Pepperoni  SBA contenido neto 440G. </t>
  </si>
  <si>
    <t xml:space="preserve">Se avisa a TPM, se identifica y bloquea producto desde último control en cumplimiento. Se verifica pesos en línea y se encontraban en cumplimiento. </t>
  </si>
  <si>
    <t xml:space="preserve">Producción procede a pesar nuevamente todo el producto involucrado en desviación como lo establece el SOP-87 Control de gramaje y peso Planta 2, se verifica reproceso in situ separando unidades con desvío.  </t>
  </si>
  <si>
    <t>FB13924TN032634</t>
  </si>
  <si>
    <t>Error de digitación en sato de Hallulla ATM lote 138 (Producto fue elaborado en línea 1 y se coloco en el sato que se elaboró en línea 4).</t>
  </si>
  <si>
    <t>Mano de Obra: Operadora Valentina Arenas no siguió Procedimiento al No realizar revisión de Calidad de una reimpresión de otro turno.</t>
  </si>
  <si>
    <t>Se procede a separar los productos con los satos incorrectos para ser bloqueados posteriormente.</t>
  </si>
  <si>
    <t>Se procede a bloquear todos los pallets con los satos errados, para su posterior liberación por excepción mediante jefatura ( Se genera Carta Amonestación a Operadora )</t>
  </si>
  <si>
    <t>Error de impresión de Etiqueta o Injekct</t>
  </si>
  <si>
    <t>Se usaron Etiquetas no liberadas</t>
  </si>
  <si>
    <t>CV13924TT150212</t>
  </si>
  <si>
    <t>Se genera no cumplimiento en lectura de  patrón no ferroso producto terminado hoja jamón queso lote 139 se describe en PCC 06 DETECTOR DE METALES.</t>
  </si>
  <si>
    <t>Desconfiguración de equipo detector de metales, afectando el correcto funcionamiento del equipo.</t>
  </si>
  <si>
    <t>Se bloquea PT desde el último control en cumplimiento dejandolo con cinta amarilla para reproceso.</t>
  </si>
  <si>
    <t xml:space="preserve">De acuerdo a AC de registro PCC-06 RAC acción correctiva número 2, luego se debe proceder a llenar registroControl de reproceso productos bloqueados planta masas R-ITAC-24-01 </t>
  </si>
  <si>
    <t>PCC6(No se detecta patrón)</t>
  </si>
  <si>
    <t>LS13824TM152814</t>
  </si>
  <si>
    <t>Vladimir Berrios</t>
  </si>
  <si>
    <t xml:space="preserve">A las 9 am  en seguimiento en línea se observa producto sobredimensionado en largo y bajo espesor, se solicita acciones correctivas, al realizar la contramuestra a las 12:30 se observa que aún persiste incumplimiento en dimensiones. Se realiza muestreo de 1 bandeja de las 9am encontrándose en incumplimiento en un total de 44 unidades muestreadas. </t>
  </si>
  <si>
    <t>Temperatura de fermentadora se encontraba en 30°C</t>
  </si>
  <si>
    <t xml:space="preserve">Bloqueo de 24 pallets desde las 9 am hasta las 13pm. </t>
  </si>
  <si>
    <t>Se aumenta temperatura de agua de 23,9 a 26°C, se aumenta en 100g de levadura y se aumenta la temperatura de fermentadora de 34 a 36°C</t>
  </si>
  <si>
    <t>PÑ13824TT202423</t>
  </si>
  <si>
    <t>wadson versandre</t>
  </si>
  <si>
    <t>pan bajo parametros de espesor</t>
  </si>
  <si>
    <t>mal ajuste de parametros en linea productiva</t>
  </si>
  <si>
    <t>bloqueo del producto y ajustre en la linea productiva</t>
  </si>
  <si>
    <t>mejora del espesor hasta cumplir con parametros.</t>
  </si>
  <si>
    <t>Falla parámetros de Operación</t>
  </si>
  <si>
    <t>YR13924TM133635</t>
  </si>
  <si>
    <t>B. Juste</t>
  </si>
  <si>
    <t xml:space="preserve">Durante recorrido de línea se realiza control de gramaje encontrando bajo peso, incumpliendo  peso neto especifico del producto Magdalena Chips Chocolate   300 GR. </t>
  </si>
  <si>
    <t xml:space="preserve">Por defirnir </t>
  </si>
  <si>
    <t xml:space="preserve">Se avisa a supervisor de turno, se identifica y bloquea productos desde último control en cumplimiento incluyendo producto en anaconda antes de ajuste de dosificadora.  </t>
  </si>
  <si>
    <t xml:space="preserve">Se ajusta peso en la dosificadora de huevo, se realizo control de peso posterior a ajuste estando en cumplimiento. </t>
  </si>
  <si>
    <t>MM13724TM145150</t>
  </si>
  <si>
    <t>Rosa Reyes</t>
  </si>
  <si>
    <t>Siendo las 10:50 en recorrido por empaque L3 se detecta incumplimiento en la frecuencia del llenado del registro del PCC 6 ultimo registro en cumpliento de las 8:25 por lo que se proceden a bloquear 5 pallets desde el ultimo control en cumplimiento para ser reprocesados se procede a llenar registro R-ITAC-24-01 Control de reproceso productos bloqueados Planta Masas.</t>
  </si>
  <si>
    <t>Bloqueo y Reproceso de producto afectado</t>
  </si>
  <si>
    <t xml:space="preserve">Realizar amonestación al personal que incurrio en el fallo </t>
  </si>
  <si>
    <t>PCC6(Frecuencia de Monitoreo)</t>
  </si>
  <si>
    <t>FB13724TN032940</t>
  </si>
  <si>
    <t>Carolyne Aguilera</t>
  </si>
  <si>
    <t>Sevidencia etiqueta inkjet borrosa en producto prepizza lote 137.</t>
  </si>
  <si>
    <t xml:space="preserve">Falta de control por personal de etiquetadora y mantenimiento a etiquetadora inkjet. </t>
  </si>
  <si>
    <t>Se bloquea el producto involucrado</t>
  </si>
  <si>
    <t>Se procede a reetiquetar producto con inkjet borrosa</t>
  </si>
  <si>
    <t>Verificación deficiente por parte del personal</t>
  </si>
  <si>
    <t>MS13624TN031512</t>
  </si>
  <si>
    <t>Maria Silva</t>
  </si>
  <si>
    <t xml:space="preserve">Durante el recorrido en el àrea de envasado Bolleria se observa error en la fecha del pack magdalena Chocolate 06/02/2024. Se procede a bloquear 1 pallet. </t>
  </si>
  <si>
    <t>Error de ingreso de información en la inkjet</t>
  </si>
  <si>
    <t xml:space="preserve">Se identifica y bloquea el producto involucrado. Se da aviso al supervisor </t>
  </si>
  <si>
    <t>Reenvasado del producto</t>
  </si>
  <si>
    <t>Configuración incorrecta de parámetros de operación (inkject)</t>
  </si>
  <si>
    <t>YR13424TM151352</t>
  </si>
  <si>
    <t>J. Tobar</t>
  </si>
  <si>
    <t>1. Durante recorrido de Línea se visualizó producto Empanada hoja queso saliendo de la anaconda y siendo envasada en bandeja (7 bandejas) donde la hora de inicio de producción fue a las 08:45 am y al revisar los registros no se había realizado el respectivo control de .  PCC N°4 Enfriamiento P2 (09:25) teniendo desfase de tiempo de 40 min.</t>
  </si>
  <si>
    <t xml:space="preserve">Operadora Javiera Tobar no realiza monitoreo y control al inicio de la producción, Al informar a TPM Leticia Villena explico que no se había hecho por ser producto inicial destinado a merma. </t>
  </si>
  <si>
    <t xml:space="preserve">Se avisa a supervisor de turno, se identifica y bloquea producto involucrado es desvío. </t>
  </si>
  <si>
    <t xml:space="preserve">/ Se realiza control de PCC, se registra en libro y se verifica temperatura de producto involucrado desvío -2,7 °C, estando en cumplimiento. </t>
  </si>
  <si>
    <t>PCC4(Frecuencia de Monitoreo)</t>
  </si>
  <si>
    <t>MS13724TN052948</t>
  </si>
  <si>
    <t>Jhonson Francois</t>
  </si>
  <si>
    <t xml:space="preserve">Se observa la magdalena vainilla con altura por debajo de lo establecido en ficha FT. Supervisor realiza prueba con cambio de lote de Levamix y se observa mejoria en el producto.  </t>
  </si>
  <si>
    <t>Se envia reclamo al proveedor</t>
  </si>
  <si>
    <t xml:space="preserve">Se bloquea materia prima involucrada. </t>
  </si>
  <si>
    <t>Devolución</t>
  </si>
  <si>
    <t>44820-3</t>
  </si>
  <si>
    <t>YR13424TM142349</t>
  </si>
  <si>
    <t>Durante recorrido de Línea se visualizo producto Empanada hoja queso saliendo de la anaconda y siendo envasada en bandeja y al revisar los registros no se habia realizado el respectivo control de PCC Nro. 6  Detector de metales. (7 bandejas)</t>
  </si>
  <si>
    <t>Operadora realiza control y monitoreo de PCC a la hora del hallazgo, se bloquea el producto involucrado es desvío y se pasa nuevamente por detector de metales, quedando registrada actividad en registro R-ITAC-24-01</t>
  </si>
  <si>
    <t>MM13624TM124915</t>
  </si>
  <si>
    <t>Camila Ahumada</t>
  </si>
  <si>
    <t>Siendo las 11:08 en recorrido de linea se observa incumplimiento en reporte de peso del ultimo control de peso de turno noche  (06:00 am) ver evidencia. Se procede a buscar pallets para verificar peso de bandejas y los pallets de dicha producción fueron enviados a Frigorifico externo. Por otra parte operadora entrega evidencia tomada a las 06:30 de que el producto presento exceso de peso por lo cual envia por grupo el peso mas alto registrado posterior a su control de peso de las 6:25.</t>
  </si>
  <si>
    <t xml:space="preserve">Informar que el producto no se encuentra en Plata para que procedan a bloquear en Frigorifico externo ultimos pallets de turno noche ( informado por Sup corresponde al pallet 19,20) y por seguridad el 1er pallet turno mañana </t>
  </si>
  <si>
    <t>Verificar peso del producto correspondiente a los pallets bloqueados</t>
  </si>
  <si>
    <t>LS33522TM133034</t>
  </si>
  <si>
    <t>Almacenamiento</t>
  </si>
  <si>
    <t>Se detecta producto con desviación de temperatura (6.1 y 5.7°C)  en sector despacho, por estar en zona no apta (7,1°C) cercana a cámara de almacenamiento de etiquetas.</t>
  </si>
  <si>
    <t>Zona cercana a puerta de cámara sin frío donde actualmente se usa para almacenar cajas.</t>
  </si>
  <si>
    <t>Bloqueo de producto</t>
  </si>
  <si>
    <t>evitar almacenar productos en esa zona donde el frío no llega y no hay ventilación.</t>
  </si>
  <si>
    <t>Camara Despacho</t>
  </si>
  <si>
    <t>Falla de Almacenamiento y/o Manipulación</t>
  </si>
  <si>
    <t>LS33522TM135248</t>
  </si>
  <si>
    <t>Se detecta producto con desviación de temperatura (6.1 y 5.7°C) en sector despacho, por estar en zona no apta (7,1°C) cercana a cámara de almacenamiento de etiquetas.</t>
  </si>
  <si>
    <t>Producto almacenado en Zona cercana a puerta de cámara sin frío donde actualmente se usa para almacenar cajas.</t>
  </si>
  <si>
    <t>CV12924TM153753</t>
  </si>
  <si>
    <t>Producto coctel carne lote 129 con defectos de puntos en su masa horneada afectando a la calidad del producto ya que no es característico del producto terminado.</t>
  </si>
  <si>
    <t>Puntos no característicos del producto, esto debido a manteca de palma camilo ferrón, lote:270224, 280224 y 290224 al momento del batido no se homogeniza con el resto de los ingredientes, formando entre la masa al hornearse puntos en su superficie que son los más pequeños que permanecen.</t>
  </si>
  <si>
    <t>Se bloquean y se segregan, seleccionando los que no presentan los puntos u orifico no característicos del producto.</t>
  </si>
  <si>
    <t>Se debe revisar tiempo de batidos y almacenamiento de manteca a temperatura de refrigerado.</t>
  </si>
  <si>
    <t>CV12724TM121430</t>
  </si>
  <si>
    <t>Luz Ramirez</t>
  </si>
  <si>
    <t>Se evidencia Pack empanadas horno selección agrietadas en bordes y en la mitad del producto.</t>
  </si>
  <si>
    <t xml:space="preserve"> Una de las causas es que al momento de envasar, el tamaño es mayor de la empanada y al cerrarse el sellado producto se aprieta provocando el agrietamiento de este producto.</t>
  </si>
  <si>
    <t>Se bloquea pallet de hoja queso lote 108, se hace excepción para segregar producto dañado con grietas.</t>
  </si>
  <si>
    <t>Se hace excepción para segregar producto dañado con grietas y volver a reenvasar. De las 39 bandejas rentapack involucrada e174n la segregación quedan 31 bandejas</t>
  </si>
  <si>
    <t>Defectos de SE/PT</t>
  </si>
  <si>
    <t>PP13024TN054626</t>
  </si>
  <si>
    <t xml:space="preserve">E,Bastidas </t>
  </si>
  <si>
    <t xml:space="preserve">Producto presenta agujeros pequeños en la masa , en la parte inferior y superior no caracteristicos del producto </t>
  </si>
  <si>
    <t xml:space="preserve">Agujeros  no característicos en el producto, esto debido a manteca vegetal camilo ferrón, lote : 220224 al momento del batido no se homogeniza con el resto de los ingredientes, formando entre la masa al hornearse puntos en su superficie que son los más </t>
  </si>
  <si>
    <t xml:space="preserve">Identificar los agujeros no carcteristicos de la masa y bloquear producto. </t>
  </si>
  <si>
    <t xml:space="preserve">Realizan doble batido a la masa para homogenizar la manteca vegetal y bloquear , para que jefaturas de calidad revisen producto. </t>
  </si>
  <si>
    <t>CV12924TM154856</t>
  </si>
  <si>
    <t>Empanada coctel carne lote 129 con dosificación solamente con manteca animal, siendo que tambien ocupa manteca vegetal.</t>
  </si>
  <si>
    <t>Supervisor decide realizar dosificación solo con manteca de origen animal.</t>
  </si>
  <si>
    <t>Se bloquean pallets de empanadita coctel carne lote 129, quedando identificada con cinta amarilla.</t>
  </si>
  <si>
    <t>Se bloquean pallets de empanadita coctel carne lote 129, quedando identificada con cinta amarilla. Realizar capacitación a supervisores de área que no se puede agregar cambios o alteraciones de receta sin previa autorización de área de desarrollo.</t>
  </si>
  <si>
    <t>PP13024TN053102</t>
  </si>
  <si>
    <t xml:space="preserve">E, Mena </t>
  </si>
  <si>
    <t xml:space="preserve">Se estaba revisando la manteca debidoa la aparicion de unos grumos blanquecinos , tenian al lado de pizza un palet con manteca abierta y cuando proceso a revisar esta manteca estaba mojada , habian lavado cerca y mojaro esta materia prima , se le informa al TPM, E, Mena , que estos (5 bloques ) no pueden ser utilizados por contaminacion cruzada. </t>
  </si>
  <si>
    <t xml:space="preserve">Error operacional debido a que no reubicaron la materia prima para hacer este aseo. </t>
  </si>
  <si>
    <t>Bloquear materia prima ( manteca vegetal de 20 kg )</t>
  </si>
  <si>
    <t>identificacion y bloqueo de las materias primas contaminadas</t>
  </si>
  <si>
    <t>DP13024TM125901</t>
  </si>
  <si>
    <t>J. Guevara</t>
  </si>
  <si>
    <t>Durante la producción al momento de ocupar la manteca se detecta dentro de ella aglomeraciones solidas esféricas de diferentes diámetros, incumpliendo de esta manera la apariencia/textura establecida por ficha técnica.</t>
  </si>
  <si>
    <t>Definir por parte del proveedor</t>
  </si>
  <si>
    <t xml:space="preserve">Bloqueo de lotes involucrados de materia prima. </t>
  </si>
  <si>
    <t>Reclamo al proveedor</t>
  </si>
  <si>
    <t>220224/280224</t>
  </si>
  <si>
    <t>YR12924TT151123</t>
  </si>
  <si>
    <t>E. Inostroza</t>
  </si>
  <si>
    <t xml:space="preserve">Durante recorrido se visualizo incumplmiento en frecuencia de monitoreo de PCC Nro. 6 Detector de metales. </t>
  </si>
  <si>
    <t xml:space="preserve">Operadora de linea Eliana Inostroza olvida realizar el control y monitoreo en la frecuencia establecida. </t>
  </si>
  <si>
    <t xml:space="preserve">Se avisa a Supervisor de turno y se bloquea producto involucrado en desvío. </t>
  </si>
  <si>
    <t xml:space="preserve">Se reprocesa nuevamente todo el producto por detector de metales de línea 3 (A3), dónde se verifica y valida según lo establecido en R-ITAC-24-01. Quedando registrado por los responsables. Se libera producto.  </t>
  </si>
  <si>
    <t>YR12724TT145817</t>
  </si>
  <si>
    <t>K. Venegas</t>
  </si>
  <si>
    <t xml:space="preserve">Desvío de PCC Nro. 4 de enfriamiento en empaque panadería Línea 2. </t>
  </si>
  <si>
    <t xml:space="preserve">Deshielo de anaconda, operador olvido activar el frio de anaconda posterior al deshielo. </t>
  </si>
  <si>
    <t xml:space="preserve">Se bloquea producto involucrado en desvío, se envia a cámara de -20 °C. </t>
  </si>
  <si>
    <t xml:space="preserve">Se aplica golpe de frio enviando producto a cámara de congelado -20 °C, se valida temperatura posterior a las 2 horas. Se libera. </t>
  </si>
  <si>
    <t>Incumplimiento del procedimiento establecido: no se encendió refrigeración de Anaconda</t>
  </si>
  <si>
    <t>YR09624TM093142</t>
  </si>
  <si>
    <t>L. Villena</t>
  </si>
  <si>
    <t xml:space="preserve">Durante recorrido en línea TPM Leticia Villena informa que empanada hoja queso no presento formación de hojaldre según aviso de área de producción por lo que producto es segregado y calificado como merma. </t>
  </si>
  <si>
    <t>Personal segrega el total de la producción, y se merma.  Se revisa producto y efectivamente se visualizo  que producto no cumple en apariencia y dimensiones (espesor, mínimo 2,5 cm) de acuerdo con FT.</t>
  </si>
  <si>
    <t xml:space="preserve">Se generan controles respectivos en registros y se deja observación en cada uno de los listados sobre merma de producto a efectos de costos de no calidad. </t>
  </si>
  <si>
    <t>Merma (kg No Informados)</t>
  </si>
  <si>
    <t>YR06524TN052637</t>
  </si>
  <si>
    <t>J. Mella</t>
  </si>
  <si>
    <t xml:space="preserve">Producto presento defecto mayor, presentan greñas en bordes y  corteza, además posterior a verificación de acción correctiva se pudo constatar incumplimiento de dimensiones (espesor), 13 unidades con espesor entre 4,5 y 5 cm.  </t>
  </si>
  <si>
    <t xml:space="preserve">Se avisa a supervisor de turno, se le informa que defecto corresponde a defecto mayor y producto debe ser segregado, acción que no se realiza. </t>
  </si>
  <si>
    <t xml:space="preserve">Se realiza bloqueo de producto en zona de despacho. </t>
  </si>
  <si>
    <t>64/65</t>
  </si>
  <si>
    <t>CV12724TM140223</t>
  </si>
  <si>
    <t xml:space="preserve">Por agrietamientoespecialmente en superficie baja y abertura entre pliegues y zonas lisas afectando la calidad del producto defecto establecida en FT </t>
  </si>
  <si>
    <t>Una de las causas es que, al momento de envasar, el tamaño es mayor de la empanada y al cerrarse el sellado producto se aprieta provocando el agrietamiento de este producto.</t>
  </si>
  <si>
    <t>Se bloquean 3 pallets de hoja queso lote 108, uno a granel y dos pallets de packs.</t>
  </si>
  <si>
    <t>Corregir o mejorar defecto que se esta ocasionando al envasar y sellar el producto terminado.</t>
  </si>
  <si>
    <t>CV06524TM144301</t>
  </si>
  <si>
    <t>Belen Zuñiga</t>
  </si>
  <si>
    <t>Defecto de parámetro ancho menor de acuerdo a establecido en FT, mínimo 10,3 cm, promedio desviación 9,6 cm</t>
  </si>
  <si>
    <t>Deacuerdo a lo informado por Belen Zuñiga, el rodillo que aplana la masa estaba mal ajustado, se modifica altura de rodillo sin embargo continua defecto</t>
  </si>
  <si>
    <t>Se bloquea PT. se retira contramuestra a las 13:45, no dando resultado en mejoras del ancho de doblada.</t>
  </si>
  <si>
    <t xml:space="preserve">Se retira contramuestra a las 13:45, no dando resultado en mejoras del ancho de doblada manteniendo el bloqueo de los productos terminados de turno mañana. De acuerdo a la revisión realizada entre áreas de Calidad, operaciones e innovación producto se libera por lo siguiente:  Especificación indica 10, 5 +-3 cm por lo que producto en este caso estaría dentro de  FT, establecida hasta el momento,Visualmente no se observan diferencias y al medir el producto en Show Kitchen no se observan fuera de FT. Despacho de producto es a Granel.               </t>
  </si>
  <si>
    <t>Configuración incorrecta de parámetros de operación</t>
  </si>
  <si>
    <t>PÑ09624TT194246</t>
  </si>
  <si>
    <t>producto presenta desviacion en parametros de largo y espezor.</t>
  </si>
  <si>
    <t>posible problema en horno de produccion empanadas</t>
  </si>
  <si>
    <t>identificacion del producto comprometido.</t>
  </si>
  <si>
    <t>se ajustan parametros de horneo.</t>
  </si>
  <si>
    <t>No Informado (DF)</t>
  </si>
  <si>
    <t>MS12424TT201956</t>
  </si>
  <si>
    <t>Valentina Arenas</t>
  </si>
  <si>
    <t xml:space="preserve">Durante seguimiento de producto se visualizó bajo peso, no cumple con peso neto especifico del producto hallulla ATM Líder 900 GR. </t>
  </si>
  <si>
    <t xml:space="preserve">Se bloquea producto involucrado . Se realiza pesaje del producto encontrandose desviado. Se le informa a la supervisora Constanza Campos. </t>
  </si>
  <si>
    <t xml:space="preserve">Se realiza pesaje de cada uno de los productos que salian de la linea encontrandose en su mayoria desviado </t>
  </si>
  <si>
    <t>FB12124TN051806</t>
  </si>
  <si>
    <t xml:space="preserve">Leticia Villena </t>
  </si>
  <si>
    <t xml:space="preserve">Producto Horno mediana al momento de enmpezar a salir de linea se observó con presenta de perforaciones no característicos </t>
  </si>
  <si>
    <t>Falta de disgregación/incorporación de las Mantecas Vegetal y Animal, en el Amasado de Masa Corriente, debido a bajas temperaturas en la preparación del material.</t>
  </si>
  <si>
    <t xml:space="preserve">Se bloquean productos involucrados </t>
  </si>
  <si>
    <t xml:space="preserve">Se seleccionando productos con defectos </t>
  </si>
  <si>
    <t>Defecto de MMPP/MMEE</t>
  </si>
  <si>
    <t>MM06524TN045341</t>
  </si>
  <si>
    <t>Augustin Jouber</t>
  </si>
  <si>
    <t>Durante control de almacenamiento de producto terminado RAC-89 se chequea temperatura de productos y se detecta que la temperatura del pack empanada coctel carne 10 un presenta desviación de temperatura de refrigeración encontrandose en 7.2 ºC este producto fue envasado el sabado 020324 con fecha de despacho para el 050324 y de acuerdo con los antecedentes de comportamiento de temperatura de la zona de despacho no se tomaron acciones de uso de rampla o uso de camara alterna de refrigerado la cual actualmente tampoco se encuentra desocupada. Se informa a supervisor que esta a tiempo de retirar productos envasados en turno noche que aun cumplen con la temperatura de refrigeración.</t>
  </si>
  <si>
    <t xml:space="preserve">Por definir de parte de mantención frio </t>
  </si>
  <si>
    <t xml:space="preserve">Bloqueo de producto y informar a supervisor para que movilice productos envasados en turno noche cuyas temperaturas cumplen a camara de refrigerado </t>
  </si>
  <si>
    <t xml:space="preserve">Designar un operador logistico que controle y monitore temperaturas en zona de despacho </t>
  </si>
  <si>
    <t>YR12124TN060017</t>
  </si>
  <si>
    <t xml:space="preserve">Personal de turno informa que producto presenta bajo peso, no cumple con peso neto especifico del producto. </t>
  </si>
  <si>
    <t xml:space="preserve">Se bloquea producto involucrado en desvio, se pesa el total del producto procesado separando producto en incumplimiento y reprocesandolo a granel. </t>
  </si>
  <si>
    <t xml:space="preserve">Se detiene envasado de producto hallulla ATM. </t>
  </si>
  <si>
    <t>YR12424TN023248</t>
  </si>
  <si>
    <t xml:space="preserve">Producto presenta bajo peso, no cumple con peso neto especifico del producto hallulla ATM Líder 900 GR. </t>
  </si>
  <si>
    <t>Se bloquea producto involucrado en desvío, Se realiza pesaje del 100 % del producto envasado en línea, separando producto bajo peso para ser reprocesado a granel.</t>
  </si>
  <si>
    <t xml:space="preserve">Se revisaron pallets de producto a granel y se identifico los bajos pesos separando y el que esta en cumplimiento se envaso, realizando  pesaje de todos los envases a la salida de variovac verificando pesos inicialmente, al verificar cumplimiento continuo se realiza pesaje cada 10 minutos.  </t>
  </si>
  <si>
    <t>Reproceso (kg No Informados)</t>
  </si>
  <si>
    <t>YR00524TM150716</t>
  </si>
  <si>
    <t xml:space="preserve">No se realiza monitoreo y registro de control de sellado RAC-20 en la frecuencia establecida del envasado de pack empanada Napolitana. </t>
  </si>
  <si>
    <t xml:space="preserve">Operadora de turno noche no realiza control y monitoreo correspondiente en el turno noche. </t>
  </si>
  <si>
    <t xml:space="preserve">Se avisa a supervisor de turno, Se identifica y bloquea producto desde el último control en cumplimiento. </t>
  </si>
  <si>
    <t xml:space="preserve">. Se identifica y bloquea producto desde el último control en cumplimiento. Se realiza muestreo según Nch 44 verificando sellado correcto del producto, validando y liberando el producto. </t>
  </si>
  <si>
    <t>LS12124TN054320</t>
  </si>
  <si>
    <t>En seguimiento de producto se detecta producto con bajo peso 4 bolsas de 15 unidades muestreadas.</t>
  </si>
  <si>
    <t>Falla en fermentadora que en todo el turno no se ha detectado la causa de la falla. Mantención cambio sensor de contrapeso, sin embargo, la falla continuaba (detención al ingreso de producto a fermentadora se reiniciaba y se hacia los ajustes para continuar proceso).</t>
  </si>
  <si>
    <t>Bloqueo de producto, se informa a supervisora.</t>
  </si>
  <si>
    <t xml:space="preserve"> Se realiza control de peso de todo el pallet bloqueado. Manteniendose bloqueado 172 pack por bajo peso.</t>
  </si>
  <si>
    <t xml:space="preserve">012101M1  </t>
  </si>
  <si>
    <t>YR11624TM142914</t>
  </si>
  <si>
    <t>D. Alarcon</t>
  </si>
  <si>
    <t xml:space="preserve">Durante verificación de registros se observó incumplimiento de la frecuencia de monitoreo en Sala de envasado  Bollería Rac 168 Control de Gramaje, RAC 20 Control de sellado. </t>
  </si>
  <si>
    <t xml:space="preserve">Operadora responsable de control y monitoreo no realiza los controles en la frecuencia establecida. La envasadora 2 presento problemas de sellado y operadora indica ser esta la causa. </t>
  </si>
  <si>
    <t xml:space="preserve">Se avisa a supervisor de turno y se procede a realizar identificación y bloqueo de producto desde último control en cumplimiento. </t>
  </si>
  <si>
    <t xml:space="preserve">Se procede a realizar acción correctiva muestreando producto según Nch44 para control de gramaje, control de sellado de producto e información de trazabilidad. </t>
  </si>
  <si>
    <t>N</t>
  </si>
  <si>
    <t>YR11524TM142031</t>
  </si>
  <si>
    <t>S. Chrery</t>
  </si>
  <si>
    <t xml:space="preserve">Siendo las 09:20  am se recibio aviso de supervisora de turno Constanza Campos que detector de metales de empaque bolleria presento desvio con alerta recurrente de falsos positivos. </t>
  </si>
  <si>
    <t xml:space="preserve">Por informacion recibida de automata el brazo expulsor no tiene lubricacion suficiente y esto afecta el equipo generando alta vibracion de este y se genero asi los falsos positivos. </t>
  </si>
  <si>
    <t>Se bloquea producto involucrado en desvio, mantencion intervino detector por periodo superior a una hora.</t>
  </si>
  <si>
    <t xml:space="preserve">Se crea receta de producto en detector de multivac 2, se valida calibracion y funcionamiento correcto de detector para producto magdalena Chocolate, se pasa todo el producto involucrado en desvio por detector de metales. Mantencion resuelve problema de detector de metales de bolleria y se reestablece funcionamiento correcto, se valida y registra en libro.  </t>
  </si>
  <si>
    <t>PCC6(Muchos Falsos Positivos)</t>
  </si>
  <si>
    <t>FB12124TN050518</t>
  </si>
  <si>
    <t xml:space="preserve">Leticia villena </t>
  </si>
  <si>
    <t xml:space="preserve">Producto Refresh Coctel Carne lote 116 al momento de ser envasado se observo con presenta de perforaciones no carateristicos </t>
  </si>
  <si>
    <t>No Informado (DF y kg)</t>
  </si>
  <si>
    <t>YR11424TM161334</t>
  </si>
  <si>
    <t xml:space="preserve">Se realiza monitoreo de PCC detector de metales de empaque empanada (EM1), y al pasar el patrón de acero inoxidable no se activa el sistema de rechazo, no reconociendo este patrón. Validacion se realiza para verificar incumplimiento reportado por turno noche y generar las acciones correctivas pertinentes.  </t>
  </si>
  <si>
    <t xml:space="preserve">Se avisa a supervisor de turno, se realiza bloqueo de producto involucrado en desvío. Se solicita a mantención revisión de detector de metales. </t>
  </si>
  <si>
    <t xml:space="preserve">Se bloqueo producto involucrado en desvío desde las 01:40 Am, se llama a mantención quien revisa detector de metales y soluciona problemática. Se valida reconocimiento de patrón de acero inoxidable. </t>
  </si>
  <si>
    <t>YR11424TM143359</t>
  </si>
  <si>
    <t xml:space="preserve">Se realiza monitoreo de PCC detector de metales de empaque empanada (EM1), y al pasar el patrón de acero inoxidable no se activa el sistema de rechazo, no reconociendo este patrón. Validacion se realiza para verificar incumplimiento reportado por turno noche.  </t>
  </si>
  <si>
    <t xml:space="preserve">Se avisa a supervisor de turno, se realiza bloqueo de producto involucrado en desvio. Se solicita a mantencion revision de detector de metales. </t>
  </si>
  <si>
    <t xml:space="preserve">Se bloqueo producto involucrado en desvio desde las 01:40 Am, se llama  a mantencion quien revisa detector de metales y soluciona problematica. Se valida reconocimiento de patron de acero inoxidable. </t>
  </si>
  <si>
    <t>MS11424TN052805</t>
  </si>
  <si>
    <t>alrededor de las 05:20  los supervisores Tibor Petranyi y Carlos Parada, informan que el pasador retenedor de la boquilla dosificadora de mezcla Bollería se soltó alrededor de la 00:15 de la mañana mientras elaboraban magdalenas tres leche</t>
  </si>
  <si>
    <t xml:space="preserve">Se bloquea toda la producción turno noche y turno tarde. Se solicito realizar aseo al área de mezcla y horno bollería para verificar que no se haya quedado en alguna parte del proceso. </t>
  </si>
  <si>
    <t>Presencia de Elemento Extraño</t>
  </si>
  <si>
    <t>Deterioro de Infraestructura o Equipo</t>
  </si>
  <si>
    <t>MS11524TN055245</t>
  </si>
  <si>
    <t xml:space="preserve">alrededor de las 05:20  los supervisores Tibor Petranyi y Carlos Parada, informan que el pasador retenedor de la boquilla dosificadora de mezcla Bollería se soltó alrededor de la 00:15 </t>
  </si>
  <si>
    <t>Se bloquea producto involucrado. Se solicita realizar aseo al area de mezcla y horno bolleria</t>
  </si>
  <si>
    <t>YR11324TM125044</t>
  </si>
  <si>
    <t>S. Cherly</t>
  </si>
  <si>
    <t xml:space="preserve">Durante recorrido de línea se solicita a operadora pasar patrones por detector de metales y el sistema de rechazo brazo expulsor no se activo. </t>
  </si>
  <si>
    <t xml:space="preserve">Se habia cerrado llave de aire comprimido. Según operadora el personal que pasa por debajo de cinta sin querer baja la llave del aire. </t>
  </si>
  <si>
    <t xml:space="preserve">Se realiza registro del no cumplimiento, se pasa manilla y se realiza control validando cumplimiento nuevamente. </t>
  </si>
  <si>
    <t xml:space="preserve">Se bloquea producto involucrado en desvío y se pasa nuevamente por detector de metales. </t>
  </si>
  <si>
    <t>Se cerró accidentalmente valvula de Aire Comprimido</t>
  </si>
  <si>
    <t>CV11124TM134317</t>
  </si>
  <si>
    <t>Jocelyn Rain</t>
  </si>
  <si>
    <t>Error de digitación de etiquetado inkject de empanada hoja queso (error de etiquetado/trazabilidad)</t>
  </si>
  <si>
    <t>Error de etiquetado inckject de flowpack empanadas</t>
  </si>
  <si>
    <t>Se pide sato manual con fecha correcta, revisado y liberado por calidad.</t>
  </si>
  <si>
    <t>Se borra inckject de envase con tecsa food, durante el proceso de retiro de inckject a sato manual, el sector se estaba realizando en sector de empaque bollería lugar no habilitado para esto, Analista Yesenia Rosales verifica temperatura de producto dando 5,8°C y temperatura ambiente en 12,8°C. Se envia a despacho para golpe de frío.</t>
  </si>
  <si>
    <t>No se verificó impresión inkjet</t>
  </si>
  <si>
    <t>YR11024TT194320</t>
  </si>
  <si>
    <t xml:space="preserve">E. Inostroza </t>
  </si>
  <si>
    <t xml:space="preserve">Personal de linea informa que durante  el control y monitoreo de PCC 6 detector de metales no reconoció el patrón de acero inoxidable. </t>
  </si>
  <si>
    <t xml:space="preserve">Se avisa a supervisor de turno, se identifica y bloquea producto desde último control en cumplimiento. Mantención calibra equipo, supervisor de turno verifica reconocimiento de patrones. </t>
  </si>
  <si>
    <t xml:space="preserve">Se realiza paso de todo el producto involucrado en desvío por detector de metales nuevamente, registrando control y  monitoreo quedando liberado. </t>
  </si>
  <si>
    <t>YR11024TT201951</t>
  </si>
  <si>
    <t xml:space="preserve">Durante recorrido y seguimiento de producto en multivac 1 se realiza control de inmersion y se visualizo filtracion de envase en parte superior de sellado y por ende desvio de gases, Oxigeno por sobre parametro establecido. </t>
  </si>
  <si>
    <t xml:space="preserve">  Empaquetadura presento problemas, se noto harina sobre esta y como masa que afecto el sellado en esquina superior de envase.  </t>
  </si>
  <si>
    <t xml:space="preserve">Se avisa a supervisor de turno para que constante el problema de sellado en producto. Se identifica y bloquea producto involucrado en desvio. </t>
  </si>
  <si>
    <t xml:space="preserve">Se revisa multivac 1 se logra solucionar problema de sellado pero se mantuvo desvio de gases, se llama a mantencion se cambia empaquetadura y se realiza liberacion por 8 ciclos. Se debe validar el reevasado de producto en turno noche. </t>
  </si>
  <si>
    <t>PCC5 (Sellado Defectuoso)</t>
  </si>
  <si>
    <t>MS11024TM153759</t>
  </si>
  <si>
    <t>Personal de producciòn panaderia L3 al momento de dosificar la materia prima encuentra dentro de esta costras duras.</t>
  </si>
  <si>
    <t>Por definir por el proveedor</t>
  </si>
  <si>
    <t>Reclamo a Proveedor</t>
  </si>
  <si>
    <t>Batch 2</t>
  </si>
  <si>
    <t>YR11024TT200329</t>
  </si>
  <si>
    <t xml:space="preserve">Durante el recorrido de línea en empaque panadería, se visualizó desvío de temperatura para chocosito  °C y  °C registrada en control de PCC 4 enfriamiento planta 2.  Temperatura máx 0 °C. </t>
  </si>
  <si>
    <t xml:space="preserve">Se avisa a mantención, se identifica y bloquea producto desde último control en cumplimiento. Se avisa a supervisor que debe enviarse a cámara de congelado. </t>
  </si>
  <si>
    <t xml:space="preserve">Se identifica producto involucrado en desvio y se envia a camara de congelado para dar golpe de frio. </t>
  </si>
  <si>
    <t>MS11024TM125013</t>
  </si>
  <si>
    <t>Andrea Gómez</t>
  </si>
  <si>
    <t xml:space="preserve">Desviación de temperatura de producto Hallulla Fermaid en empaque panadería línea 1, personal da aviso correspondiente del desvío presentado </t>
  </si>
  <si>
    <t>Deshielo en la anaconda</t>
  </si>
  <si>
    <t>Se  procedió a dejar las bolsas abiertas y bloquear todo el producto con desviación de temperatura enviándolas a cámara CPAN para dar golpe de frío.</t>
  </si>
  <si>
    <t>Se envía a cámara de congelado para dar golpe de frio y posteriormente se verifica temperatura.</t>
  </si>
  <si>
    <t>AC10924TM123334</t>
  </si>
  <si>
    <t>Melina Ramirez</t>
  </si>
  <si>
    <t>Se detecta en empaque bolleria que estaban utilizando una etiqueta que no correspondia en Magdalena Chips Sabor Chocolate ( Se uso materia prima Choco Chips de Carozzi y usaron la etiqueta correspondiente a puratos)</t>
  </si>
  <si>
    <t>Segun indica TPM Carolain Aguilera entregaron etiquetas mezcladas, de los dos tipos de Choco Chips</t>
  </si>
  <si>
    <t>Se Bloquean productos ( toda la produccion de Choco Chips turno mañana hasta cambiar la etiqueta, 6 pallets aprox)</t>
  </si>
  <si>
    <t>se cambia etiqueta a la correcta</t>
  </si>
  <si>
    <t>Uso de Etiqueta Incorrecta</t>
  </si>
  <si>
    <t>Uso etiqueta correspondiente a otro formato</t>
  </si>
  <si>
    <t>YR10924TT205332</t>
  </si>
  <si>
    <t>S. Andres</t>
  </si>
  <si>
    <t xml:space="preserve">Durante recorrido de líneas se realiza seguimiento de producto ATM, se realiza PCC 5 Control de envasado con atmósfera modificada encontrando desviación de concentración de gases. Oxigeno por sobre el parámetro establecido y concentración de CO2 por debajo de parámetros. En Multivac 1. </t>
  </si>
  <si>
    <t xml:space="preserve">Mantención revisa envasadora y no consigue desvío. </t>
  </si>
  <si>
    <t xml:space="preserve">Se avisa a supervisor de turno, se avisa a mantención, se realiza bloqueo de producto desde último control en cumplimiento. </t>
  </si>
  <si>
    <t xml:space="preserve">Se realizan ajustes de parámetros de envasadora, se verifica cumplimiento en línea y se debe reenvasar producto con desvío, se inicio reproceso a granel. </t>
  </si>
  <si>
    <t>AC10924TM094917</t>
  </si>
  <si>
    <t>Catalina Barahona (Turno Noche)</t>
  </si>
  <si>
    <t>Al inicio de turno mañana , supervisor Claudio Morera informa a calidad que durante turno noche la operadora Catalina Barahona encuentra 2 bandejas de Coctel Carne lote 059 con hongos, por lo que detiene el sellado, sin embargo no dan aviso a calidad turno noche y botan las bandejas</t>
  </si>
  <si>
    <t>Por determinar</t>
  </si>
  <si>
    <t>Se bloquea producto ( 45 Bandejas en despacho) , Ademas de pallets con el lote 059 de coctel carne en camara de congelacion</t>
  </si>
  <si>
    <t>Se realiza investigacion</t>
  </si>
  <si>
    <t>AC10924TM113959</t>
  </si>
  <si>
    <t>Denisse Alarcon</t>
  </si>
  <si>
    <t>Se detectan productos Magdalena Choco Chips, con lote del dia de ayer. 108</t>
  </si>
  <si>
    <t xml:space="preserve">Operadora indica que al iniciar sellado con envasadora Nº 3 , no se cambia la fecha </t>
  </si>
  <si>
    <t>Se bloquea producto comprometido 2 pallet</t>
  </si>
  <si>
    <t>Se puede borrar etiquetado inkject y colocar etiqueta sato manual que fue liberada</t>
  </si>
  <si>
    <t>YR10924TT202029</t>
  </si>
  <si>
    <t>V, Chade</t>
  </si>
  <si>
    <t>Durante recorrido se  observo el control de PCC 6 detector de metales por parte de operario y no reconocio el patrón no ferroso</t>
  </si>
  <si>
    <t xml:space="preserve">Falta de calibración de detector de metales. </t>
  </si>
  <si>
    <t xml:space="preserve">Se avisa a supervisor de turno, se identifica y bloquea producto desde último control en cumplimiento. Mantención calibra equipo, se verifica reconocimiento de patrones. </t>
  </si>
  <si>
    <t xml:space="preserve">Se realiza  paso de todo el producto involucrado en desvío por detector de metales nuevamente y se libera producto. </t>
  </si>
  <si>
    <t>YR10924TT203213</t>
  </si>
  <si>
    <t xml:space="preserve">Durante el recorrido de línea en empaque panadería, se visualizó desvío de temperatura para chocosito  1,7 °C y 0.9 °C registrada en control de PCC 4 enfriamiento planta 2.  </t>
  </si>
  <si>
    <t xml:space="preserve">Deshielo de anaconda, se mantuvo variando durante el turno. </t>
  </si>
  <si>
    <t xml:space="preserve">Se avisa a mantención, se identifica y bloquea producto desde último control en cumplimiento. Se avisa a supervisor que debe enviarse a cámara de frío. </t>
  </si>
  <si>
    <t xml:space="preserve">Se envía a cámara de congelado para dar golpe de frio  y se enviará a tunel  de enfriamiento durante la mañana del 19/04/2024. </t>
  </si>
  <si>
    <t>PÑ10724TT202742</t>
  </si>
  <si>
    <t>Bella Amacifuen</t>
  </si>
  <si>
    <t>detector de metales empaque bolleria presenta problemas con sistema de rechazo generando falsos positivos .</t>
  </si>
  <si>
    <t xml:space="preserve">mal ajuste del equipo </t>
  </si>
  <si>
    <t>revisar el equipo por parte del departamento de mantencion, identificar producto involucrado.</t>
  </si>
  <si>
    <t>revisar y ajustar equipo.</t>
  </si>
  <si>
    <t>YR10324TN044826</t>
  </si>
  <si>
    <t xml:space="preserve">Durante recorrido de líneas se realiza control de gramaje y se identifica envases por debajo del peso establecido en etiqueta para pizza española ATM contenido neto 480G. </t>
  </si>
  <si>
    <t xml:space="preserve">Por identificar, se realizo pesaje posterior a desvío sin observar bajo peso en ninguna de las etapas del proceso. </t>
  </si>
  <si>
    <t xml:space="preserve">Se identifica y bloquea producto desde último control en cumplimiento. </t>
  </si>
  <si>
    <t xml:space="preserve">Se realiza muestreo según norma chilena NCh44, se verifica peso estando en incumplimiento, producción procede a pesar nuevamente todo el producto involucrado en desviación como lo establece el SOP-87 Control de gramaje y peso Planta 2, se separa producto con bajo peso. </t>
  </si>
  <si>
    <t>YR10324TN011622</t>
  </si>
  <si>
    <t xml:space="preserve">Se recibe aviso por parte de TPM Gustavo Rubilar de producto a envasar en variovac pan con bajo peso correspondiente a la producción de línea 1. </t>
  </si>
  <si>
    <t xml:space="preserve">Se realiza pesaje del 100 % del producto envasado en línea separando producto bajo peso para ser reprocesado a granel. </t>
  </si>
  <si>
    <t>Se verifica pesaje en línea, se realiza control de peso del 100 % del producto envasado con la finalidad de garantizar el cumplimiento de los requisitos legales del peso neto del producto.</t>
  </si>
  <si>
    <t>LS27622TM162046</t>
  </si>
  <si>
    <t>Maximiliano R</t>
  </si>
  <si>
    <t>Incumplimiento con característica de calidad según ficha técnica. (manchas y englobamiento)</t>
  </si>
  <si>
    <t>Exceso de humedad en fermentadora y vapor apagado en horno</t>
  </si>
  <si>
    <t>bloqueo de producto y avisar a supervisor de turno</t>
  </si>
  <si>
    <t xml:space="preserve">Ajustes de parámetro </t>
  </si>
  <si>
    <t>YR10224TN032936</t>
  </si>
  <si>
    <t xml:space="preserve">Durante seguimiento de producto se procede a realizar control de gramaje y se identifica producto con peso por debajo de lo establecido en contenido netro 855 g. </t>
  </si>
  <si>
    <t xml:space="preserve">Se avisa a TPM de área, se detiene envasado de producto, se identifica y bloquea producto desde último control en cumplimiento. </t>
  </si>
  <si>
    <t xml:space="preserve">Se avisa a supervisor de turno, se bloquea producto desde último control en cumplimiento, se verifica pesos de producto en pallet bloqueado encontrándose de 15 unidades envasadas 10 bajo peso,y se procede a realizar pesaje del 100 % del producto ya envasado separando producto bajo peso para reprocesar a granel.  Se verifican pesos de producto a granel iniciando envasado y como control se pesara producto cada 30 min con la intención de evitar incumplimiento de productos. </t>
  </si>
  <si>
    <t>CV09324TN043203</t>
  </si>
  <si>
    <t>Producto no cumple en apariencia y dimensiones (espesor, mínimo 2,5 cm) de acuerdo a FT.</t>
  </si>
  <si>
    <t>puede deberse a muchas variables al momento de proceder con el batido, (menor adición de agua), exceso de manteca, manipulación excesiva de parte de calaboradores al momento de sellar.</t>
  </si>
  <si>
    <t>Se bloquea PT y se realiza segregación de unidades de hoja queso, indicando espesor mínimo de acuerdo a FT para aceptación.</t>
  </si>
  <si>
    <t>Corregir dentro del proceso de formación de masa hoja cualquier defecto que se presente y no afecte a la totalidad de la producción.</t>
  </si>
  <si>
    <t>AC10224TN015305</t>
  </si>
  <si>
    <t>Segundo Tropa</t>
  </si>
  <si>
    <t xml:space="preserve">Al principio de turno noche se detecta que el producto que estaba saliendo del horno y dentro de anaconda, tenia muchos defectos ( sobre fermentado , grietas, arrugas, mal corte), despues que salieron de la anaconda tambien se pudo apreciar que tenia desviacion organoleptica ( olor fuerte a masa fermentada) </t>
  </si>
  <si>
    <t>Durante Turno tarde presentaron problemas por lo que la linea estuvo detenida, ademas usaron recortes sobrefermentados</t>
  </si>
  <si>
    <t>Producto se segrega y bloquea, hasta que comienza a salir con las acciones correctivas</t>
  </si>
  <si>
    <t>Se ajustan parametros, turno noche no utiliza los recortes sobrefermentados .</t>
  </si>
  <si>
    <t>PÑ29122TN212903</t>
  </si>
  <si>
    <t>Eric R</t>
  </si>
  <si>
    <t>Jaime Oyaneder</t>
  </si>
  <si>
    <t>por problemas con parametros de linea se elaboro Marraqueta con dimension fuera de parametros.</t>
  </si>
  <si>
    <t>se atribuye causa raiz a MMPP y parametros de linea.</t>
  </si>
  <si>
    <t>se verifica cumplimiento segun ficha tecnica y se procede a identificar el producto desviado.</t>
  </si>
  <si>
    <t>se cambian parametros y MMPP (harina )</t>
  </si>
  <si>
    <t>Textura</t>
  </si>
  <si>
    <t>LS33522TM140526</t>
  </si>
  <si>
    <t>Se detecta producto con desviación de temperatura (6.1 °C) en sector despacho, por estar en zona no apta (7,1°C) cercana a cámara de almacenamiento de etiquetas.</t>
  </si>
  <si>
    <t>Evitar almacenar productos en esa zona donde el frío no llega y no hay ventilación.</t>
  </si>
  <si>
    <t>MM01124TM132137</t>
  </si>
  <si>
    <t>Carlo Parada</t>
  </si>
  <si>
    <t>Denisse Millanao</t>
  </si>
  <si>
    <t>Siendo las 10:43 se detecta incumplimiento en el llenado de la trazabilidad turno noche deja de registrar trazabilidad de Pan Baguette 250 de igual manera se dejo de registrar temperatura de horneo a las 05:30. Por lo que se procede a informar a supervisor y bloquear 5 pallets correspondiente a produccion de turno noche. se verifican detenciones de la linea y se corrobora que la linea se encontraba operativa en dicho horario</t>
  </si>
  <si>
    <t>Falta de responsabilidad en el llenado del registro</t>
  </si>
  <si>
    <t>Bloqueo de Producto turno noche ( 5 pallets)</t>
  </si>
  <si>
    <t xml:space="preserve">Solicitud de control de sobreconsumo y solicitud de curvas de temperatura del horno </t>
  </si>
  <si>
    <t>LS33522TM135828</t>
  </si>
  <si>
    <t>Se detecta producto con desviación de temperatura (6.1°C) en sector despacho, por estar en zona no apta (7,1°C) cercana a cámara de almacenamiento de etiquetas.</t>
  </si>
  <si>
    <t>evitar almacenar productos en esa zona donde el frío no llega y no hay ventilación</t>
  </si>
  <si>
    <t>FB10024TN231004</t>
  </si>
  <si>
    <t>Victor Herrera</t>
  </si>
  <si>
    <t>MP o ME No Conforme</t>
  </si>
  <si>
    <t>Tpm Víctor Herrera informa que cuando estaban realizando la mezcla se pudo observar costras duras dentro de la materia prima de Granomix QQC 4424.</t>
  </si>
  <si>
    <t xml:space="preserve">Por definir por dicho proveedor </t>
  </si>
  <si>
    <t xml:space="preserve">Se procedió a bloquear todo el lote involucrado </t>
  </si>
  <si>
    <t xml:space="preserve">Se reemplaza lote de Granomix, igualmente se realiza prueba sensorial al producto termino quedando en cumplimento </t>
  </si>
  <si>
    <t>44960-1</t>
  </si>
  <si>
    <t>PÑ14324TM125408</t>
  </si>
  <si>
    <t>luis Yucra</t>
  </si>
  <si>
    <t>durante turno mañana se realiza hallazgo de material proveniente de cinta azul retractil de linea 2 en producto marraqueta piloto.</t>
  </si>
  <si>
    <t>deterioro de material de cinta</t>
  </si>
  <si>
    <t>se identifica y bloquea producto comprometido (1200 KG).</t>
  </si>
  <si>
    <t>se realiza segregacion de producto a la salida de anaconda y se procede a segregar 5 pallets que se encontraban ya envasados, se realiza corte en la produccion para reparar cinta.</t>
  </si>
  <si>
    <t>EO02823TN032903</t>
  </si>
  <si>
    <t>S. Tropa</t>
  </si>
  <si>
    <t>Falla de Funcionamiento de equipos</t>
  </si>
  <si>
    <t>Falla de  funcionamiento Anaconda 1: se trabó anaconda 1 en el lugar de transferencia hacia la anaconda n°2 lo que ocasionó la detención de ambas anacondas.</t>
  </si>
  <si>
    <t>Falla de Funcionamiento de equipo.</t>
  </si>
  <si>
    <t>Se espera que salga todo el producto de línea desde amasadoras hasta salida del Horno.</t>
  </si>
  <si>
    <t xml:space="preserve">Se destina a merma todo el producto que quedó en el flujo del proceso desde la sección de la fermentadora hacia las anacondas incluido el pan que quedó retenido en ambas anacondas </t>
  </si>
  <si>
    <t>Producto Retenido</t>
  </si>
  <si>
    <t>PP06424TM075312</t>
  </si>
  <si>
    <t xml:space="preserve">H. Cruz </t>
  </si>
  <si>
    <t xml:space="preserve">Se revisa marraqueta piloto a la salida del horno presentando defecto mayor , greñas y grietas , descascaramiento de corteza , El Tpm Mackenson midi me comenta que estan teniendo problemas con el vapor del horno , mantencion realiza pruebas para mejorar este defecto , de esta produccion y pruebas por mantencion se obtienen 10 paleta de los cuales se le informa que deben segregar el producto como indica el cuadro de defecto, ya que el 80 % del producto no cumple con FT.   </t>
  </si>
  <si>
    <t xml:space="preserve">Promeblas con el vapor de ingreso a horno </t>
  </si>
  <si>
    <t xml:space="preserve">Se informa a TPM y supervisores que deben realizar segregacion, ya que la mayoria del pan no cumple con ficha tecnica, realizan prueba con los parametros del horno. </t>
  </si>
  <si>
    <t xml:space="preserve">Realizan pruebas en los parametros , ajuste de vapor y humedad de fermentadora. </t>
  </si>
  <si>
    <t>YR10024TN221025</t>
  </si>
  <si>
    <t xml:space="preserve">Durante recorrido de líneas se realiza control de gramaje y se identifica envases por debajo del peso establecido en etiqueta para pizza pollo champiñón SBA ATM contenido neto 490G. </t>
  </si>
  <si>
    <t xml:space="preserve">Personal de área de alimec pizza explica que al realizar la dosificación manual de los ingredientes pollo y champiñón se puede deber variación de peso. </t>
  </si>
  <si>
    <t>Se avisa a supervisor de turno y se identifica producto involucrado en desvío desde último control en cumplimiento.</t>
  </si>
  <si>
    <t>Producción con dosificación Manual de Topping</t>
  </si>
  <si>
    <t>YR10024TN015504</t>
  </si>
  <si>
    <t>Durante recorrido de líneas se realiza seguimiento de producto ATM, se realiza PCC 5 Control de envasado con atmósfera modificada encontrando desviación de concentración de gases. Oxigeno por sobre el parámetro establecido y concentración de CO2 por debajo de parámetros.</t>
  </si>
  <si>
    <t>Empaquetadura con deterioro. (Se anexan imágenes)</t>
  </si>
  <si>
    <t xml:space="preserve">Se realiza aviso a supervisor de turno, se identifica producto desde último control en cumplimiento y se bloquea para realizar reproceso. </t>
  </si>
  <si>
    <t xml:space="preserve">Se detiene envasado y se avisa a personal de mantención para realizar cambio de empaquetadura y arreglo de cuchillas de corte de envases, se realiza liberación de 8 ciclos y se incia proceso de reenvase de producto involucrado en desvío. </t>
  </si>
  <si>
    <t>LS10124TM140054</t>
  </si>
  <si>
    <t>Sandra Rojas</t>
  </si>
  <si>
    <t>Se evidencia producto bajo dimensiones incumpliendo en ancho, largo y espesor. En primer muestreo no alcanza el 80% de cumplimiento en espesor y 5 unidades bajo parámetro inferior de ancho y 13 unidades bajo parámetro inferior de largo, además de 7 unidades sin marcaje central. En el segundo muestreo realizado realizado a las 11:17 se evidencia 1 unidad bajo espesor, 2 unidades bajo límite de ancho y 7 unidades bajo limite de largo.</t>
  </si>
  <si>
    <t>Fuga de glicol y bloqueo de intercambiador de calor en proceso de agua fría.</t>
  </si>
  <si>
    <t>Bloqueo de 9 pallets de producción.</t>
  </si>
  <si>
    <t>Se realiza corte de producción y reinicia a las 11:25, se regulariza parámetros de fermentadora.</t>
  </si>
  <si>
    <t>PP10024TT190218</t>
  </si>
  <si>
    <t xml:space="preserve">M.Ramirez </t>
  </si>
  <si>
    <t>Durante el recorrido de las lineas y revision del libro de Empaque bolleria encuentro que el PCC Control de metales no hecho desde las 13:50 pm , siendo las 17:00 horas se procede a bloquear los palets (8).</t>
  </si>
  <si>
    <t xml:space="preserve">Olvido del operador en anotar con la frecuencia correspondiente. </t>
  </si>
  <si>
    <t xml:space="preserve">se identifica la cantidad de palets y bloquea producto. </t>
  </si>
  <si>
    <t xml:space="preserve">Se procede a pasar la totalidad del producto por el detector de metales. </t>
  </si>
  <si>
    <t>CV09924TM195021</t>
  </si>
  <si>
    <t>Vladimir Berríos</t>
  </si>
  <si>
    <t>Se revisa aseo de anaconda de línea 5 encontrandose con deficiencia de limpieza, paredes, pisos y cinta con materia orgánica.</t>
  </si>
  <si>
    <t>No se realizó aseo ya que intervino mantención en el sector dejando pendiente aseo completo de ISS día domingo 07-04-2024.</t>
  </si>
  <si>
    <t>Se detiene línea y se  bloquea PT PAN BAGUETTE 120 quedando almacenado en sector de despacho</t>
  </si>
  <si>
    <t>Se comienza a realizar la limpieza de la anaconda 2 aplicando detergente y sanitizante para eliminar materia orgánica en el interior</t>
  </si>
  <si>
    <t>Aseo Deficiente de Infraestructura y/o Equipo</t>
  </si>
  <si>
    <t>Incumplimiento del procedimiento establecido: se inició producción sin solicitar Verificación de Aseo de Anacondas</t>
  </si>
  <si>
    <t>YR09724TM124256</t>
  </si>
  <si>
    <t xml:space="preserve">Durante seguimiento de producto se realiza control de gramaje y se identifica envases por debajo del peso establecido en etiqueta para hallulla ATM Líder contenido neto 900 G. (Se anexan imágenes) </t>
  </si>
  <si>
    <t xml:space="preserve">Supervisores de panadería por favor informar analisis de causa raíz. </t>
  </si>
  <si>
    <t>Se identifica producto desde último control en cumplimiento y se bloquea.</t>
  </si>
  <si>
    <t xml:space="preserve">Se avisa a supervsior de turno, se  bloquea producto desde último control en cumplimiento, se verifica pesos de producto en línea encontrandose de 5 unidades envasadas 3 bajo peso, se detiene envasado de producto y se procede a realizar pesaje del 100 % del producto ya envasado separando producto bajo peso para reprocesar a granel. </t>
  </si>
  <si>
    <t>MM09624TT200602</t>
  </si>
  <si>
    <t>Siendo las 17:12 durante recorrido y seguimiento de linea se detecta en Producción Italiano 120 que la receta  del detector de metales de L5 no corresponde a la del producto estaban pasando producto con receta de baguette 120 ver evidencia por lo que se bloquean 9 pallets en fisico mas sobrante con 22 bandejas quedando pendiente por bloquear pallets que enviaron a frigorifico externo lo cual corresponde a productos de turno noche mañana y parte de turno tarde.</t>
  </si>
  <si>
    <t>Falta de cambio de receta del detector</t>
  </si>
  <si>
    <t xml:space="preserve">Cambio de receta en detector y Bloqueo de producto afectado </t>
  </si>
  <si>
    <t>Reproceso de los 09 pallets mas sobrante volviendo a pasar por detector con la receta correspondiente quedando pendiente lo despachado a frigorifico externo</t>
  </si>
  <si>
    <t>PCC6 (Uso de Receta Incorrecta)</t>
  </si>
  <si>
    <t>Selección Incorrecta de Receta en el Detector de Metales</t>
  </si>
  <si>
    <t>FB09724TM125144</t>
  </si>
  <si>
    <t xml:space="preserve">Victor Herrera </t>
  </si>
  <si>
    <t>A las 09:06 am Tpm Víctor Herrera informa que cuando estaban realizando la mezcla se pudo observar  costras duras dentro de la materia prima de Granomix QQC 4424.</t>
  </si>
  <si>
    <t xml:space="preserve">Se procedio a bloquear todo el lote involucrado </t>
  </si>
  <si>
    <t>44931-2</t>
  </si>
  <si>
    <t>MS15624TN060230</t>
  </si>
  <si>
    <t>Tpm informa que el producto de Queso Reggianito presenta mancha superficial a la apertura del envase Se procede a bloquear el lote 755366/109 y se da aviso a supervisor de recepción para que procedan a bloquear todo el lote y de esta manera se gestione reclamo a proveedor</t>
  </si>
  <si>
    <t xml:space="preserve">Defnir por proveedor </t>
  </si>
  <si>
    <t>Se procede a bloquear 104 Kg de Queso con evidencia de hongo por seguridad y para reclamo</t>
  </si>
  <si>
    <t xml:space="preserve">Se procede a bloquerar producto involucrado para su posterir reclamo a proveedor </t>
  </si>
  <si>
    <t>755366/109</t>
  </si>
  <si>
    <t>CV09524TN053409</t>
  </si>
  <si>
    <t>Mackenson Midy</t>
  </si>
  <si>
    <t>Se observa Marraqueta piloto manga línea 4 con dimensiones en espesor fuera de rangos establecidos de acuerdo a FT. Estableciendo un 80% de producción sobre los 4,5 cm a 5,5 cm y un 20% desde los 4,0 cm a 6,0 cm. a 5,0cm.</t>
  </si>
  <si>
    <t>Me informa supervisor Robert Arana que esto fue causado por exceso de vapor a la entrada del horno</t>
  </si>
  <si>
    <t>Se informa a supervisor Robert Arana para que se realice AC, a las 04:00 horas se sacan las muestras de mangas de marraqueta piloto.</t>
  </si>
  <si>
    <t xml:space="preserve">Operador disminuye vapor a la entrada del horno, AC para afectuar medición en espesor no dió resultado previsto, dando 10 muestras por debajo de espesor. </t>
  </si>
  <si>
    <t>PP15624TT192904</t>
  </si>
  <si>
    <t xml:space="preserve">S. Rojas </t>
  </si>
  <si>
    <t xml:space="preserve">Durante el recorrido de revision  por las lineas revisando las dimensiones y cortes del pan chocosito , me doy cuenta que el pan estaba saliendo sin corte , se revisa en empaque y las bandejas encontrandose pan sin corte, este pan no tiene porcentaje de acepatacion sin corte. </t>
  </si>
  <si>
    <t xml:space="preserve">Problema con cuchillos de la samuria </t>
  </si>
  <si>
    <t>Empiezan a segregar el pan sin corte desde inicio de turno, luego se revisa en empaque los palets producidos encontrandose, verificando que la segregacion fuera efectiva, se encontro  pan sin corte , se bloquea pan sin corte</t>
  </si>
  <si>
    <t>Entregan linea a mantencion para revision de cuchillos samurai.</t>
  </si>
  <si>
    <t>AC15624TN044332</t>
  </si>
  <si>
    <t>Durante revision de etiquetas en turno noche Analista de Calidad Maria Saldivia detecta etiqueta de Italiano Familiar con error (faltaba ingrediente levadura y palabra distribuido), y la etiqueta se habia liberado en los turnos anteriores, y se comenzo a usar en los primeros pallet que se produjeron</t>
  </si>
  <si>
    <t>Error en etiqueta</t>
  </si>
  <si>
    <t>Se da aviso a supervisor y se bloquea producto</t>
  </si>
  <si>
    <t>se corrige etiqueta , y se cambian etiquetas a 150 bandejas durante el turno</t>
  </si>
  <si>
    <t>CV06424TM150042</t>
  </si>
  <si>
    <t>Italo Cayuman</t>
  </si>
  <si>
    <t xml:space="preserve">Hallullita </t>
  </si>
  <si>
    <t>No se realiza control a las 10:50 de la mañana de PCC 06 DETECTOR DE METALES.</t>
  </si>
  <si>
    <t>operador Italo Cayuman reemplaza a colaboradaora accidentada, no realizando control a tiempo de acuerdo a frecuencia cada 2 horas.</t>
  </si>
  <si>
    <t>Se bloquea un pallet de hallullita granel para ATM Multivac 1.</t>
  </si>
  <si>
    <t>Volver a pasar PT POR DETECTOR DE METALES y capacitar por BPM a Italo Cayuman.</t>
  </si>
  <si>
    <t>LS09524TT190152</t>
  </si>
  <si>
    <t>Wendoline Fuentes</t>
  </si>
  <si>
    <t>Durante seguimiento en línea se detecta 6 pack de 15 pack muestreados de hallulla ATM lider con bajo peso.</t>
  </si>
  <si>
    <t xml:space="preserve">Se separa último pallet armado para revisión y se revisa peso a salida de línea continua detectándose desviación constante. se bloquea 15 bandejas rentapack para devolución a producción panadería. </t>
  </si>
  <si>
    <t>Se cambia de pallet para envasado el que se encuentra en cumplimiento y se aumenta frecuencia de  monitoreo de gramaje a 30 minutos.</t>
  </si>
  <si>
    <t>009401V2</t>
  </si>
  <si>
    <t>YR09424TM135648</t>
  </si>
  <si>
    <t xml:space="preserve">Durante el recorrido de línea en empaque empanada  se visualizo desvío de temperatura para empanada horno suprema 8,4 °C y 5,4 °C registrada en control de PCC 4 enfriamiento.  </t>
  </si>
  <si>
    <t xml:space="preserve">Personal de turno identifica de producto involucrado en desvío, producto enviado a cámara de congelado. </t>
  </si>
  <si>
    <t xml:space="preserve">Producto es enviado a cámara de congeldo, se verifica temperatura en cámara estando en cumplimiento posterior a las 2 horas del desvío.  </t>
  </si>
  <si>
    <t>YR00424TM144720</t>
  </si>
  <si>
    <t>M. Acuña</t>
  </si>
  <si>
    <t xml:space="preserve">Se realiza etiquetado de magdalena chips chocolate con etiqueta errada, información nutricional e ingredientes no corresponde con la materia prima chips chocolate del proveedor Carozzi, fue etiquetado con la información del proveedor Puratos. </t>
  </si>
  <si>
    <t xml:space="preserve">Falla operacional por falta de comunicación efectiva entre personal de producción bollería con empaque. </t>
  </si>
  <si>
    <t xml:space="preserve">Se identifica y bloquea producción involucrada en error de etiquetado lotes 2 y 3. </t>
  </si>
  <si>
    <t xml:space="preserve">Se reetiqueta el producto. Se deben generar acciones de mejora para evitar futuros errores de etiquetado. </t>
  </si>
  <si>
    <t>2y3</t>
  </si>
  <si>
    <t>MM09424TT175545</t>
  </si>
  <si>
    <t>Yaquelin Quijada</t>
  </si>
  <si>
    <t xml:space="preserve">Siendo las 15:05 durante control de seguimiento se observa en libro incumplimiento en la frecuencia de control de peso de turno mañana al que correspondia reportar a las 13:20 el control de peso (ver evidencia) se procede a bloquear los pallets 09 y 10 para verificar pesos segun norma chilena se realiza la accion correctiva y se determina que los envases cumple con el peso sin embargo se observo dos envases con mal sellado con el horario de impresion 13:44  se tomo control de gases a otro empaque con ese horario encontrandose en cumplimiento posiblemente el mal sellado fue algo puntual in embargo es algo que deben revisar, ademas se observo impresion de inkjet borrosa por lo que se dejan bloqueados los pallets por estos nuevos hallazgos. </t>
  </si>
  <si>
    <t xml:space="preserve">por definir </t>
  </si>
  <si>
    <t>Bloqueo de Produccto y verificación de peso segun norma chilena</t>
  </si>
  <si>
    <t xml:space="preserve">Realizar capacitación a personal de turno mañana sobre los hallazgos detectados para que no vuelvan a incurrir </t>
  </si>
  <si>
    <t>FB08724TT194256</t>
  </si>
  <si>
    <t>Nicole Casanova</t>
  </si>
  <si>
    <t xml:space="preserve">Al momento de la verificacion en linea se pudo evidenciar etiqueta inyect borrosa en producto Hallullita ATM Lote 086 </t>
  </si>
  <si>
    <t>Se procede a reenvasar Producto con Inyect borrosa</t>
  </si>
  <si>
    <t>Incumplimiento del procedimiento establecido: no se realizó monitoreo adecuado según el PC4</t>
  </si>
  <si>
    <t>YR09324TM135552</t>
  </si>
  <si>
    <t xml:space="preserve">L. Villena </t>
  </si>
  <si>
    <t xml:space="preserve">Incumplimiento en la frecuencia de monitoreo de PCC 6  Detector de metales, PCC 4 Control de enfriamiento y RAC-168 Control de Gramaje.  </t>
  </si>
  <si>
    <t xml:space="preserve">Personal responsable leticia Villena  y Charles Guerby no realizan controles y monitoreos en la frecuencia establecida y al consultar estos informan que no lo realizan pensando que el otro ya lo habia realizado y que ellos estan ocupados en el área. Capacitación a personal.   </t>
  </si>
  <si>
    <t xml:space="preserve">Se identifica y bloquea producto involucrado en desvío desde el último control en cumplimiento. </t>
  </si>
  <si>
    <t xml:space="preserve">Se realizan acciones correctivas según establece cada uno de los procedimientos, la anaconda de empanada no tiene curva de temperatura por lo que se verifico temperatura de producto estando en cumplimiento, este producto está siendo enviado a  granel a cámara de congelado. </t>
  </si>
  <si>
    <t>PP00424TM112811</t>
  </si>
  <si>
    <t>Valerie olivares</t>
  </si>
  <si>
    <t xml:space="preserve">Se bloquea materia prima Choclo cocido con fecha de vencimiento 04/01/2024, que envian para soliticar excepcion , presentando alteraciones  organolepticas. </t>
  </si>
  <si>
    <t xml:space="preserve">Materia prima vencida </t>
  </si>
  <si>
    <t xml:space="preserve">Se bloquea producto </t>
  </si>
  <si>
    <t xml:space="preserve">Se bloquea producto y se merma </t>
  </si>
  <si>
    <t>MS09224TN010536</t>
  </si>
  <si>
    <t xml:space="preserve">A las 22:57 se revisa organolepticamente totem de huevo que estaba siendo utilizado en el àrea de mezcla bolleria, presentando olor no caracteristico,  adicional a esto la temperatura del producto se encontraba fuera de especificaciòn. </t>
  </si>
  <si>
    <t xml:space="preserve">Se revisa trazabilidad del producto  y se observa que este totem fue utilizado en producciòn empanadas el dia 28/03/2024 y fue trasladado nuevamente para ser utilizado en mezcla bolleria el dia 01/04/2024. Se presume perdida de temperatura </t>
  </si>
  <si>
    <t xml:space="preserve">Se identifica y bloquea la MMPP. se da aviso al supervisor Tibor Petranyi. Se revisa el producto terminado. </t>
  </si>
  <si>
    <t>L121604</t>
  </si>
  <si>
    <t>FB08324TN053229</t>
  </si>
  <si>
    <t xml:space="preserve">Nicole Casanova </t>
  </si>
  <si>
    <t>Desviacion de temperatura de producto Italiano familiar en empaque panadería línea 5, personal da aviso correspondiente de dicho desvío presentado por deshielo en la Anaconda.</t>
  </si>
  <si>
    <t>Deshielo en la anaconda.</t>
  </si>
  <si>
    <t>Se procedió a dejar las bolsas abiertas y bloquear todo el producto con desviación de temperatura enviándolas a zona de despacho para dar golpe de frío.</t>
  </si>
  <si>
    <t>Se realiza bloqueo del producto desde la toma con desvío de temperatura, se realiza verificación de pallets con bolsas abiertas en zona de despacho.</t>
  </si>
  <si>
    <t>YR00424TM132354</t>
  </si>
  <si>
    <t>H. Navarrete</t>
  </si>
  <si>
    <t>No se registra trazabilidad de pirotin en turno noche al cambio de lote de producción. Lote 004</t>
  </si>
  <si>
    <t xml:space="preserve">Operador responsable no completa información de trazabilidad  pirotin magdalnea ,correspondiente al cambio de lote. </t>
  </si>
  <si>
    <t xml:space="preserve">Se Identifica producto, se bloquea. </t>
  </si>
  <si>
    <t xml:space="preserve">Se solicita RAC -52 de turno noche para validar trazabilidad de pirotin, se realiza validación, se libera el producto. </t>
  </si>
  <si>
    <t>YR09224TM125608</t>
  </si>
  <si>
    <t>D. Morán</t>
  </si>
  <si>
    <t xml:space="preserve">Se procede a verificar temperatura de  producto proveniente de devolución, no presenta etiquetado, sólo se identifico con fecha de día de refresh en pallet sin tener la certeza a que lote de producción corresponde. </t>
  </si>
  <si>
    <t xml:space="preserve">Por favor identificar y  enviar analisis de causa raíz. </t>
  </si>
  <si>
    <t xml:space="preserve">Se realiza bloqueo de producto. </t>
  </si>
  <si>
    <t xml:space="preserve">Capacitar al personal involucrado en etiquetado de producto e instar a realizar trabajo de manera correcta para evitar futuros eventos. </t>
  </si>
  <si>
    <t>PP08824TM111717</t>
  </si>
  <si>
    <t xml:space="preserve">C, Aguilera </t>
  </si>
  <si>
    <t xml:space="preserve">Turno noche indica que la cinta azul que va de la salida del horno a la anaconda esta rota. La analista Marileni Montilla se comunica con la sra Carla Munita , para tomar la decision de dejar la linea bloqueada hasta que cambiaran la cinta por riesgo fisico y microbiologico, En el recorido de la mañana me doy cuenta que realizaron produccion de pizza vegetariana, le pregunto a TPM  C, Aguilera , quien les dio la autorizacion de partir y ella indica que jefatura. Procedo averiguar y este bloqueo no habia sido levantado por parte de calidad , por tal motivo se procede a bloquear la produccion de pizza vegetaria lote 88 ( 5 palets ),  </t>
  </si>
  <si>
    <t xml:space="preserve">Cinta de transporte rota que va de la salida del horno a la anaconda , puede existir riesgo microbiologico y fisico, ya que no se tiene evidencia si el producto toco las superficie dañada. </t>
  </si>
  <si>
    <t xml:space="preserve">Confirmar si el bloqueo habia sido levantado por calidad, Sra Carla Munita indica que no  por lo tanto se bloquea producto. </t>
  </si>
  <si>
    <t xml:space="preserve">Cambian cinta con daño , se libera la cinta aseo post mantencion. Decision de liberacion de producto la determina por jefatura. </t>
  </si>
  <si>
    <t>YR08124TM120544</t>
  </si>
  <si>
    <t>V. Estrada</t>
  </si>
  <si>
    <t>Durante seguimiento de producto se realiza control de gramaje y se identifica envases por debajo del peso establecido en etiqueta para producto pizza Española Líder contenido neto 480 G. (Se anexan imágenes)</t>
  </si>
  <si>
    <t xml:space="preserve">Por favor revisar análisis de causa junto a personal de turno noche debido a que pizza bajo peso corresponde a este turno. </t>
  </si>
  <si>
    <t xml:space="preserve">Se informa a TPM de desviación observada, se bloquea producto desde último control en cumplimiento. </t>
  </si>
  <si>
    <t xml:space="preserve">Se realiza  muestreo según norma chilena NCh44, se verifica peso estando en incumplimiento, producción  procede a pesar nuevamente todo el producto involucrado en desviación y se separa producto con desvío quedando bloqueado. </t>
  </si>
  <si>
    <t>MM07424TT193255</t>
  </si>
  <si>
    <t>Anais Astudillo</t>
  </si>
  <si>
    <t xml:space="preserve">Siendo las 15:48 duarante recorrido y control se detecta desviación de concentración de oxigeno y se observa perdida de vacio en una de las muestras y operario nuevo no se percata y lo deja pasar a la bandeja por lo que se revisa y se encuentran 3 bandejas con desviación de PCC Nº 5 quedando bloqueados 31,68 kg para reproceso. </t>
  </si>
  <si>
    <t>Perdida de Vacio por film corrido</t>
  </si>
  <si>
    <t>Revision de bandejas y bloqueo de producto afectado</t>
  </si>
  <si>
    <t>@jorge.sanchez Realizar capacitación a operario nuevo.</t>
  </si>
  <si>
    <t>YR07324TT201212</t>
  </si>
  <si>
    <t>Desviación de PCC-04 Enfriamiento desde las 16:30 hasta las 18:30 en salida de anaconda empaque empanada. Temperatura de producto 6,1 °C y 6,2 °C</t>
  </si>
  <si>
    <t xml:space="preserve">Temperatura de anaconda dentro de parámetros de congelación -18,2 °C,  por investigar. </t>
  </si>
  <si>
    <t xml:space="preserve">Se bloquean 3 pallets de horno mediana y se  envía a cámara de congelado. Pendiente por enviar a cámara último pallet. </t>
  </si>
  <si>
    <t xml:space="preserve">Se realiza bloqueo de producto y se envìa a càmara de congelado. Se solicito regular anaconda a  menor temperatura  cuando se procese empanadas de mayor dimensión. </t>
  </si>
  <si>
    <t>CV07924TT193524</t>
  </si>
  <si>
    <t>Se utiliza ingrediente base amasado receta nueva que no debía ocuparse hasta consumir base de amasado receta anterior.</t>
  </si>
  <si>
    <t>Se utiliza base de amasados bloqueado en bodega seco no correspondiente al que estaba en elaboración ya que se debía mantener receta actual por no termino de ingrediente en uso hasta ahora.</t>
  </si>
  <si>
    <t>Se bloquean 3 pallets de producto terminado de amasado que se almacena como congelado en cámara CCPAN de línea 4 con cinta amarilla con descripción en tarja amasado Kosher lote 079.</t>
  </si>
  <si>
    <t>Revisar y asegurarse que no quede stock de ingrediente base amasado de receta anterior para luego utilizar la receta validada actual</t>
  </si>
  <si>
    <t>PP07824TT204243</t>
  </si>
  <si>
    <t xml:space="preserve">M, Ramirez </t>
  </si>
  <si>
    <t xml:space="preserve">Se realiza seguimiento encontrando presencia de gomosidad en 10 de las 15 muestras revisadas en el empaque que dice 16:46 , se reemuestrea encontrando 9 muestras son gomosidad , se revisan  los palets antes de esta hora , no presentan gomosidad y exceso de materia grasa  , se dejan bloqueados los palets del 18 al 24 que tuvieron el corte para ir a colacion. </t>
  </si>
  <si>
    <t xml:space="preserve">informar por parte de supervisores </t>
  </si>
  <si>
    <t xml:space="preserve">Se re muestrea los productos antes de las 16:46 y luego de esta hora , se bloquean los palets del 18 a el 24 </t>
  </si>
  <si>
    <t xml:space="preserve">Verifican maeteria prima , y el horno, espera de acciones tomadas por produccion </t>
  </si>
  <si>
    <t>MM13524TM141852</t>
  </si>
  <si>
    <t xml:space="preserve">Mariela Rojas </t>
  </si>
  <si>
    <t>Siendo las 10:45 durante recorrido en linea se observa bajo espesor y se verifican 15 muestras las cuales el rango de espesor oscila desde 3,5 a 4,1 bajo parametros de ficha tecnica se proceden a revisar pallets encontrandose 6 pallets con problemas de espesor los cuales quedan bloqueados pallets 21 al 26 lote 135. Como acciones correctivas supervisor informa que proceden en linea proceden a subir temperatura a fermentadora, aumentan 100 gr de levadura y reprocesan masas</t>
  </si>
  <si>
    <t>Cambio de Temperatura Ambiente</t>
  </si>
  <si>
    <t>Revision de Pallets y Bloquedo de Producto con problemas de espesor</t>
  </si>
  <si>
    <t xml:space="preserve">Revisar espesor del productos en turno tarde para verificar acciones correctivas </t>
  </si>
  <si>
    <t>YR07224TT201535</t>
  </si>
  <si>
    <t>V. Herrera</t>
  </si>
  <si>
    <t xml:space="preserve">Durante recorrido de líneas se observa presencia de puntos negros y marrones en masa corriente de producción  de chaparra. </t>
  </si>
  <si>
    <t xml:space="preserve">Se presume uso de recorte de masa usado en producción de empanada horno mediana, en la producción de chaparra </t>
  </si>
  <si>
    <t xml:space="preserve">Se avisa supervisor de turno se evalua sicutación y se decide realizar descarte de masa en línea e iniciar con vaciado nuevo de amasado de harina. </t>
  </si>
  <si>
    <t xml:space="preserve">Se realiza bloqueo de producto, se evalua posterior envasado identificando presencia de estas particulas en chaparras. </t>
  </si>
  <si>
    <t>CV02424TM160748</t>
  </si>
  <si>
    <t>Carlos Meza</t>
  </si>
  <si>
    <t>Supervisor Roberto Arena se acerca  a calidad a informa que a  los operarios se les había caído el cuchillo que utilizan para cortar la masa en la cinta de recorte , se dan cuenta de esto cuando la masa tiene un corte,  dándose cuenta que el objeto no estaba; paran la línea a las 9:00 am, sin embargo esta masa pasa  por la amasadora y la mono pan, revisando la masa que está pasando por la línea, la analista de cálida encuentra un pedazo de la hoja del cuchillo en la masa que va por línea en el módulo 11 antes del picador, por tal motivo se solicita la limpieza de la línea completa, se recupera una parte del elemento extraño.Cantidad de masa mermada 1252 kilos.</t>
  </si>
  <si>
    <t>Se detiene línea, y se inicia investigación de lo ocurrido, se revisan tolva monopump, cintas de recortes, modulos del 1 al 11. Encontrandose en salida de tolva monopump y modulo 11 antes del picador.</t>
  </si>
  <si>
    <t>Por mala práctica del operador de línea deja cuchillo en masa en cinta subida hacia tolva de recorte.</t>
  </si>
  <si>
    <t>Se realiza capacitación y se genera carta de amonestación al TPM (Carlos Meza) y operador (Jonathan Anfrens) de líneas.</t>
  </si>
  <si>
    <t>Mala Practica</t>
  </si>
  <si>
    <t>YR06924TN052228</t>
  </si>
  <si>
    <t>D. Palma</t>
  </si>
  <si>
    <t>Incumplimiento en frecuencia de monitoreo RAC -38 Control de gramaje en empaque panaderia linea 4</t>
  </si>
  <si>
    <t xml:space="preserve">Descuido por parte de operador responsable del  monitoreo. </t>
  </si>
  <si>
    <t xml:space="preserve">Se avisa  a supervisor de turno de incumplimiento, se identifica producto involucrado en desvio desde ultimo control en cumplimiento y se realiza bloqueo. </t>
  </si>
  <si>
    <t>Se procede a realizar acción correctiva muestreando producto según Nch44, se verifican pesos estando en cumplimiento, se registran en RAC-38 Control de gramaje.</t>
  </si>
  <si>
    <t>EO05523TN015802</t>
  </si>
  <si>
    <t>NA</t>
  </si>
  <si>
    <t>Se detectó producto retenido por período  mayor a 4 Horas en anaconda por falla de funcionamiento</t>
  </si>
  <si>
    <t>Falla de Funcionamiento: Se rompió escroquer de anaconda</t>
  </si>
  <si>
    <t>Se detuve línea productiva para reparación de fallas</t>
  </si>
  <si>
    <t>Merma del producto involucrado</t>
  </si>
  <si>
    <t>PP06824TM111811</t>
  </si>
  <si>
    <t xml:space="preserve">M. Ramirez </t>
  </si>
  <si>
    <t>Se realiza seguimiento diario y se encontro pizza española lote 68 por debajo del peso rotulado en el envase.</t>
  </si>
  <si>
    <t>Inician produccion con dosificacion manual</t>
  </si>
  <si>
    <t xml:space="preserve">Se bloquean los productos de inicio de proceso para realizar acciones correctivas establecidas (8 palets). </t>
  </si>
  <si>
    <t xml:space="preserve">Se pesan todos los productos involucrados en desviación y los que presentan incumplimiento de reprocesa para adicion de topping en  el sector de alimec pizza. </t>
  </si>
  <si>
    <t>YR06624TN020734</t>
  </si>
  <si>
    <t xml:space="preserve">Durante recorrido se realiza control y monitoreo de PCC detector de metales de variovac pizza y no se activo sistema de rechazo del brazo expulsor en ninguno de los patrones. </t>
  </si>
  <si>
    <t xml:space="preserve">Valvula de aire con condensado.  </t>
  </si>
  <si>
    <t xml:space="preserve">Se detiene produccion, se identifica y bloquea producto desde ultimo control en cumplimiento, se avisa a supervisor de turno y se llama a personal de mantencion para revision de sistema de rechazo. </t>
  </si>
  <si>
    <t xml:space="preserve">Personal de mantencion revisa falla identificando valvula de aire con condensado, libera condensado,  se verifica cumplimiento de sistema de rechazo y se pasa producto nuevamente por detector de metales. </t>
  </si>
  <si>
    <t>YR06624TN030042</t>
  </si>
  <si>
    <t xml:space="preserve">Durante recorrido se observo incumplimiento de la frecuencia de monitoreo. </t>
  </si>
  <si>
    <t xml:space="preserve">Operaria se confunde con hora y no realiza control en el horario establecido. </t>
  </si>
  <si>
    <t xml:space="preserve">Se avisa a TPM, se identifica y bloquea producto desde ultimo control en cumplimiento. </t>
  </si>
  <si>
    <t xml:space="preserve">Se pasa producto nuevamente por detector de metales, se realiza control y monitoreo de PCC al momento de la accion correctiva y se registra en libro. </t>
  </si>
  <si>
    <t>MM13724TM150848</t>
  </si>
  <si>
    <t>Siendo las 10:50 en recorrido por empaque L5 se detecta incumplimiento en la frecuencia del llenado del registro del PCC 6 ultimo registro en cumplimiento de las 8:25 por lo que se proceden a bloquear 3 pallets desde el ultimo control en cumplimiento para ser reprocesados se procede a llenar registro R-ITAC-24-01 Control de reproceso productos bloqueados Planta Masas.</t>
  </si>
  <si>
    <t>Por Definir</t>
  </si>
  <si>
    <t>Bloqueo y reproceso de producto afectado</t>
  </si>
  <si>
    <t xml:space="preserve">Realizar amonestación al personal que incurrió en el fallo </t>
  </si>
  <si>
    <t>562,5</t>
  </si>
  <si>
    <t>LS06524TN041810</t>
  </si>
  <si>
    <t>Jaqueline Quijada</t>
  </si>
  <si>
    <t>Se evidencia fecha de vencimiento borrosa e incompleta en envases de hallullita ATM en armado de pallets un total de 9 bandejas</t>
  </si>
  <si>
    <t>Falta de ajustes de parámetros en fermentadora.</t>
  </si>
  <si>
    <t>Se revisa y bloquea bandejas con defecto en inyect.</t>
  </si>
  <si>
    <t>Se cambia cartucho de tinta.</t>
  </si>
  <si>
    <t>06401M1</t>
  </si>
  <si>
    <t>YR03424TM111513</t>
  </si>
  <si>
    <t>Durante seguimiento de producto se realiza control de gramaje y se identifica envases por debajo del peso establecido en etiqueta para hallulla ATM Líder contenido neto 900 G. (Se anexan imágenes)</t>
  </si>
  <si>
    <t xml:space="preserve">Hallulla ATM con bajo peso  </t>
  </si>
  <si>
    <t>Se identifica pallets desde el último control en cumplimiento, se realiza revisión del 100 % del producto envasado y se reprocesa producto bajo peso</t>
  </si>
  <si>
    <t xml:space="preserve">Se detiene envasado, se reviso peso de producto granel junto a supervisora Constanza Campos y constato bajo peso. supervisor de turno verificar controles de proceso en zona de producción y realizar mejoras en próximas producciones para productos destinados a ATM. </t>
  </si>
  <si>
    <t>Defecto de Semielaborado</t>
  </si>
  <si>
    <t>YR15524TM142911</t>
  </si>
  <si>
    <t xml:space="preserve">Supervisor de turno informa que de área de envasado personal responsable de control y monitoreo de registros aviso identificación de producto bajo peso. No cumpliendo con contenido neto 300 gr. </t>
  </si>
  <si>
    <t xml:space="preserve">Personal de área de horneado informo que problematica de bajo peso se presenta debido a falla en el dosificador de mezcla y deben estar monitoreando el gramaje cada 15 minutos para evitar el incumplimiento. </t>
  </si>
  <si>
    <t xml:space="preserve">Se identifica y bloquea producto desde último control en cumplimiento, se verifica acción correctiva de ajuste de peso a las 12:53 en zona de envasado estando producto en cumplimiento, se continua envasado. </t>
  </si>
  <si>
    <t>Se debe realizar reproceso de producto según lo establecido en SOP-87. Reproceso de producto en incumplimiento 108 kg.,.  Liberado para Donación</t>
  </si>
  <si>
    <t>PP03424TN043742</t>
  </si>
  <si>
    <t>A, Gomez</t>
  </si>
  <si>
    <t xml:space="preserve">Semi elaborado Coliza </t>
  </si>
  <si>
    <t xml:space="preserve">Ingresando a el turno la TPM, Andrea G, se comunica e informa que la COLIZA de L1, estaba saliendo con temperatura de 21,4, me informa que van a dar golpe de frio a el pan, siendo las 3:30 de la mañana me acerco para revisar la temperatura de este y me doy cuenta que el pan lo habian dejado sellado y enfilado, lo que hizo que esto generara condensacion en las bolsas, se revisan palets aleatorios, se procede a bloquear este producto. </t>
  </si>
  <si>
    <t xml:space="preserve">Temperatura alta a la salida de la anaconda. 21,4 y 20,4. </t>
  </si>
  <si>
    <t>Golpe de frio.</t>
  </si>
  <si>
    <t xml:space="preserve">se bloquea producto, produccion realiza el cambio de bolsas fuelle y merman el producto que toca las bolsas con condensacion la temperatura de este producto estaba en  0.3 ºC los palets con film y 11,5 ºC, los palets que estaban abiertos. </t>
  </si>
  <si>
    <t>AC12424TT140103</t>
  </si>
  <si>
    <t>Hector Bustamante</t>
  </si>
  <si>
    <t>En despacho se revisa pallet proveniente de devolucion por sobrante, (temperatura del camion 16ºC) se encuentra que producto Baguette 250g a temperatura de -8,7ºC y con aparente perdida de cadena frio , (pan estaba blando)</t>
  </si>
  <si>
    <t>Procedente de CD, perdida de cadena de frio</t>
  </si>
  <si>
    <t>MM06524TN053858</t>
  </si>
  <si>
    <t>Augustin Joubert</t>
  </si>
  <si>
    <t>Durante control de almacenamiento de producto terminado RAC-89 se chequea temperatura de productos y se detecta que la temperatura del pack empanada coctel queso 12 un presenta desviación de temperatura de refrigeración encontrándose en 6.2 ºC este producto fue envasado el sábado 040324 con fecha de despacho para el 050324 y de acuerdo con los antecedentes de comportamiento de temperatura de la zona de despacho no se tomaron acciones de uso de rampla o uso de Cámara alterna de refrigerado la cual actualmente tampoco se encuentra desocupada.</t>
  </si>
  <si>
    <t>por defirnir de parte de mantención</t>
  </si>
  <si>
    <t>FB12424TN032428</t>
  </si>
  <si>
    <t xml:space="preserve">Durante el recorrido se observa desviación de PCC Nro. 4 de Enfriamiento en empaque empanada. Temperatura con desvío 8,4 °C. </t>
  </si>
  <si>
    <t xml:space="preserve">Personal de mantención informa que al revisar temperatura se encontraba seteada a -25 °C. Se recomienda revisar seteo de anaconda por dimensiones de producto. </t>
  </si>
  <si>
    <t>Se identifica producto involucrado con desviacion.</t>
  </si>
  <si>
    <t xml:space="preserve">Se identifica el producto involucrado en desvío, se bloquea y se envía a cámara de -20 °C CPAN para cumplir con acción correctiva de dar golpe de Frío hasta alcanzar temperatura de refrigeración. </t>
  </si>
  <si>
    <t>PÑ06424TT191628</t>
  </si>
  <si>
    <t>se bloquea MMPP salsa walmart con fecha de elaboracion 24/01/2024 lote 141 por presentar contaminacion por hongo.</t>
  </si>
  <si>
    <t>posiblemente mal sellado del tambor.</t>
  </si>
  <si>
    <t>se identifica MMPP comprometida, se bloquea.</t>
  </si>
  <si>
    <t>reclamo a proveedor.</t>
  </si>
  <si>
    <t>24/01/2024</t>
  </si>
  <si>
    <t>YR06024TM081400</t>
  </si>
  <si>
    <t>D. Molina</t>
  </si>
  <si>
    <t>Personal turno mañana informa que inicio de producción de hallulla Fermeid presentó desvío de temperatura a la salida de anaconda, temperatura 21 °C</t>
  </si>
  <si>
    <t>Deshielo de anaconda</t>
  </si>
  <si>
    <t>Bloqueo y golpe de frio con bolsas abiertas en zona de despacho.</t>
  </si>
  <si>
    <t xml:space="preserve">Aplicar golpe de frío en zona de despacho. Se muestreo posterior a las 2 horas y se verifico cumplimiento. </t>
  </si>
  <si>
    <t>MM05924TM140251</t>
  </si>
  <si>
    <t>David Palma</t>
  </si>
  <si>
    <t xml:space="preserve">Siendo las 13:50 a la entrada de la colación Operador David Palma informa que bloquearon 2 pallets por presentar humedad debido a caida de agua del techo en sector empaque robots afectando lo envasado en los pallets 3 y 4. desvian producto en tombola antes de los robots </t>
  </si>
  <si>
    <t>desconocida origen de filtración de agua</t>
  </si>
  <si>
    <t>bloqueo de producto afectado y desvio de producto hacia tombola que se encuentra antes de los robots</t>
  </si>
  <si>
    <t>LS05924TM161136</t>
  </si>
  <si>
    <t>Claudio M</t>
  </si>
  <si>
    <t>Agsutín Joubert</t>
  </si>
  <si>
    <t>Producto refresh en sala presenta desviación de temperatura antes de sellar ya con 5,8°C que luego se desvía a 6°C por demora en sellado debido a falta de personal para esa actividad, producto sellado alcanza temperatura de 7,1°C. Sala de envasado se encuentra a 8,4°C.</t>
  </si>
  <si>
    <t>Tiempo de espera para sellado por falta de personal y temperatura de sala genera desvío en producto refresh que ya en despacho estaba a 4,5°C a lo que se deduce que desviación de temperatura de zona de desacho afecto proceso de refresh debido a que producto debió ser envasado a 0°C y en menos tiempo por desviación de temperatura en sala de empaque empanada.</t>
  </si>
  <si>
    <t>bloqueo y aviso a supervisor senior</t>
  </si>
  <si>
    <t>Desviación de T Antes de Envasar</t>
  </si>
  <si>
    <t>MM05824TM132453</t>
  </si>
  <si>
    <t xml:space="preserve">Siendo las 12:00 durante recorrido y control de linea Operadora Evelyn Guzman informa que se reprocesan por bajo peso 19 Bandejas ya que el peso es menor de 855 g y que estas 19 bandejas se segregaron de un pallet. Se informa que la acciones fueron realizadas por la operario sin informar de manera oportuna a calidad. Para complementar se informa que a las 12 se encontraban envasando nuevamente producto pesando uno a uno los envases operaria informa que trabaja Variovac Pan con la `máquina en 0 nominal 2,4 por falta de personal y por proceso de pesaje 1 a 1 </t>
  </si>
  <si>
    <t>por definir</t>
  </si>
  <si>
    <t>Bloquear y Segregar producto</t>
  </si>
  <si>
    <t>@fernando.martin informar candidad en Kg</t>
  </si>
  <si>
    <t>MM05824TM134641</t>
  </si>
  <si>
    <t>Valeri Olivares</t>
  </si>
  <si>
    <t>siendo las 11.02 durante recorrido se aprecia que durante el control de concentracion de gases la concentración de Oxigeno se encuentra desviada 1.1, 1.2, 1.2 0.9 se procede a tomar nuevas muestras en dos oportunidades mas y estas resultan desviadas. Posterior a eso detienen y revisan empaquetaduras y ajustan parametros encontrandose Ok sin embargo al regresar se toman nuevamente el control encontrandose desviación se bloquean 97 bandejas y mantención interviene la variovac Pizza informando que la máquina presento problemas de vacio y que el sensor esta dando lectura erronea en su intervención regulan parametros quedando operativa y registrando valores de concentraciones dentro de parametros</t>
  </si>
  <si>
    <t>Problemas de vacio de la Varivac Pizza</t>
  </si>
  <si>
    <t>Bloqueo del producto, deteción de la linea y llamado a mantencion para intervencion de la maquina</t>
  </si>
  <si>
    <t>Regularización de parametros de la máquina. @Fernando. martin informar cantidad en kg</t>
  </si>
  <si>
    <t>YR05724TM142248</t>
  </si>
  <si>
    <t>L. Yucra</t>
  </si>
  <si>
    <t xml:space="preserve">Espesor de producto no cumple con dimensiones de ficha técnica dónde se indica que espesor es aceptable de 4 a 6 cm considerando que el 80 % de la producción se encuentre en un rango de 4,5 a 5,5 cm. De las 15 unidades muestreadas 14 presentaron espesor entre 4 a 4,4 cm.   Se informa a supervisor de turno quien indica que bajo espesor se debe a cortes en línea y que producto está siendo seleccionado en tómbola. Se revisan dos bandejas una del inicio de producción y otra del último pallet envasado y se evaluó espesor en 20 unidades dónde solo 1 presentó espesor dentro de rango de 4,5 a 5,5 cm. </t>
  </si>
  <si>
    <t xml:space="preserve">Por favor identificar e informar. </t>
  </si>
  <si>
    <t>Se avisa a supervisor de turno y TPM. Se evalúa contra muestra de producto en línea manteniendo resultados desfavorables.</t>
  </si>
  <si>
    <t xml:space="preserve">Se avisa a supervisor de turno quien informa que han presentado cortes en línea, se disminuye vapor al horno y acción correctiva en zona de empaque segregación de producto por parte de personal según indica supervisor. Al muestrear producto se identificó que segregación no fue efectiva. . </t>
  </si>
  <si>
    <t>Error de Medición</t>
  </si>
  <si>
    <t>YR05524TT172717</t>
  </si>
  <si>
    <t xml:space="preserve">D. Alarcon </t>
  </si>
  <si>
    <t xml:space="preserve">Durante verificación de libro se observó incumplimiento de la frecuencia de monitoreo en registros de envasado Bollería Rac 168 Control de Gramaje, RAC 112  PC04 Control de trazabilidad y rotulación  Inkject/ etiquetado manual y RAC 20 Control de sellado. </t>
  </si>
  <si>
    <t xml:space="preserve">Colabodora indica que se complico cambiando film y no logro realizar controles y monitoreos. </t>
  </si>
  <si>
    <t xml:space="preserve">Se procede a realizar acción correctiva según Nch44 para control de gramaje, se verifica sellado de producto e información de trazabilidad.  </t>
  </si>
  <si>
    <t>EO05424TT160316</t>
  </si>
  <si>
    <t xml:space="preserve">Mariangel </t>
  </si>
  <si>
    <t xml:space="preserve">A las 16:00hrs Aproximadamente se recibieron etiquetas para liberación, entre ellas se encontraban las etiquetas para los productos Refresh: 1-Doblada Granel Lote:019L3,2-Doblada Granel Ekono Lote:019L3 y 3-Hallulla Ekono Granel Lote:025L1. Se consultó por telefono a la operadora Mariangel las temperaturas de los productos Refresh por telefono (se supone que tenían que estar aún en la camara de Congelados) quien indicó las temperaturas -12.4,-12,4 y -11,4 respectivamente para los productos en cuestión además mencionó que ya los productos habían sido sacados de cámara para iniciar su proceso Refresh. Además a las 16:00 hrs se verificó  el R-ITAC-04-01 CONTROL DE PRODUCTOS PARA REFRESH O DESCONGELACIÓN y no se encontraron Registros desde las 13:30hrs. Esto incumple el procedimiento establecido en el registro mencionado que establece que la frecuencia de monitoreo es Cada vez que se saquen los productos de las camaras de congelados o frigoríficos externo, y tambien el procedimiento que establece que los productos mientras estén a una temperatura superior de -11,9  no se pueden sacar de la cámara y si la temperatura está entre -12 y -14 se puede iniciar el proceso de descongelación con previa autorización de calidad a traves de una solicitud de excpeción  </t>
  </si>
  <si>
    <t>@Jorge Sanchez (Chile)./@Harold Rodriguez (Chile): Por favor su ayuda para determinar porque no se siguió el procedimiento establecido</t>
  </si>
  <si>
    <t>Se informa al supervisor Harol del incumplimiento y se le indican las acciones tomadas además se bloquea el producto involucrado</t>
  </si>
  <si>
    <t xml:space="preserve">Para las productos Doblada se mantienen bloqueados a Hasta que se envíe la Excepción; Para el Producto Doblada se mantiene Bloqueada: @Carla Munita (Chile) por favor su ayuda para ver las acciones a tomar en este caso </t>
  </si>
  <si>
    <t>025L1</t>
  </si>
  <si>
    <t>Incumplimiento establecido establecido en el R-ITAC-04-01</t>
  </si>
  <si>
    <t>YR05424TT195544</t>
  </si>
  <si>
    <t>A. Cespedes</t>
  </si>
  <si>
    <t xml:space="preserve">Personal Turno tarde realiza llamado para liberación de 8 Ciclos, por desviación de gases en turno mañana. </t>
  </si>
  <si>
    <t xml:space="preserve">Mantención revisa máquina  realiza limpieza y revisión de goma. Se revisa equipo dansensor y se observo aguja tapada, y equipo presentaba doble filtro. Se realiza calibración. </t>
  </si>
  <si>
    <t xml:space="preserve">Se bloquea producto desde último control en cumplimiento observado en libro, Nota: Operadora Soley Andraes no registro desviación en registro de PCC Nro. 5 Control de ATM se verifica información de desvío en Informe de control de tiempos multivac. </t>
  </si>
  <si>
    <t xml:space="preserve">Se Bloqueo producto involucrado en desvío y se reenvaso. </t>
  </si>
  <si>
    <t>FB05324TN023435</t>
  </si>
  <si>
    <t xml:space="preserve">Raul Lista </t>
  </si>
  <si>
    <t xml:space="preserve">Patricia Cancino </t>
  </si>
  <si>
    <t xml:space="preserve">Al inicio de turno se recibe bandeja de jamón trasvasijada bloqueada durante el Turno Tarde por desvío de temperatura </t>
  </si>
  <si>
    <t xml:space="preserve">Problema en puerta de Cámara de pizza por ruptura en guaya </t>
  </si>
  <si>
    <t xml:space="preserve">Se procede a realizar nueva toma de temperatura 2 hrs después encontrándose aun desviada en 6,4ºC. </t>
  </si>
  <si>
    <t>Desviación de T de SE,PT o MP Almacenado</t>
  </si>
  <si>
    <t>YR05324TT132211</t>
  </si>
  <si>
    <t>D.</t>
  </si>
  <si>
    <t xml:space="preserve">Durante verificación de libro se observó incumplimiento de la frecuencia de monitoreo en registros de envasado  Bollería Rac 168 Control de Gramaje,  RAC 112  PC04 Control de trazabilidad y rotulación  Inkject/ etiquetado manual y RAC 20 Control de sellado. </t>
  </si>
  <si>
    <t xml:space="preserve">Colaboradora Denis Alarcon no realiza controles y monitoreos dentro de la frecuencia establecida, se le consulta e indica que no tiene suficiente personal en sector envasado y debió reemplazar al personal que salio a los baños. </t>
  </si>
  <si>
    <t xml:space="preserve">Se procede a realizar acción correctiva según Nch44 para control de gramaje,  se verifica sellado de producto e información de trazabilidad. Se verifica cumplimiento de producto quedando liberado. </t>
  </si>
  <si>
    <t>RAC-112(Frecuencia de Monitoreo)</t>
  </si>
  <si>
    <t>YR05324TT202503</t>
  </si>
  <si>
    <t>E. Navarrete</t>
  </si>
  <si>
    <t>Durante recorrido se observa  incumplimiento de la frecuencia de monitoreo de control PCNro05 Horneado de planta 2 en producción panadería Línea 5</t>
  </si>
  <si>
    <t xml:space="preserve">Anaconda presento falla posterior a toma de temperatura y colaborador responsable de monitoreo indica que olvido registrarla una vez finalizada la falla. </t>
  </si>
  <si>
    <t xml:space="preserve">Se avisa a supervisor de turno de incumplimiento, se bloquea producto desde el último control en cumplimiento. </t>
  </si>
  <si>
    <t xml:space="preserve">Se solicita curva de temperatura, dónde TPM indica que este horno no cuenta con sistema para visualizar la curva de temperatura. Se procede a realizar evaluación de producto post cocción según especificación de modo de uso evaluando cocción y textura observando cumplimiento de producto. </t>
  </si>
  <si>
    <t>PC5(Frecuencia de Monitoreo)</t>
  </si>
  <si>
    <t>YR05224TT201641</t>
  </si>
  <si>
    <t>Personal de turno informa desviación de PCC Nro. 4 Enfriamiento P2 en empaque empanada. Temperatura de desvío 6,4 °C</t>
  </si>
  <si>
    <t xml:space="preserve">Se desconoce </t>
  </si>
  <si>
    <t xml:space="preserve">Se avisa a supervisor de turno y calidad, se llama a mantención frío. </t>
  </si>
  <si>
    <t xml:space="preserve">Se identifica el producto involucrado en desvío, se bloquea y se envía a cámara de -20  °C CPAN. </t>
  </si>
  <si>
    <t>FB05224TN003122</t>
  </si>
  <si>
    <t>Carlos Parada</t>
  </si>
  <si>
    <t xml:space="preserve">Carlos Contreras </t>
  </si>
  <si>
    <t>Se recibe Turno Noche con desvío de temperatura de producto en zona de empaque panadería línea 4, personal da aviso correspondiente de dicho desvío presentado por falla en la Anaconda</t>
  </si>
  <si>
    <t>Falla en la Anaconda.</t>
  </si>
  <si>
    <t>Se realiza bloqueo del producto desde la toma con desvío de temperatura, se realiza verificación de pallets con bolsas abiertas en zona de despacho y posterior a 2 horas se realiza toma de temperatura estando dentro de parámetros establecidos para su posterior liberación.</t>
  </si>
  <si>
    <t>CV05024TM143327</t>
  </si>
  <si>
    <t>Danitza Diaz</t>
  </si>
  <si>
    <t>Se detecta de acuerdo a lo que informa supervisor Simón Lozada cangilones superficie interior con residuos organico (contaminación por hongos).</t>
  </si>
  <si>
    <t>Programado en calendario semana 07 para verificación de parte de calidad.</t>
  </si>
  <si>
    <t>Se detiene línea 3, para realizar aseo pendiente de superficie interior de cangilones.</t>
  </si>
  <si>
    <t>Se detiene línea se retira producto semielaborado dobladas para posterior merma ya que es un riesgo de contaminación por hongos. se mantienen 6 bateas de masas de dobladas para posterior revisión de parte de calidad si se puede utilizar.</t>
  </si>
  <si>
    <t>Desviación organoléptica</t>
  </si>
  <si>
    <t>Frecuencia de Limpieza y Desinsectación no adecuada</t>
  </si>
  <si>
    <t>YR04824TN053550</t>
  </si>
  <si>
    <t>M. Carrasco</t>
  </si>
  <si>
    <t>Durante recorrido de verificación de registros se observó que se presento desvío del PCC 4 enfriamiento de planta 2 a las 20:00 pm, temperatura de desvío 21,3 °C</t>
  </si>
  <si>
    <t xml:space="preserve">Deshielo de Anaconda </t>
  </si>
  <si>
    <t xml:space="preserve">Se identifica producto involucrado es desvío, se bloquea y deja con bolsas abiertas en zona de despacho para que producto cumpla con temperatura requerida. </t>
  </si>
  <si>
    <t xml:space="preserve">Personal de turno  identifica pallets involucrados en desvíos y deja bolsas abiertas para aplicar golpe de frío en zona de despacho. Se muestreo posterior a las 2 horas y se verifico cumplimiento. </t>
  </si>
  <si>
    <t>YR04824TN060202</t>
  </si>
  <si>
    <t xml:space="preserve">Incumplimiento en el llenado de registro de las temperaturas de PCC Nro. 4 Enfriamiento P2 en empaque panadería Línea 1. </t>
  </si>
  <si>
    <t xml:space="preserve">Operadora realiza controles que registra en PC04 Control de trazabilidad y rotulación Inkecit / Etiquetado manual. pero no en PCC de enfriamiento P2. </t>
  </si>
  <si>
    <t xml:space="preserve">Se realiza bloqueo de producto involucrado en desviación  por incumplimiento de frecuencia que corresponde al mismo bloqueo del detector de metales. </t>
  </si>
  <si>
    <t xml:space="preserve">Se verifican las temperaturas del en PC04 Control de trazabilidad y rotulación Inkecit / Etiquetado manual que se encuentran en cumplimiento, además se muestrea los pallets según Nch44 y se verifica cumplimiento de temperaturas y que bolsas no presentan condensado excesivo. Dejando así liberado el producto. </t>
  </si>
  <si>
    <t>YR04824TN054914</t>
  </si>
  <si>
    <t xml:space="preserve">Desvío de PCC Nro. 6 Detección de metales por incumplimiento de la frecuencia de monitoreo. </t>
  </si>
  <si>
    <t xml:space="preserve">Falta de comunicación entre operadoras responsables de llenado de registro, por plan de acción ejecutado por àrea de producción. </t>
  </si>
  <si>
    <t xml:space="preserve">Se avisa a supervisor de turno, se identifica y bloquean los pallets involucrados en desvìó desde último control en cumplimiento. </t>
  </si>
  <si>
    <t xml:space="preserve">Se pasa producto nuevamente por detector de metales, se valida receta en detector de metales de empaque panadería línea 3 previa validación de receta y correcto cumplimienrto de sistema de rechazo y detección de patrones. Se realizan los respectivos monitoreos en registro de empaque panadería línea 1. </t>
  </si>
  <si>
    <t>LS04724TN031538</t>
  </si>
  <si>
    <t>Wendy Fuentes</t>
  </si>
  <si>
    <t>Siendo las 23:10 durante seguimiento de producto se detectó 3 unidades de pizza con concentración de CO2 bajo límite, se observa unidades con parte del borde sin sellado. Al regresar a la 01:09 am se revisa concentraciones de gases donde se detecta desviación por encima de parámetro para oxígeno y bajo parámetro de Co2.</t>
  </si>
  <si>
    <t>Sello incompleto se debe a miga pegada en superficie superior de selladora dando baja concentración de CO2 debido a su velocidad de difusión. La segunda desviación se debe ajuste de parámetro.</t>
  </si>
  <si>
    <t>Se detiene selladora para verificación y limpieza, se bloquea producto involucrado.</t>
  </si>
  <si>
    <t>Se reprocesa producto involucrado y ajuste de parámetro.</t>
  </si>
  <si>
    <t>YR04724TN123839</t>
  </si>
  <si>
    <t xml:space="preserve">Incumplimiento en la frecuencia de monitoreo de PCC Nro. 6 Detección de metales </t>
  </si>
  <si>
    <t xml:space="preserve">Operadora responsable Dirla Molina Olvida registrar control y monitoreo. </t>
  </si>
  <si>
    <t xml:space="preserve">Se avisa a TPM de turno del incumplimiento, se identifica y bloquea el producto involucrado en desvío desde último control en cumplimiento. </t>
  </si>
  <si>
    <t xml:space="preserve">Se pasa producto involucrado en desvío nuevamente por detector de metales, realizando los monitoreos y respectivos registros en la frecuencia de monitoreo correcta. </t>
  </si>
  <si>
    <t>AC04724TT192919</t>
  </si>
  <si>
    <t>Isabel Guzman</t>
  </si>
  <si>
    <t>Se revisan 2 pallet de devolucion los cuales corresponden a Dobladas que tienen etiqueta exterior de italiano, los pallet estaban a temperatura -5 y 0ºC , el producto se encontraba vuelto hielo, y las bolsas mojadas, ademas fecha de vencimiento de producto refrigerado es 05/02/2024</t>
  </si>
  <si>
    <t>Devolucion de producto proveniente de CD por etiqueta de Pallet erronea</t>
  </si>
  <si>
    <t>Se bloquean pallets</t>
  </si>
  <si>
    <t>MM04524TM125420</t>
  </si>
  <si>
    <t>Raul Lista</t>
  </si>
  <si>
    <t>Maria Bruzonne</t>
  </si>
  <si>
    <t xml:space="preserve">Siendo las 11:56 se detecta desvio de temperatura de enfriamiento del producto Horno Suprema por lo que se bloquea producto enviado a camara de congelado. TPM Jordy informa que la temperatura de la anaconda esta dentro del rango solo que en las primeras unidades se aumento el nominal para pruebas por consiguiente se tenia mayor cantidad de unidades en la anaconda lo que es para considerar </t>
  </si>
  <si>
    <t>Bloqueo de Producto y envio a Camara de -20ºC</t>
  </si>
  <si>
    <t>@Raul Lista indicar cantidad en Kg bloqueada,Verificar AC y medir temperatura para su posterior liberación</t>
  </si>
  <si>
    <t>FB04524TM132957</t>
  </si>
  <si>
    <t xml:space="preserve">Andrea Gomez </t>
  </si>
  <si>
    <t xml:space="preserve">Siendo las 12:45 TPM Andrea Gómez informa sobre desvío de temperatura de enfriamiento del producto Marraqueta granel Piloto lote 045 con una Temperatura de 23,5 °C, la cual fue generada por deshielo en Anaconda. </t>
  </si>
  <si>
    <t xml:space="preserve">Deshielo en anaconda </t>
  </si>
  <si>
    <t xml:space="preserve">Se identifica producto y bloqueo para realiza golpe de frio </t>
  </si>
  <si>
    <t xml:space="preserve">Se identifica pallets involucrados con desvíos y se deja bolsas abiertas para aplicar golpe de frío en cámara -20ºC. Para muestrear posterior a las 2 horas y verificar su cumplimiento. </t>
  </si>
  <si>
    <t>PP04424TM130118</t>
  </si>
  <si>
    <t xml:space="preserve">V, Arenas </t>
  </si>
  <si>
    <t>En el momento de que se esta realizando el seguimiento  de doblada se toman 15 muestras, de las cuales 3 presentan bajo peso en producto terminado, revisando el producto saliente de la variovac pan encuentro que algunos presentan unidades menos, se bloquea la ultima hora de produccion para un total de 384,7 kg.</t>
  </si>
  <si>
    <t xml:space="preserve">Definir por Adelso peña </t>
  </si>
  <si>
    <t xml:space="preserve">Se procede a bloquear la produccion desde el ultimo control , se solicita pesar todo el producto que salio en produccion y reprocesar el producto que no cumple con los parametros de FT. </t>
  </si>
  <si>
    <t xml:space="preserve">se solicita control de gramaje cada 30 minutos como control, y punto fijo en envasado para revison de paquetes que van sin unidad menor. </t>
  </si>
  <si>
    <t>YR04424TN033357</t>
  </si>
  <si>
    <t>R. Flores</t>
  </si>
  <si>
    <t>Durante recorrido de turno noche se observa registro de desviación de temperatura de control de PCC 4 Control de enfriamiento de P2 en el control de las 20:00, temperatura de producto 21,7 °C, además se observó que se realizo registro de acción correctiva correspondiente</t>
  </si>
  <si>
    <t>Consultar a personal de turno tarde</t>
  </si>
  <si>
    <t xml:space="preserve">Consulta a TPM responsable sobre si el producto involucrado en desvío se encontraba en zona de despacho con las bolsas abiertas. Se verifica ejecución de acción correctiva identificación de producto y bloqueo de este.  </t>
  </si>
  <si>
    <t xml:space="preserve">Personal de turno tarde identifica pallets involucrados en desvíos y deja bolsas abiertas para aplicar golpe de frío en zona de despacho. Se muestreo posterior a las 2 horas y se verifico cumplimiento. </t>
  </si>
  <si>
    <t>YR04424TN041439</t>
  </si>
  <si>
    <t xml:space="preserve">R. </t>
  </si>
  <si>
    <t xml:space="preserve">Se recibe aviso por parte del personal por desvío de temperatura de producto en zona de empaque panadería línea 5. </t>
  </si>
  <si>
    <t xml:space="preserve">Deshielo de anaconda </t>
  </si>
  <si>
    <t xml:space="preserve">Realizan acción correctiva dejando bolsas abiertas y bloqueo del producto enviando a zona de despacho. </t>
  </si>
  <si>
    <t xml:space="preserve">Se realiza bloqueo del producto desde toma de temperatura. se realiza verificación de pallets con bolsas abiertas en zona de despacho estando dentro de parámetros establecidos. </t>
  </si>
  <si>
    <t>YR04424TT024537</t>
  </si>
  <si>
    <t xml:space="preserve">Durante recorrido de turno noche se observa en registro de control de PCC 4 Control de enfriamiento de panadería  que en el control de las 20:00 se encontraba registrada temperatura de producto 21,7 °C, además de anotada  la acción correctiva a ejecutar </t>
  </si>
  <si>
    <t>Se desconoce</t>
  </si>
  <si>
    <t xml:space="preserve">Consulta a TPM responsable sobre si el producto involucrado en desvío se encontraba en zona de despacho con las bolsas abiertas. Se verifica acción correctiva encontrandose en cumplimiento. </t>
  </si>
  <si>
    <t>MM04324TM150700</t>
  </si>
  <si>
    <t>Siendo las 12:34 TPM Jordy Guevara se acerca a Oficina de Calidad informando que la materia prima Huevo líquido pasteurizado presenta alteracion organoleptica se procede a hacer revision de los bidones y se compueba que 170 lts presenta desviacion organoletica en cuanto a olor y color el producto no cumple con las caracteristicas para su uso por consiguiente se realiza el bloqueo en físico. A su vez TPM informa que el producto anteriormente se encontraba en camara de Materia Prima y este llega a Camara de Pizza con dicha condición el lote del producto es 051603 con fecha de vencimiento 13022024</t>
  </si>
  <si>
    <t>Evaluar tiempo de vida util del Producto ya que se esta deteriorando un día antes de su vencimiento</t>
  </si>
  <si>
    <t>MS01224TT185957</t>
  </si>
  <si>
    <t>Jamson MarcK</t>
  </si>
  <si>
    <t xml:space="preserve">Se bloquea mezcla de Magdalena tres leches debido a que esta permanecio por mas de 4 horas expuestas. </t>
  </si>
  <si>
    <t xml:space="preserve">Se detiene la lìnea por presentar problemas la envasadora. </t>
  </si>
  <si>
    <t xml:space="preserve">Se bloquea la mezcla. </t>
  </si>
  <si>
    <t>CV02323TM171613</t>
  </si>
  <si>
    <t>Se bloquean 3 Dollys de Pizza Española de turno mañana , que habian salido de anaconda y se colocaron en bandejas miestras , ya que la envasadora Variovac estaba presentando fallas.</t>
  </si>
  <si>
    <t>Por problemas en maquina Variovac pizza se detiene envasado y se traspasan pizzas saliendo de anaconda a bandejas. Como el problema no se soluciona de inmediato son enviadas a Cámara de congelación de linea 4.</t>
  </si>
  <si>
    <t>Producto queda bloqueado ya que en turno tarde aun no hay solución en Variovac Pizza</t>
  </si>
  <si>
    <t>Merma del Producto Involucrado</t>
  </si>
  <si>
    <t>AC04324TT182500</t>
  </si>
  <si>
    <t>Carlos Morales</t>
  </si>
  <si>
    <t>Durante revision de productos en rampla procedentes de Frio Chile se detectan varios pallets con incumplimiento de temperatura (entre -10 y -9) del producto Pizza Napolitana SBA lote 003</t>
  </si>
  <si>
    <t>Desviacion procedente de Frigorifico</t>
  </si>
  <si>
    <t>Desviación de T en PT/SE de FFEE</t>
  </si>
  <si>
    <t>JM00423TM213217</t>
  </si>
  <si>
    <t>Emir Suazo</t>
  </si>
  <si>
    <t>Se detectó humedad al momento de verificar las AC (golpe de frío) del Evento ID: MS00323TT162124</t>
  </si>
  <si>
    <t>Error Operacional al dejar Bolsas fuelles cerradas y aplicar el golpe de frío lo que causó la condensanción dentro del producto</t>
  </si>
  <si>
    <t>Se dió aviso a supervisor para realizar acciones correctivas</t>
  </si>
  <si>
    <t>Se reenvaso el producto condensado, se cambió la bolsa fuelle, se destina a pedido y se segrego (Mermó) el que estaba con exceso de condesando</t>
  </si>
  <si>
    <t>33454,08</t>
  </si>
  <si>
    <t>Verif. AC</t>
  </si>
  <si>
    <t>FB04124TT154640</t>
  </si>
  <si>
    <t xml:space="preserve">Luis Villalon </t>
  </si>
  <si>
    <t xml:space="preserve">Carolaine Aguilera </t>
  </si>
  <si>
    <t>Se realizo sensorial al producto pollo champiñon Lote 039 encontrándose con un olor y sabor no característico (trozos de pollo aleatorios se encontraban ácidos).</t>
  </si>
  <si>
    <t xml:space="preserve">Se realiza sensorial a 6 pizzas aleatoreas y se guarda 1 bandeja y media para analista de seguimiento </t>
  </si>
  <si>
    <t xml:space="preserve">Se procede a bloquear 11 Pallets producidos el jueves en la noche </t>
  </si>
  <si>
    <t>LS04024TM143559</t>
  </si>
  <si>
    <t>Lisbeth Zuñiga</t>
  </si>
  <si>
    <t>Se percibió olor no característico en pollo entregado el día de hoy a producción para prueba industrial "Pizza cuadrada Pollo cubo - Tocino" por lo que se procede bloquear bandeja de pollo.</t>
  </si>
  <si>
    <t>Se revisa una bolsa de pollo del mismo lote almacenado en bodega y se percibe olor no característico, causa raiz en investigación.</t>
  </si>
  <si>
    <t>Se bloquea bandeja y resto del lote almacenado en bodega.</t>
  </si>
  <si>
    <t>Por definir si procede reclamo a proveedor.</t>
  </si>
  <si>
    <t>AC02323TM171613</t>
  </si>
  <si>
    <t>MM03624TM130202</t>
  </si>
  <si>
    <t>Constanza Mella</t>
  </si>
  <si>
    <t xml:space="preserve">Durante recorrido en linea se observa que producto a la salida del horno se encontraban desviandolo a bins, se consulta a Constanza e informa que debido a una guia suelta en la anaconda 2 producto no pasa por proceso de enfriamiento de la anaconda. se consulta con operario Esteban Navarrete e informa que tenian fabricado en masa 10 batch de 140 kg y 15 batch de 90 kg </t>
  </si>
  <si>
    <t>@Harol.rodriguez indicar destino final y cantidad en kg ademas de la causa raiz</t>
  </si>
  <si>
    <t>PCC4(Falla de  Funcionamiento de Anaconda)</t>
  </si>
  <si>
    <t>LS03924TM145323</t>
  </si>
  <si>
    <t>Al incio de cambio de formato en ALimec, se observa dosificación deficiente de pepperoni a salida de laminadora, se le hace la observación a maquinista quién procede a completar el llenado de pepperoni en los tubos de laminadora</t>
  </si>
  <si>
    <t>Falta de dotación en sala Alimec por lo que maquinista al corregir parámetros de línea no termina de completar el llenado de pepperoni vela en tubos de laminadora.</t>
  </si>
  <si>
    <t>se indica a maquinista de variovac revise y separe las primeras unidades de pizza pepperoni salidas de anaconda.</t>
  </si>
  <si>
    <t>Se adiciona manualmente pepperoni a unidades separadas para completar dosificación.</t>
  </si>
  <si>
    <t>MS03924TN040711</t>
  </si>
  <si>
    <t>Fernando Martin</t>
  </si>
  <si>
    <t>Katherine Yañez</t>
  </si>
  <si>
    <t xml:space="preserve">Durante el seguimiento se detecta desviaciòn de oxigeno en la pizza Napolitana Lider lote 039. </t>
  </si>
  <si>
    <t>Se observa en la parte inferior del envase que se encuentra doblado, generando en alguno una pequeña fisura generando como consecuencia un mal sellado del producto. El envase doblado TPM y Maquinista indican que es por aumento de la temperatura del sellado de la maquina.</t>
  </si>
  <si>
    <t xml:space="preserve">Se avisa TPM y al supervisor se identifica y bloquea el producto involucrado. </t>
  </si>
  <si>
    <t xml:space="preserve">Se corrige temperatura y se reenvasa el producto. </t>
  </si>
  <si>
    <t>MM14424TN025739</t>
  </si>
  <si>
    <t>Chery Sherly</t>
  </si>
  <si>
    <t>Siendo las 22:30 dan aviso que se encuentra bloqueadas 51 bandejas para un total de 367,2 correspondiente a final de producción de turno tarde e inicio de turno noche debido a que presento problemas bajo peso. Debido a falta de personal Supervisor indica que el pallet sera revisado en turno mañana</t>
  </si>
  <si>
    <t xml:space="preserve">Falla de Dosificadora Nº 2 </t>
  </si>
  <si>
    <t>Revisar la totalidad del pallet y proceder a Segregar @Raul lista indicar destino final. Se realiza reproceso de Magdalena por bajo peso de turno noche, en total se revisan 51 bandejas, de las cuales se obtuvieron 1043 pack bajo peso para un total en KG: 314,700.</t>
  </si>
  <si>
    <t>MM15024TT184810</t>
  </si>
  <si>
    <t>Valentina Chade</t>
  </si>
  <si>
    <t>siendo las 17:40 se observa que producto es rechazado por peso bajo y debido a que parte del personal se encontraba en colación se observa que se encontraban pasando mangas a paletizado con bajo peso por lo que se procede a bloquear 1  pallet + 19 bandejas corroboando bajo peso 2,60 kg, 2,64, 2,60 kg. Se notifica a Supervisora e indica que el pan sera cambiado de formato de Manga a Granel. Se consulto con operador de la linea e indica que tuvieron problema con la temperatura del agua de la amasadora.</t>
  </si>
  <si>
    <t>Bloqueo de Producto afectado</t>
  </si>
  <si>
    <t xml:space="preserve">Cambio de formato de producto de Manga a Granel </t>
  </si>
  <si>
    <t>MM14524TN053455</t>
  </si>
  <si>
    <t xml:space="preserve">En control de gramaje de las 21:20 operadora se percata de bajo peso tomando los siguientes datos 418; 420; 415;408 y 430 da aviso a supervisor TPM y a calidad operario procede a ajustar parametros en pantalla y da espacio para separar producto no conforme del cual se proceden a bloquear 3 pallets + 5 bandejas. De la revisión de los pallets bloqueados se recuperaron 29 bandejas con peso dentro de ficha tecnica por lo que continuan bloqueados 66 bandejas correspondientes a 454,08 kg de producto con peso bajo ficha tecnica </t>
  </si>
  <si>
    <t>Falla de Dosificadora Nº 2</t>
  </si>
  <si>
    <t>Bloqueo de producto no conforme y Revision de peso de pallets bloqueados</t>
  </si>
  <si>
    <t>Realizar el cambio de Cilindro de Pistones de Dosificadora Nº 1. Monitorear en un rango de 5 a 10 min el peso del producto y Continuar con Ajuste de parametros de por pantalla de Dosificadora Nº 2. @Raul indicar destino final del producto no conforme. De un total de 3Pallet + 5Ban, se realizo el reproceso en su totalidad, quedando la cantidad de 66 bandejas bajo peso, lo que corresponde a 454,08kg destino final de este producto bajo peso(Donación)</t>
  </si>
  <si>
    <t>MS03924TN044423</t>
  </si>
  <si>
    <t>Se observa empanada coctel aceituna no cumple con color y desarrollo de masa característica.</t>
  </si>
  <si>
    <t xml:space="preserve">TPM de producción empanadas Masiel Suazo, indica que hubo problemas con la elaboración de la masa, no se agregó la cantidad de agua que correspondía. </t>
  </si>
  <si>
    <t xml:space="preserve">Se informa a supervisor, se identifica y se bloquea el producto involucrado. </t>
  </si>
  <si>
    <t>Receta Incorrecta</t>
  </si>
  <si>
    <t>CF15122TN233246</t>
  </si>
  <si>
    <t>Uso de MP con Quiebre de Temperatura</t>
  </si>
  <si>
    <t>Falla de Funcionamiento en la Camara de MP</t>
  </si>
  <si>
    <t>Aviso a TPM y personal de refrigeración. Bloqueo de PT involucrado</t>
  </si>
  <si>
    <t>Reparación de Falla, Retroalimentación a Encargados y Merma de PT Involucrado</t>
  </si>
  <si>
    <t>No indicado</t>
  </si>
  <si>
    <t>Camara MP</t>
  </si>
  <si>
    <t>LS03824TM142216</t>
  </si>
  <si>
    <t>Evelyn Guzmàn</t>
  </si>
  <si>
    <t>Al realizar seguimiento de producto se detecta 7 packs de 15 muestras salido de lìnea con bajo peso, por lo que se revisa pallet que se encuentra a salida de lìnea con 216 packs encontràndose 54 unidades con bajo peso.</t>
  </si>
  <si>
    <t>Bloqueo de bandejas para revisiòn.</t>
  </si>
  <si>
    <t>se solicita control de gramaje cada 30 minutos como control, y punto fijo en envasado continuo con personal de apoyo de lìnea 4.</t>
  </si>
  <si>
    <t>003701V2</t>
  </si>
  <si>
    <t>PP03724TT175622</t>
  </si>
  <si>
    <t xml:space="preserve">J.Guevara </t>
  </si>
  <si>
    <t xml:space="preserve">La TPM Dafne Y, infoma que cuando estaban realizando la mezcla para elaboracion de la masa en su turno , encontraron costras de harina con formacion de hongo, se revisaron los sacos de harina y varios se enocntraban con cambio de color en su empaque, se procede abrir estos , encontrando nuevamente esa costra, la Tpm informa que la semana anterior cuando ella iba ingresando a su turno de la ma;ana encontraron una  canasta con bolsas encima de el palet de harina. </t>
  </si>
  <si>
    <t xml:space="preserve">Mala practica de manejo de las mmpp, la aparacion de este hongo fue producto que la harina se humedecio con la canasta con hielo.  </t>
  </si>
  <si>
    <t>Se bloquea el producto involucrado, y realiza la revision de la harina que esta en stock en bodega, encontrandose estado optimo.</t>
  </si>
  <si>
    <t xml:space="preserve">Se infoma a los supervisores y se les solicita capacitacion a los operarios , para una correcta manipulacion de materias primas. </t>
  </si>
  <si>
    <t>Contaminzación química de MMPP/MMEE por Detergentes/Sanitizantes</t>
  </si>
  <si>
    <t>Incumplimiento de Condiciones Preoperacionales en proceso de Aseo</t>
  </si>
  <si>
    <t>YR03724TM155848</t>
  </si>
  <si>
    <t xml:space="preserve">Se realiza monitoreo de PCC detector de metales de empaque empanada  (EM1), y al pasar el patron de acero inoxidable  no se activa el sistema de rechazo, por tanto no lo reconoce. </t>
  </si>
  <si>
    <t xml:space="preserve">Fallas de calibración de la receta para el producto Hoja Jamón queso. </t>
  </si>
  <si>
    <t xml:space="preserve">Se avisa a TPM de línea quien repite monitoreo, observando que no reconoce patrón, se avisa a mantención y supervisor de turno. </t>
  </si>
  <si>
    <t xml:space="preserve">Se genera receta en el detector de Multivac 2 para producto sellado con los patrones de empaque empanada debido a que no se genero corrección de esta falla en detector de empanadas. </t>
  </si>
  <si>
    <t>CV06224TN063022</t>
  </si>
  <si>
    <t>Arnaldo Acuña</t>
  </si>
  <si>
    <t>Se realiza seguimiento de marraqueta piloto de línea 4 de 15 muestras tomadas 13 presentan bajo espesor incumpliendo parámetros establecidos en FT.</t>
  </si>
  <si>
    <t>Se utilizó al inicio de producción recorte de hallulla fermaid debido a corte de agua en turno tarde y se incorporó a la producción de marraqueta piloto(Humberto Villegas de sala control) esto afectó a la calidad del producto terminado con bajo espesor.La primera muestra se retiró a las 03:20 am.</t>
  </si>
  <si>
    <t>Se informa a supervisor Simón Lozada para que realice ajuste en línea, se retiran de línea para remuestreo 15 unidades a las 05: 22 dando 14 muestras bajo parámetros de acuerdo a FT.</t>
  </si>
  <si>
    <t xml:space="preserve">Se bloquean 18 pallets de turno noche lote 062 por defecto de calidad bajo espesor, se informa a supervisor Simón </t>
  </si>
  <si>
    <t>LS03324TT145310</t>
  </si>
  <si>
    <t>Al revisar Check list de control de gramaje de  empaque robots L2, se observa incumplimiento en peso (2,63kg) en el control de las 15:50 de marraqueta manga.</t>
  </si>
  <si>
    <t>Registro fue llenado por personal en entrenamiento Yuliana Varela siendo control firmado por maquinista Dirla Molina.</t>
  </si>
  <si>
    <t>Bloqueo de  pallet desde ùltimo control, se repasa pallet por balanza con sistema de rechazo por bajo gramaje.</t>
  </si>
  <si>
    <t>Se solicita a maquinista que el llenado de registro se realice por personal que estè con evaluaciòn de capacitaciòn.</t>
  </si>
  <si>
    <t>Error de Medición: se obtuvieron resultados desviados en el registro  realizados por operaria en aprendizaje</t>
  </si>
  <si>
    <t>LS03324TT142618</t>
  </si>
  <si>
    <t>Siendo las 14:32 supervisor llama a calidad para liberar acciòn correctiva del turno anterior (mañana) de lìnea 1para poder amarrar bolsas que quedaron abierta de pallet para golpe de frio</t>
  </si>
  <si>
    <t xml:space="preserve">Desviaciòn de temperatura debido a deshielo. </t>
  </si>
  <si>
    <t>Golpe de frio de pallet involucrado en desviaciòn detectado en control de las 12:55 am.</t>
  </si>
  <si>
    <t>YR03324TM141604</t>
  </si>
  <si>
    <t>G. Fuentes</t>
  </si>
  <si>
    <t xml:space="preserve">Se realiza seguimiento de producto y al revisar medición de dimensiones se visualizo que 12 unidades presentan espesor debajo de parámetros establecidos en FT. </t>
  </si>
  <si>
    <t xml:space="preserve">Falla operacional àrea de mezcla debido a que no contaban con hielo para la receta, disminuyeron cantidad de levadura y esto afecto el espesor del producto. </t>
  </si>
  <si>
    <t xml:space="preserve">Se avisa a supervisor de turno, y en revisión con operador indico que a las 10:10 am realizaron mejoras al constatar bajo espesor. </t>
  </si>
  <si>
    <t xml:space="preserve">En revisión con operador indico que para mejorar espesor realizaron mayor reposo de la mezcla para mejorar la fermentación aproximadamente  a las 10:10 am. Al realizar revisión de pan a la 13:40 se verifico que acción correctiva fue favorable. producto dentro de parámetros establecidos en FT. </t>
  </si>
  <si>
    <t>FB00224TT190728</t>
  </si>
  <si>
    <t>Empanada Hoja queso con defectos (Manchas, Arrugas, grietas, Marcas, descascaramientos y muy aplanadas) con cumpliendo con ficha tecnica</t>
  </si>
  <si>
    <t xml:space="preserve">Se procede a bloquear todo el producto involucrado </t>
  </si>
  <si>
    <t xml:space="preserve">No se realiza accion correctiva, por presentarse cambio de formato de Hoja queso a Hoja Jamon </t>
  </si>
  <si>
    <t>MM03024TT171944</t>
  </si>
  <si>
    <t>Evelin Guzman</t>
  </si>
  <si>
    <t>Siendo las 15:13 al revisar las 15 muestras se detecta desviacion de concentracion de oxigeno en 5 muestras ( 2,6; 5,5; 2,1; 3,2; 2,4) sumado a eso se detecta problemas con el peso del empaque encontrandose 4 muestras con bajo peso ( 893, 892, 897, 866). Se dio aviso a supervisor Fernando Martin y acude Sup Senior Adelso Peña con el cual se muestrean bandejas encontrandose en incumplimiento de Concentracion de Oxigeno y con muestras bajo peso por lo que se bloquean 102 bandejas para un total de 10101,6 kg los cuales se reprocesaron</t>
  </si>
  <si>
    <t>Mal ajuste de equipo y espesor de la hallulla</t>
  </si>
  <si>
    <t>Bloqueo de Producto y Reproceso del mismo</t>
  </si>
  <si>
    <t>CV02424TM153956</t>
  </si>
  <si>
    <t>AC03124TM114621</t>
  </si>
  <si>
    <t>Se detecta en recorrido que estaban seleccionando producto Hallulla ATM en Variovac Pan, debido a bajo peso con seleccion deficiente, se revisan pallets realizados y se encuentran productos con bajo peso</t>
  </si>
  <si>
    <t>Hallulla ATM con bajo peso</t>
  </si>
  <si>
    <t>Se revisan productos, se bloquea</t>
  </si>
  <si>
    <t>FB03024TN234834</t>
  </si>
  <si>
    <t>Maria Bruzzone</t>
  </si>
  <si>
    <t>Se informa que el film que utilizan para la empanada coctel queso , tiene defectos de  impresión en el área del  nombre del producto y marca, (con un tomo color rosado) quedando en incumplimiento con parámetros de ficha técnica.</t>
  </si>
  <si>
    <t xml:space="preserve">Defectos de impresión, proviene desde proveedor en esas condiciones </t>
  </si>
  <si>
    <t>Se bloquea Rollo con defecto.</t>
  </si>
  <si>
    <t xml:space="preserve">Se bloqueado Lote involucrado y se entregada a bodega para realizar reclamo a proveedor </t>
  </si>
  <si>
    <t>YR02324TM110933</t>
  </si>
  <si>
    <t>H. Cruz</t>
  </si>
  <si>
    <t xml:space="preserve">Durante recorrido se pudo observar incumplimiento en la frecuencia establecida del control de RAC-168 Control de gramaje. </t>
  </si>
  <si>
    <t xml:space="preserve">Personal responsable sufre fallas en envasadoras Wolf l lo que afecta control dentro del tiempo establecido, este informa que esta solo realizando las mejoras y solucionando probelmas en línea. </t>
  </si>
  <si>
    <t>Se identifica y bloquea producto desde último control en cumplimiento. Se realiza control siguiente a las 09:00 Am.</t>
  </si>
  <si>
    <t xml:space="preserve">Se realiza verificación de gramaje según Nch44, dónde 1 unidad de manga se encuentra por debajo del establecido se revisa junto a supervisora de turno. ademásse pudo observar 1 unidad con sellado abierto. </t>
  </si>
  <si>
    <t>PÑ03024TT190246</t>
  </si>
  <si>
    <t>daphney Joseph</t>
  </si>
  <si>
    <t>durante la produccion del turno comienza a subir la temperatura de la sala lo que genera aumento de temperatura en la mezcla de relleno preparada para la empanada.</t>
  </si>
  <si>
    <t>esto ocurrio debido a falla en central de frio</t>
  </si>
  <si>
    <t>bloquear producto donde se utilizo la mezcla que presento desviacion.</t>
  </si>
  <si>
    <t>equipo de mantencion reviso central de frio para restablecer temperatura de sala productiva.</t>
  </si>
  <si>
    <t>YR02524TM143314</t>
  </si>
  <si>
    <t>S. Rubio</t>
  </si>
  <si>
    <t>Durante seguimiento de producto se realiza control de gramaje y se identifica envases por debajo del peso establecido en etiqueta para producto pizza Napolitana Lider contenido neto 465 G. (Se anexan imágenes)</t>
  </si>
  <si>
    <t xml:space="preserve">Falla de la operacion por falta de control en zona de alimec pizza. </t>
  </si>
  <si>
    <t xml:space="preserve">Se avisa a TPM y supervisora de turno, se identifica y bloquea producto desde el ultimo control en cumplimiento. </t>
  </si>
  <si>
    <t xml:space="preserve">Se verifica correcto funcionamiento de balanza, se pesa nuevamente todo el producto involucrado en desviacion y se separa producto con desvio quedando bloqueado. </t>
  </si>
  <si>
    <t>25</t>
  </si>
  <si>
    <t>FB02524TT195737</t>
  </si>
  <si>
    <t>Denise Millanao</t>
  </si>
  <si>
    <t xml:space="preserve">Producto Italiano 120 Gr no prrsenta marcado en centro que es propio del producto que entrega apariencia rustica artesanal </t>
  </si>
  <si>
    <t>Cuchillos Samurais de produccion panaderia Linea 5 presentan fallas</t>
  </si>
  <si>
    <t>Se informa a supervisor de Turno y TPM y se procede a bloquear por no cumplir con sus caracteristicas de apariencia</t>
  </si>
  <si>
    <t>PP02424TM090238</t>
  </si>
  <si>
    <t xml:space="preserve">La TPM avisa que el film que utilizan para la empanada conctel queso , tiene defectos de  impresion en el area del  nombre del producto y marca,  estan borrosos, en incumplimiento con parametros de ficha tecnica </t>
  </si>
  <si>
    <t xml:space="preserve">Defectos de impresion, provienen desde proveedor asi. </t>
  </si>
  <si>
    <t xml:space="preserve">Bloquear los rollos que presenten este defecto , identificando lote. </t>
  </si>
  <si>
    <t xml:space="preserve">Bloquear los lotes, entregado a bodega para realizar reclamo a proveedor </t>
  </si>
  <si>
    <t>LS02224TN034142</t>
  </si>
  <si>
    <t>Shery Cherly</t>
  </si>
  <si>
    <t>Al iniciar turno noche con producciòn magdalena tres leches en empaque bollerìa se observa rechazo de productos por falsos positivos.</t>
  </si>
  <si>
    <t>Bloqueo de unidades rechazadas, se llama a mantenciòn.</t>
  </si>
  <si>
    <t>Mantenciòn realiza el aprendizaje de receta "Pack magdalena tres lechces-9unid"</t>
  </si>
  <si>
    <t>MS02224TT200544</t>
  </si>
  <si>
    <t xml:space="preserve">Durante el seguimiento de la Marraqueta ATM se identifica 7 muestras de 15 con bajo peso. </t>
  </si>
  <si>
    <t xml:space="preserve">Se informa al supervisor y TPM, se identifica  y se bloquea el producto </t>
  </si>
  <si>
    <t>Se revisa y reenvasa  el producto involucrado</t>
  </si>
  <si>
    <t>CV02224TT193946</t>
  </si>
  <si>
    <t>Rodrigo Plaza</t>
  </si>
  <si>
    <t>Al realizar verificar temperatura de producto terminado hallulla fermaid de línea 4 esta presenta desviación de temperatura a la salida de anaconda 23°C</t>
  </si>
  <si>
    <t>Me informa supervisor de panadería Carlos Parada que la posible causa raíz es por falla en la central termica que abastece de refrigerante a anaconda 2 de frío.</t>
  </si>
  <si>
    <t>Se bloquean pallets desde el último control en cumplimiento en adelante. Cabe destacar que no se observan producto con humedad en bolsas</t>
  </si>
  <si>
    <t>Se informa a mantención frío para corregir o ajustar temperatura de anaconda frio.</t>
  </si>
  <si>
    <t>FB01624TN061546</t>
  </si>
  <si>
    <t xml:space="preserve">Fernando Martin </t>
  </si>
  <si>
    <t>Hector Navarrete</t>
  </si>
  <si>
    <t xml:space="preserve">Se bloquea mezcla de Magdalena tres leches debido a que esta permaneció por más de 4 horas expuestas. </t>
  </si>
  <si>
    <t xml:space="preserve">Se detiene la línea por presentar problemas en la envasadora. </t>
  </si>
  <si>
    <t xml:space="preserve">Bloqueo semielabotrado </t>
  </si>
  <si>
    <t>CV01624TN055858</t>
  </si>
  <si>
    <t>Soley Andraes</t>
  </si>
  <si>
    <t>Poer lentitud del proceso de deshielo este afecta al proceso de refrigeración  con temperaturas sobre parámetros 21,1°C</t>
  </si>
  <si>
    <t>Por falta de comunicación no se informa a turno entrante (turno noche) deshielo que estaba en proceso, afectando al PT con temperaturas sobre parámetros 21,1°C</t>
  </si>
  <si>
    <t>Se bloquean 4 pallets de manga robot línea 2</t>
  </si>
  <si>
    <t>Se envian a cámara  para golpe de frío y manteniendo por 2 horas y realizando  toma de temperatura nuevamente al producto afectado. Cabe señalar que no se observa el interior con humedad.</t>
  </si>
  <si>
    <t>PCC4(Desviación de T)</t>
  </si>
  <si>
    <t>YR02024TM143504</t>
  </si>
  <si>
    <t xml:space="preserve">Error de etiquetado durante el envasado de coctel carne, se realiza etiquetado con receta 2 dònde correspondia receta 1. </t>
  </si>
  <si>
    <t xml:space="preserve">Se bloquea pallet involucrado en error de etiquetado, y se reetiqueta. </t>
  </si>
  <si>
    <t xml:space="preserve">Se realiza reetiquetado de producto. </t>
  </si>
  <si>
    <t>CV01824TN060243</t>
  </si>
  <si>
    <t>Producto Italiano 120 Gr no presenta marcado en centro que es propio del producto que entrega apariencia rustica artesanal.</t>
  </si>
  <si>
    <t xml:space="preserve"> Cuchillos Samurái de producción panadería línea 5 presentan falla.  </t>
  </si>
  <si>
    <t>Se avisa a supervisor de turno y TPM y se procede a bloquear por no cumplir con características de apariencia.</t>
  </si>
  <si>
    <t>LS01824TM140052</t>
  </si>
  <si>
    <t>Moises Carrasco</t>
  </si>
  <si>
    <t xml:space="preserve">Se observa 10 pallets (5 pallet de lote 335 y 5 pallet de lote 341) con fecha de inicio proceso de refresh el 17/01/2024 lote 335 a las 14:30 y lote 341 a las 22:30; pallets ingresados a càmara hoy en turno mañana rompiendo la cadena de frio e incumpliendo con la premisa de "Producto descongelado no volver a congelar". </t>
  </si>
  <si>
    <t xml:space="preserve">Pendiente </t>
  </si>
  <si>
    <t>bloqueo de pallets involucrados</t>
  </si>
  <si>
    <t>Pendiente</t>
  </si>
  <si>
    <t>341L4 335L1</t>
  </si>
  <si>
    <t>PÑ01724TT202241</t>
  </si>
  <si>
    <t>Diego Moran</t>
  </si>
  <si>
    <t>al verificar cumplimiento en rampla de frio se detecta pallet que no corresponde a lotes informados en factura.</t>
  </si>
  <si>
    <t>mal etiquetado o error en carga desde frigorifico</t>
  </si>
  <si>
    <t>identificacion del pallet</t>
  </si>
  <si>
    <t>verificar la cantidad de pallet recibido, enviar reclamo a frigorifico.</t>
  </si>
  <si>
    <t>YR01724TM120051</t>
  </si>
  <si>
    <t>V. Olivarez</t>
  </si>
  <si>
    <t>No se realiza control de PCC Nro 6 Detector de Metales Variovac 1 dentro de la frecuencia de Monitoreo correspondiente.  Último control en cumplimiento se realizo a las 04:45 am.</t>
  </si>
  <si>
    <t xml:space="preserve">Falta de comunicación del personal de turno TPM indica que se pasan de confianza debido a que el responsable del llenado de registro debió realizar los monitoreos y este no se encontraba en el área.  </t>
  </si>
  <si>
    <t xml:space="preserve">Se identifica el producto involucrado en desviación se bloquea y se realiza acción correctiva correspondiente </t>
  </si>
  <si>
    <t xml:space="preserve">Se pasa nuevamente el producto por el detector de metales, se capacita al personal sobre el correcto llenado de registros. </t>
  </si>
  <si>
    <t>YR01724TM124227</t>
  </si>
  <si>
    <t>V. Olivares</t>
  </si>
  <si>
    <t xml:space="preserve">No se realiza control de PCC Nro. 6 Detector de Metales Variovac 1 dentro de la frecuencia de Monitoreo correspondiente.  Último control en cumplimiento se realizó a las 05:35 am. </t>
  </si>
  <si>
    <t xml:space="preserve">Falta de comunicación del personal de turno, TPM indica que se pasan de confianza debido a que el responsable del llenado de registro debió realizar los monitoreos y este no se encontraba en el área, operador Patrice Carmo en este momento está realizando actividades en área de despacho y su ingreso es a las 08:00 am.  </t>
  </si>
  <si>
    <t>MM01624TM082126</t>
  </si>
  <si>
    <t>Daphney Jhoseph</t>
  </si>
  <si>
    <t xml:space="preserve">Siendo las 07:50 cuando se procede a evaluar sensorialmente el producto Jamon Juliana Pierna solicitud realizada por excepcion de uso de MMPP. El producto cumplia con las caracteristicas sensoriales (olor, color , sabor) sin embargo el producto perdio la cadena de frio ya que el producto registro una temperatura de 8,6 ºC. Segun lo consultado con operaria el producto se mantuvo en el area desde las 06:20 hasta las 07:50. Se libera producto segun instrucciones de Maria Jose ya que el producto pasa por proceso termico </t>
  </si>
  <si>
    <t>Perdida de cadena de frio</t>
  </si>
  <si>
    <t>Bloqueo de producto, Rechazo de excepcion de uso del producto</t>
  </si>
  <si>
    <t>Tomar muestras testigo para seguimiento y laboratorio</t>
  </si>
  <si>
    <t>CV01524TN053541</t>
  </si>
  <si>
    <t>Desviación de temperatura de producto terminado Marraqueta Piloto línea 2</t>
  </si>
  <si>
    <t>Por falta de comunicación no se informa a turno entrante (turno noche) deshielo que estaba en proceso, afectando al PT con temperaturas sobre parámetros 22,1°C</t>
  </si>
  <si>
    <t>Se bloquean 4 pallets de marraqueta piloto manga con cinta amarilla.</t>
  </si>
  <si>
    <t>Se envia a cámara para golpe de frío manteniendo por 2 horas y realizando  toma de temperatura nuevamente al producto afectado. Cabe señalar que no se observa el interior con humedad.</t>
  </si>
  <si>
    <t>FB08224TN014058</t>
  </si>
  <si>
    <t>Gustavo Rubilar</t>
  </si>
  <si>
    <t xml:space="preserve">Pizza Napolitana Lider </t>
  </si>
  <si>
    <t>Siendo las 23:22 TPM Gustavo Rubilar informa que producto Napolitana Lider presenta defecto en su base ocasionado por la gran cantridad de hielo que genera la anaconda.</t>
  </si>
  <si>
    <t xml:space="preserve">TPM Gustavo Rubilar  informa que se debe a la acumulacion de hielo ocasionado en la anaconda, el cual genera defecto en su base </t>
  </si>
  <si>
    <t>se bloquea producto involucrado</t>
  </si>
  <si>
    <t xml:space="preserve">se seleccionado producto a la salida del detector de metales </t>
  </si>
  <si>
    <t>MM01524TT094701</t>
  </si>
  <si>
    <t>Valerie Olivares</t>
  </si>
  <si>
    <t>Personal del area de Pizza hace llamado informando que Queso Mozzarella Granulado 3 KG contiene en su interior producto descompuesto presencia de hongo la cantidad que tienen en camasa de MP Pizza es de 325 kilos con fecha de elaboración 04122023 y Vencimiento 04032024. Se procede a revisar producto del stock que se encuentra en camara de recepcion detectandose bolsa con presencia de hongo en su interior por lo que se procee a bloquear 162 kilos restantes para un total de 487 kilos</t>
  </si>
  <si>
    <t xml:space="preserve">Solicitar a Proveedor </t>
  </si>
  <si>
    <t xml:space="preserve">Bloqueo de producto en camara de MP Pizza y proceder con el bloqueo de stock de procducto en camara de recepcion </t>
  </si>
  <si>
    <t>Realizar Reclamo a Provedor</t>
  </si>
  <si>
    <t>240304G</t>
  </si>
  <si>
    <t>MS01224TT193052</t>
  </si>
  <si>
    <t>Jose Diaz</t>
  </si>
  <si>
    <t>Se bloquea magdalena vainilla debido a que permanecio mas de 4 horas en sala de producción horno bolleria y ademas de quedar producto en la anaconda.</t>
  </si>
  <si>
    <t xml:space="preserve">Se detiene la línea por presentar falla en la envasadora. </t>
  </si>
  <si>
    <t xml:space="preserve">Se bloquea el producto. </t>
  </si>
  <si>
    <t>AC05123TT194655</t>
  </si>
  <si>
    <t>Mariela R.</t>
  </si>
  <si>
    <t>Los primeros pallet de produccion de Hallulla Intense se encuentan con desviacion de FT, encontrandose su ancho ( 1,6 Cm promedio) mucho menor que el rango (2,3 +/- 0.5)</t>
  </si>
  <si>
    <t>Al principio de operacion, operadores encontraron diferencia en receta en el primer batch que mermaron, al parecer el siguiente tambien estaba con receta equivocada</t>
  </si>
  <si>
    <t xml:space="preserve">Se bloquean 3 pallet, (80 Bandejas aprox ) </t>
  </si>
  <si>
    <t>PÑ16523TT161327</t>
  </si>
  <si>
    <t>Jhonny Mella</t>
  </si>
  <si>
    <t>se encuentra contaminacion de trozos del filtro de torre de carga linea 4 en producto hallullita</t>
  </si>
  <si>
    <t>rotura del filtro en torre de carga de linea 4</t>
  </si>
  <si>
    <t>identificacion del producto contaminado e identificacion de este como producto bloqueado</t>
  </si>
  <si>
    <t>mejorar la frecuencia y revision del filtro.</t>
  </si>
  <si>
    <t>CV23522TN044357</t>
  </si>
  <si>
    <t>C Meza</t>
  </si>
  <si>
    <t>Textura sobre el limite superior con valores en el primer 3197 y posterior a esto da 3789</t>
  </si>
  <si>
    <t>Me informa TPM Carlos Meza que la masa en linea de proceso estaba a 23ºC, afectando el desarrollo de la miga.</t>
  </si>
  <si>
    <t>Se bloquea 6 pallets de hallulla intense para envasado ATM</t>
  </si>
  <si>
    <t>Se ajusta la temperatura del agua del proceso de 23ºC a 26ºC.</t>
  </si>
  <si>
    <t>PP06024TT195512</t>
  </si>
  <si>
    <t xml:space="preserve">V.Berrios </t>
  </si>
  <si>
    <t xml:space="preserve">Se realiza revision de parametros a la salida del horno a las 15:30 dando aviso a el TPM Vladimir Berrios , que estaba teniendo parametro que no cumplian con IT, realizo la revision de parametros nuevamente  en empaque L5  a las 16:30, avisandole a encargada de linea de este incumplimiento,  Se realiza contra muestreo a las 18:17 encontrandose las 15 muestras en incumplimiento de largo con la ficha tecnica, se da aviso a supervisor Carlos parada y Angelica Uribe, se procede a revisar en despacho la cantidad de palets a las 18:47 y en el momento llevaban 22 palets de produccion, Me doy cuenta que los palets del 1 al 5 habian salido para frigorifico externo, procedo a revisar el horno de L5  , el pan que estaba saliendo tampoco cumplia  con los parametros, realizaron un corte y reactivaron produccion a las 18:40 el producto que salga en empaque despues de las 7 de la noche queda para seguimiento turno noche. </t>
  </si>
  <si>
    <t xml:space="preserve">Diversas fallas que se presentaron en VMI la masa se sobrefermento y al entrar a la cámara de fermentación termino de hacer crecimiento hacia arriba arrojando dimensiones no características. </t>
  </si>
  <si>
    <t xml:space="preserve"> Revision de parametros a la salida del horno y en empaque,  se realiza contra muestra para revision de dimensiones , se bloquea la produccion total del turno tarde , se le informa a supervisores. </t>
  </si>
  <si>
    <t xml:space="preserve">Se identifican pan con defectos, bloqueados con cinta amarilla y TPM realiza ajuste de parametros </t>
  </si>
  <si>
    <t>YR01224TN061058</t>
  </si>
  <si>
    <t>A. Solis</t>
  </si>
  <si>
    <t xml:space="preserve">Durante seguimiento de producto se realiza control de gramaje y se identifica unidades por debajo del peso establecido en etqiueta de producto. </t>
  </si>
  <si>
    <t xml:space="preserve">Peso de producto  por unidad por debajo del establecido, por favor supervisores de turno entregar analisis de causa raíz. </t>
  </si>
  <si>
    <t xml:space="preserve">Se avisa a TPM y supervisor de turno, se realiza revisión de producto según Nch44, del producto involucrado desde el último control en cumplimiento. </t>
  </si>
  <si>
    <t xml:space="preserve">Se revisa el 100 % del pallet involucrado, se separa producto en cumplimiento y se reprocesa a granel el producto bajo peso. </t>
  </si>
  <si>
    <t>LS06524TN043637</t>
  </si>
  <si>
    <t>Ruben Monsalve</t>
  </si>
  <si>
    <t xml:space="preserve">a la 01:13 se avisa a supervisor de defecto de greña y falta de picado en pan amasado, quién indica que están segregando. A las 02:20 al revisar en paletizado los últimos 3 pallets se observa presencia de defectos en producto. </t>
  </si>
  <si>
    <t>TPM indica que aún persiste diferencia de temperatura de fermentadora a lo que indica panel, tema ya informado y levantado por supervsior. Temperatura interna llega hasta 48°C y panel refleja 36°C y temperatura operacional se ajusta a 30°C. En hora de colación baja la dotación para segregación.</t>
  </si>
  <si>
    <t>Bloqueo de ultimos 3 pallets que se evidencia no fue segregado.</t>
  </si>
  <si>
    <t>Segregación de pallets bloqueados</t>
  </si>
  <si>
    <t>CV08524TM154459</t>
  </si>
  <si>
    <t>Jaime Ulloa</t>
  </si>
  <si>
    <t>Por anaconda sin activación de frío inicia producción con línea humeda, afectando al producto magdalena Vainilla Lote 85. Riesgo microbiologico.</t>
  </si>
  <si>
    <t>No realizan activación del frío turno de mañana, producto se humedece con riesgo potencial de crecimiento de hongos.</t>
  </si>
  <si>
    <t>Se detiene línea, se retiran los productos elaborados de magdalena vainilla, iniciandose la merma de estos.</t>
  </si>
  <si>
    <t>Estar atentos al iniciar producción revisar que todos los equipos que afectan al proceso esten operativos.</t>
  </si>
  <si>
    <t>YR01224TN030455</t>
  </si>
  <si>
    <t>A. Gómez</t>
  </si>
  <si>
    <t xml:space="preserve">Producto No cumple con características sensoriales especificadas en FT, apariencia de producto no presenta relieves esperados por corte central, superficie  lisa. </t>
  </si>
  <si>
    <t xml:space="preserve">Cuchillos Samurai de producción panadería línea 5 sin funcionamiento. </t>
  </si>
  <si>
    <t xml:space="preserve">Se avisa a supervisor de turno y TPM, quienes indican que envasado de producto esta validado, pero se les informa que debe identificarse producción con defecto y bloquearse por no cumplir con características de apariecia. </t>
  </si>
  <si>
    <t xml:space="preserve">Personal de mantenimiento interfiere sistema robotico de cuchillos y logra realizar acción correctiva a las 23:30, se verifica funcionamiento aunque se mantiene defecto en un porcentaje menor. Se solicita a supervisor de turno separar e identificar las que mantengan defecto. </t>
  </si>
  <si>
    <t>11 y 12</t>
  </si>
  <si>
    <t>FB01624TN061959</t>
  </si>
  <si>
    <t>YR01024TN021330</t>
  </si>
  <si>
    <t xml:space="preserve">Durante seguimiento de turno noche, se realiza PCC 5 Control de envasado con atmósfera modificada encontrando desviación de Oxígeno, por encima de parámetros establecidos. </t>
  </si>
  <si>
    <t xml:space="preserve">Ajuste de velocidad en envasado pudo generar variación en la inyección del gas. </t>
  </si>
  <si>
    <t xml:space="preserve">Identificación de producto involucrado en desviación desde el último control en cumplimiento, se bloquea para su reproceso. </t>
  </si>
  <si>
    <t xml:space="preserve">Se verifica ajuste de parámetros en máquina, estando en cumplimiento. Se procede a reprocesar. </t>
  </si>
  <si>
    <t>PÑ30423TM144446</t>
  </si>
  <si>
    <t>Jaime Ibarra</t>
  </si>
  <si>
    <t>durante turno mañana no se realiza pc 05 control de horneado.</t>
  </si>
  <si>
    <t>por problemas en linea productiva maquinista no dio importancia a dicho registro.</t>
  </si>
  <si>
    <t>se identifica y bloquea cantidad involucrada.</t>
  </si>
  <si>
    <t>se instruye a maquinista sobre el llenado del registro.</t>
  </si>
  <si>
    <t>AC24923TM130752</t>
  </si>
  <si>
    <t>Jaime Oyanader</t>
  </si>
  <si>
    <t>Se detecta en turno Marraqueta Piloto con desviacion de altura y arrugas.</t>
  </si>
  <si>
    <t>Por informar</t>
  </si>
  <si>
    <t>Se miden dimensiones, se realiza seleccion , se revisa producto con TPM y Supervisores</t>
  </si>
  <si>
    <t>Se bloquea producto, se ajustan parametros de agua y levadura</t>
  </si>
  <si>
    <t>MM00924TM121425</t>
  </si>
  <si>
    <t xml:space="preserve">Siendo las 8:59 durante recorrido y muestreo se detecta desviacion de PCC5 control de envasado con atmosfera modificada obteniendose los siguientes valores 2,8 % O2 y 96% CO2; 2,6% O2 y 93,6 % CO2, desviación de Oxigeno. Se bloquean 10 bandejas desde el ultimo control en cumplimiento, TPM realiza ajustes en maquina y se verifica muestras del pallet en el horario de la desviación </t>
  </si>
  <si>
    <t>Deslizamiento de Film</t>
  </si>
  <si>
    <t xml:space="preserve">Bloqueo de producto, Reproceso </t>
  </si>
  <si>
    <t>Se verifica  AC encontrandose en cumplimiento</t>
  </si>
  <si>
    <t>AC13024TM104028</t>
  </si>
  <si>
    <t>Al realizar seguimiento de producto Pizza Española se detectan productos bajo peso</t>
  </si>
  <si>
    <t>Mala Dosificacion por parte de operadores</t>
  </si>
  <si>
    <t>Se bloquea producto desde el ultimo control en cumplimiento 8:55, se solicita revision de pallets, se encuentran 20 unidades bajo peso</t>
  </si>
  <si>
    <t>Se agrega mas topping en unidades visualmente bajo peso, se solicita seleccionar producto y reprocesar aquellas unidades que no cumplan con el gramaje</t>
  </si>
  <si>
    <t>Falla en Dosificación</t>
  </si>
  <si>
    <t>PÑ30423TM145944</t>
  </si>
  <si>
    <t>durante turno Mañana no se realiza Pc 05, control de horneado.</t>
  </si>
  <si>
    <t>se instruye a maquinista sobre llenado del registro.</t>
  </si>
  <si>
    <t>PC5: Incumpliento de Frecuencia</t>
  </si>
  <si>
    <t>MM06224TM132831</t>
  </si>
  <si>
    <t>Siendo las 10:40 durante recorrido en linea operadora Catalina Barahona informa que tiene bloqueada unas bandejas de un corte de medio de la producción por visualizarlas muy planas entrega muestras se verifica espesor con ficha tecnica encontrandose en no cumplimiento de espesor con 1,5; 1,6 y 2,2 se entrega muestras muevamente y se le informa que el producto no cumple con el espesor de FT por lo que proceden a segregar y posterior informa que obtuvo 55,3 Kg de producto con el defecto de bajo espesor</t>
  </si>
  <si>
    <t>por defenir</t>
  </si>
  <si>
    <t>Bloqueo de bandejas y segregación del producto</t>
  </si>
  <si>
    <t>AC36423TN054606</t>
  </si>
  <si>
    <t>Empanadas hoja queso con defectos (grietas, manchas, arrugas, descascaramiento, muy aplanada), no cumple con ficha tecnica</t>
  </si>
  <si>
    <t xml:space="preserve">Segun indica TPM Victor Herrera hubo un error en la mezcla. </t>
  </si>
  <si>
    <t>Se Bloquea producto</t>
  </si>
  <si>
    <t>AC36423TN050133</t>
  </si>
  <si>
    <t>Se revisa producto Huevo Liquido Totem por excepcion donde se solicitò utilizar en produccion empanadas, se obtiene una muestra y este se encuentra con desviacion organoleptica considerable (Mal olor , No caracteristico del producto)</t>
  </si>
  <si>
    <t>Ultimo dia de vida util, perdida de la cadena de frio</t>
  </si>
  <si>
    <t>Se bloquea Producto</t>
  </si>
  <si>
    <t>YR36423TM153358</t>
  </si>
  <si>
    <t>Empanadas hoja queso con defectos (descascaramiento, muy aplanada)sin desarrollo de hojaldre, espesor 1.9 y 2 cm  no cumple con ficha técnica</t>
  </si>
  <si>
    <t>Según indica TPM Victor Herrera hubo un error en la mezcla. (Informacion turno noche)</t>
  </si>
  <si>
    <t xml:space="preserve">No se realizan fin de produccion </t>
  </si>
  <si>
    <t>EO36423TM115929</t>
  </si>
  <si>
    <t>Jackelin Quijada</t>
  </si>
  <si>
    <t>Se observó durante la realización del Monitoreo del PCC5 desviación de la concentración de oxígeno.</t>
  </si>
  <si>
    <t>No se determinó causa raiz ya que no se modificaron parámetros de operación, las muestras siguientes no mostraron desviación</t>
  </si>
  <si>
    <t>Se informó a operadora encargada y se identificó y bloqueó el producto involucrado</t>
  </si>
  <si>
    <t>Se reenvasó todo el producto involucrado ( esto se verificó en cumplimiento por el analista).</t>
  </si>
  <si>
    <t>EO36423TM143727</t>
  </si>
  <si>
    <t>Constanza Araos</t>
  </si>
  <si>
    <t>Durante la realización del seguimiento de producto se observarón varias muestras con concentraciones de Oxígeno desviadas</t>
  </si>
  <si>
    <t xml:space="preserve">Parámetros de Operación No Ajustados </t>
  </si>
  <si>
    <t>Se informó al Operador encargado, se identificó y Bloqueo el producto involucrado</t>
  </si>
  <si>
    <t>Se ajustaron los parametros de Dosificación de Gases ATM y se reenvasó el producto involucrado (esto fue verificado por Analista encontrandose conforme)</t>
  </si>
  <si>
    <t>MM36223TM122416</t>
  </si>
  <si>
    <t>Durante recorrido en linea y seguimiento del producto de 15 muestras 3 salieron con desviacion de peso 883, 894, 889, se informa a TPM toma de linea 10 muestras y estas salen 8 con desviacion de peso. se proceden a bloquear 43 bandejas producto que salio desde el ultimo control conforme</t>
  </si>
  <si>
    <t>Espesor de la hallulla</t>
  </si>
  <si>
    <t xml:space="preserve">Bloqueo del producto y posterior segregación. Detener linea para sustituir pallet de materia prima por otro con producto conforme debido a que continuaban saliendo producto con desvio de peso </t>
  </si>
  <si>
    <t>AC36123TN054046</t>
  </si>
  <si>
    <t>Luego de regresar de Colacion , TPM Leticia Villena detecta que producto que salia de Anaconda se encontraba con temperatura fuera de rango permitido de refrigeracion (6,5ºC)</t>
  </si>
  <si>
    <t>Falla en anaconda durante hora de colacion</t>
  </si>
  <si>
    <t>Se bloquea producto, se lleva a golpe de frio</t>
  </si>
  <si>
    <t>Se lleva a camara para donde llega a temperatura adecuada, se revisa y libera</t>
  </si>
  <si>
    <t>YR36023TM134320</t>
  </si>
  <si>
    <t>D. Escobar</t>
  </si>
  <si>
    <t xml:space="preserve">Se ha detectado un problema con Huevo líquido pasteurizado lote 511304, manifestado por un mal olor perceptible y cambio de coloración en ciertos bidones, es importante señalar que este lote aún se encuentra dentro de plazo vida útil, vence el 30/12/2023. Producto no cumple con las características organolépticas establecidas para su uso. </t>
  </si>
  <si>
    <t>Debe solicitarse a proveedor</t>
  </si>
  <si>
    <t xml:space="preserve">Se avisa a supervisor de àrea que no puede ocuparse este huevo líquido en producción,  se bloquea el total del lote involucrado en desviación organoleptica. </t>
  </si>
  <si>
    <t xml:space="preserve">Reclamo al proveedor. </t>
  </si>
  <si>
    <t>YR35423TT200451</t>
  </si>
  <si>
    <t>S. Cherin</t>
  </si>
  <si>
    <t>Gotera en techo que caía sobre envases almacenados en zona 4 de Despacho</t>
  </si>
  <si>
    <t xml:space="preserve">Se desconoce, personal de infraestructura no acude a llamado. </t>
  </si>
  <si>
    <t xml:space="preserve">Aviso a supervisor de turno, traslado de mercadería a zona segura, revisión de mercadería retirando envases con humedad superficial. </t>
  </si>
  <si>
    <t xml:space="preserve">Se avisa a supervisor de panadería para dejar espacio libre de pallets con producto. Se bloquea producto involucrado en evento. </t>
  </si>
  <si>
    <t>MM35423TM123849</t>
  </si>
  <si>
    <t>Francisco Zerega</t>
  </si>
  <si>
    <t>Siendo las 9:38 durante recorrido empaque Bolleria se observa que cae gotera sobre cinta transportadora, TPM informa que desde las 8:30 detecta gotera y da aviso a Infraestructura sin respuesta. Se evalua si la gotera cae sobre cinta y se detiene la misma para su sanitizacion a su vez se da aviso a infraestructura y mantencion via radio para su reparación. Quedan bloqueados 1 pallet y 22 bandejas por riesgo de inocuidad del producto.</t>
  </si>
  <si>
    <t xml:space="preserve">Gotera que cae en superficie de la cinta que trasporta producto a la selladora 2 en empaque bolleria </t>
  </si>
  <si>
    <t>Llamado a Infraestructura para correguir gotera. Detencion de la cinta para sanitizacion y bloqueo del producto afectado</t>
  </si>
  <si>
    <t>PP35323TN000137</t>
  </si>
  <si>
    <t>Gustavo B</t>
  </si>
  <si>
    <t>Maria Bruzone</t>
  </si>
  <si>
    <t xml:space="preserve">Producto con 4 dias de refresh en despacho sin envasar y con desvio de temperatura 5,9 ºC. </t>
  </si>
  <si>
    <t xml:space="preserve">Mala planificacion ,  fecha descongelacion 15/12/2023. </t>
  </si>
  <si>
    <t xml:space="preserve">Se bloquea producto , revision de temperatura , revision de caracteristicas fisicas encontrandose la masa con textura blanda. </t>
  </si>
  <si>
    <t xml:space="preserve">Se bloquea producto, se infoma a supervisor. </t>
  </si>
  <si>
    <t xml:space="preserve">285 R1 </t>
  </si>
  <si>
    <t>Planificacion y FIFO</t>
  </si>
  <si>
    <t>PP35423TN000245</t>
  </si>
  <si>
    <t xml:space="preserve">Maria Bruzone </t>
  </si>
  <si>
    <t xml:space="preserve">Producto con 4 dias de refresh en despacho sin envasar. </t>
  </si>
  <si>
    <t>Mala planificación, fecha descongelación 16/12/2023</t>
  </si>
  <si>
    <t xml:space="preserve">Se bloquea producto, revisión de temperatura, revisión de características físicas encontrándose la masa con textura blanda. </t>
  </si>
  <si>
    <t xml:space="preserve">Se bloquea producto, se informa a supervisor. </t>
  </si>
  <si>
    <t>290 R1</t>
  </si>
  <si>
    <t>Error de Planificacion</t>
  </si>
  <si>
    <t>CV35323TM095236</t>
  </si>
  <si>
    <t>Luis Villalón</t>
  </si>
  <si>
    <t>Se observa filamento biologico (hebra de pelo) en interior de envase al vacío, cabe destacar que el envase se encuentra totalmente sellado.</t>
  </si>
  <si>
    <t>Proveedor debe investigar causa raíz de la contaminación microbiologica por hebra de pelo.</t>
  </si>
  <si>
    <t>Se retira de la línea productiva y se bloquea bolsa de MMPP papa cubo precocida.</t>
  </si>
  <si>
    <t>Proveedor Artealimentos debe entregar acciones correctivas dentro un plazo de 5 días hábiles para que no vuelva a ocurrir.</t>
  </si>
  <si>
    <t>PP35323TN235558</t>
  </si>
  <si>
    <t>278 R1</t>
  </si>
  <si>
    <t>Un</t>
  </si>
  <si>
    <t>PP35323TN232209</t>
  </si>
  <si>
    <t>Mala planificacion ,  fecha descongelacion 16/12/2023</t>
  </si>
  <si>
    <t xml:space="preserve">Se bloquea producto , revision de temperatura 5,9 ºC , revision de caracteristicas fisicas encontrandose la masa con textura blanda. </t>
  </si>
  <si>
    <t>MM35223TM141151</t>
  </si>
  <si>
    <t>Luis Villalon</t>
  </si>
  <si>
    <t>Kevin Parada</t>
  </si>
  <si>
    <t xml:space="preserve">se bloquea uso de mezcla Magdalena tres leches debido a que esta permanecio por mas de 4 horas en plataforma camara de recepcion de materia prima </t>
  </si>
  <si>
    <t xml:space="preserve">Desague tapado en Anaconda de Bolleria </t>
  </si>
  <si>
    <t xml:space="preserve">Bloqueo de la mezcla </t>
  </si>
  <si>
    <t>ANC35223TM155505</t>
  </si>
  <si>
    <t xml:space="preserve">Gotera proveniente de evaporador cae en preparación de mezcla choclo pimentón para la producción de pizza vegetariana Líder, generando contaminación cruzada </t>
  </si>
  <si>
    <t xml:space="preserve">Obstrucción en el sistema de drenaje del evaporador </t>
  </si>
  <si>
    <t>Bloqueo de la mmpp involucrada en la desviación, retiro de mesón de zona donde caía gotera (debajo de evaporador) y se realiza corte sanitario</t>
  </si>
  <si>
    <t>Se bloquea mmpp para evitar su uso y se libera linea posterior a su corte sanitario</t>
  </si>
  <si>
    <t>ANC35223TM154025</t>
  </si>
  <si>
    <t xml:space="preserve"> Se bloquea mmpp para evitar su uso y se libera linea posterior a su corte sanitario</t>
  </si>
  <si>
    <t>ANC35223TM14115</t>
  </si>
  <si>
    <t>Producción de pizza vegetariana Lider con uso de mezcla choclo-pimenton involucrado en contaminación cruzada por gotera proveniente de evaporador</t>
  </si>
  <si>
    <t>Gotera cae en mesón de trabajo y a su vez en la preparación de mezcla choclo-pimentón por obstrucción en el sistema de drenaje el evaporador</t>
  </si>
  <si>
    <t>Bloqueo del producto terminado preparado con mezcla contaminada y se realiza corte sanitario</t>
  </si>
  <si>
    <t>Se bloquea producto terminado hasta definir su destino y se libera linea posterior a su corte sanitario</t>
  </si>
  <si>
    <t>ME/MP No Conforme</t>
  </si>
  <si>
    <t>YR35223TT185101</t>
  </si>
  <si>
    <t xml:space="preserve">Se presenta desvación de gases en envasado de pizza vegetariana. </t>
  </si>
  <si>
    <t xml:space="preserve">Mal ajuste de parámetros en mezclador de gases. </t>
  </si>
  <si>
    <t xml:space="preserve">Se identifica producto involucrado desde el último monitoreo en cumplimiento, se bloquea, se reenvasa. </t>
  </si>
  <si>
    <t xml:space="preserve">Se ajusta parámetros en mezclador, se verifica acción correctiva inmediata, encontrandose en cumplimiento. Durante turno </t>
  </si>
  <si>
    <t>MM35023TT164437</t>
  </si>
  <si>
    <t>Fernando</t>
  </si>
  <si>
    <t>Bernite St Vry</t>
  </si>
  <si>
    <t xml:space="preserve">Durante recorrido por las lineas se detecta en empaque bolleria sector detector de metales que la fecha de vencimiento del producto es errada 03/01/2023 ademas de eso el registro no se encontraba lleno area sin maquinista. se procede a bloquear 5 pallets y 11 bandejas </t>
  </si>
  <si>
    <t>error de ingreso de informacion en la inkjet</t>
  </si>
  <si>
    <t>Detención de linea y bloqueo de producto afectado</t>
  </si>
  <si>
    <t>Reproceso del producto</t>
  </si>
  <si>
    <t>Trazabilidad iconrrecta</t>
  </si>
  <si>
    <t>MM35023TT171223</t>
  </si>
  <si>
    <t xml:space="preserve">Se bloquea producto Empanada Horno Mediana lote 350 por presentar bajo peso proceden a pesar y segregar unidades con bajo peso y pasar a Econo pack resto a granel quedara bloqueada </t>
  </si>
  <si>
    <t>Problema de dosificacion de empanadas (densidad del pino)</t>
  </si>
  <si>
    <t xml:space="preserve">bloquear y segregar producto </t>
  </si>
  <si>
    <t>Evualuar densidad del pino y realizar reclamo en caso de que proceda</t>
  </si>
  <si>
    <t>PP34923TN041002</t>
  </si>
  <si>
    <t>wesly Carl</t>
  </si>
  <si>
    <t xml:space="preserve">No se realiza el control de pc , control de sellado, control de trazabilidad y rotulacion Injeckt / Etiquetado manual , Control de gramaje, en su respectiva frecuencia </t>
  </si>
  <si>
    <t xml:space="preserve">Operador no llena registro antes de irse a colacion y no da aviso a TPM de la linea , y esta seguia operativa. </t>
  </si>
  <si>
    <t xml:space="preserve">Se bloquean los pallets desde la ultima medicion, enocntrando una manga sin etiqueta. </t>
  </si>
  <si>
    <t xml:space="preserve">Se bloquean los pallets , se revisa que cumplan con etiqueta y peso. </t>
  </si>
  <si>
    <t>MS34923TN033339</t>
  </si>
  <si>
    <t xml:space="preserve">Horno Suprema con desviación de temperatura 7,4 </t>
  </si>
  <si>
    <t xml:space="preserve">Por Definir </t>
  </si>
  <si>
    <t>Se identifica y se bloquea producto involucrado (3 Pallets)</t>
  </si>
  <si>
    <t>Se envia a cámara para un golpe de frio</t>
  </si>
  <si>
    <t>PP34823TN051510</t>
  </si>
  <si>
    <t xml:space="preserve">Dasting Escobar </t>
  </si>
  <si>
    <t xml:space="preserve">Desviacion de gases por problemas de vacio. </t>
  </si>
  <si>
    <t xml:space="preserve">Problemas en el vacio. </t>
  </si>
  <si>
    <t>Se procede a detener la linea y bloquear el producto.</t>
  </si>
  <si>
    <t xml:space="preserve">Se bloquea producto , revisa el oring y se limpian los filtros de variovac pizza. </t>
  </si>
  <si>
    <t>MS34823TN000722</t>
  </si>
  <si>
    <t>Erasmo Bastia</t>
  </si>
  <si>
    <t>Utilizan receta incorrecta en detector de metales, pasan empanada coctel jamon queso, con receta de coctel queso.</t>
  </si>
  <si>
    <t xml:space="preserve">Operador se le olvida cambiar receta. </t>
  </si>
  <si>
    <t xml:space="preserve">Se identifica y bloquea el producto involucrado. Se da aviso al supervisor. </t>
  </si>
  <si>
    <t xml:space="preserve">Se coloca la receta que corresponde y se reprocesa  el producto. </t>
  </si>
  <si>
    <t>PCC6(Receta Incorrecta)</t>
  </si>
  <si>
    <t>YR34823TN013009</t>
  </si>
  <si>
    <t>J. Gonzalez</t>
  </si>
  <si>
    <t xml:space="preserve">Se  solicita a operador Joaquin Gonzalez pasar patrones por D. metales A y B con la finalidad de validar correcto funcionamiento, dónde se observó que detector reconoce patrones, brazo expulsa bolsa a contenedor, sin activación de alarma y baliza.  </t>
  </si>
  <si>
    <t xml:space="preserve">Se desconoce a espera de revisión por parte de mantención. </t>
  </si>
  <si>
    <t xml:space="preserve">Se detiene envasado de manga, se avisa a supervisor de turno y TPM de linea, y estos esperan  a mantención que esta con fallas en otras líneas. </t>
  </si>
  <si>
    <t xml:space="preserve">Se detiene envasado de mangas en envasadoras wolf, se bloquea el producto que sera pasado por detector de metales granel de está misma línea, reprocesando el producto a granel. </t>
  </si>
  <si>
    <t>PP34823TN050023</t>
  </si>
  <si>
    <t xml:space="preserve">Wendy Fuentes </t>
  </si>
  <si>
    <t xml:space="preserve">Se revisa el sellado del pan, se observan empaques abierto y con  fisuras en la tapa. </t>
  </si>
  <si>
    <t xml:space="preserve">Tamaño de la doblada y espesor. </t>
  </si>
  <si>
    <t xml:space="preserve">Se detiene la linea y bloquea el producto saliente </t>
  </si>
  <si>
    <t>Se bloquea el producto , y se revisan todo el producto que fue envasado en la varivac pan , y reprocesa las que no estan en cumplimiento con el sellado</t>
  </si>
  <si>
    <t>YR34823TN060907</t>
  </si>
  <si>
    <t>Marraqueta ATM Líder</t>
  </si>
  <si>
    <t xml:space="preserve">Durante seguimiento de envasado de multivac 1 se detecta deviación de peso, peso inferior al rotulado en etiqueta de producto. </t>
  </si>
  <si>
    <t xml:space="preserve">Se presume peso de unidad no cumple con peso establecido, por lo que afecto peso del producto de atmósfera. </t>
  </si>
  <si>
    <t>-</t>
  </si>
  <si>
    <t xml:space="preserve">Se detiene producción, se avisa a supervisor de turno y TPM de línea. Se bloquea producto envasado involucrado en desviación. </t>
  </si>
  <si>
    <t>MM34823TT191014</t>
  </si>
  <si>
    <t>Se procede a bloquear producto Magdalena Tres leches lote 348 debido a que el producto se mantiene en anaconda mas de 4 horas y de acuerdo con antecedentes el producto tiende a presentar riesgo de desviacion microbiologica y desde el punto de vista de vida util presenta oscurecimiento de la masa por gomosidad. Este evento ocurre por detencion de la linea por falta del film (material de empaque) en el area de bolleria.</t>
  </si>
  <si>
    <t>Detencion de la linea por falta de material de empaque</t>
  </si>
  <si>
    <t xml:space="preserve">bloqueo del producto </t>
  </si>
  <si>
    <t>Falla de Planificacion</t>
  </si>
  <si>
    <t>FB34823TM160751</t>
  </si>
  <si>
    <t>Se verifica temperatura de Empanadas Coctel Carne Refresh al momento de envasar encontrándose desviada temperatura en 7,2 / 6,3 y 6,2</t>
  </si>
  <si>
    <t>Por definir, producto con fecha de descongelación 14/12/2023</t>
  </si>
  <si>
    <t>Se identifica y bloquea el producto igualmenete se le informa al Tpm y supervisor de Turno</t>
  </si>
  <si>
    <t>YR34723TN055707</t>
  </si>
  <si>
    <t xml:space="preserve">Detector de metales de empaque panadería Línea 5 no cuenta con receta  correcta para  Baguette 120. </t>
  </si>
  <si>
    <t xml:space="preserve">Se desconoce. </t>
  </si>
  <si>
    <t xml:space="preserve">Se Bloquea total de la producción de baguette 120, debe ser pasado por detector de metales al ser generada la receta nuevamente. </t>
  </si>
  <si>
    <t xml:space="preserve">Se identifica y bloquea producto involucrado en la producción del baguette 120 turno noche línea 5. Debe generarse receta especifica por personal  de mantención autotizado. </t>
  </si>
  <si>
    <t>PCC6 (Producto sin Receta)</t>
  </si>
  <si>
    <t>MS34723TN055038</t>
  </si>
  <si>
    <t>Pamela Molina</t>
  </si>
  <si>
    <t xml:space="preserve">Personal del àrea de producciòn empanadas traslada queso Reggianito a la balanza de bodega seco y coloca bandeja de queso directo al piso y trasvasija de una bandeja a otra sin contar con las condiciones necesarias para evitar una contaminación cruzada. </t>
  </si>
  <si>
    <t xml:space="preserve">Balanza del área de producción empanadas dañada, por lo que genera que el personal traslade la MMPP al área de la balanza de bodega seco. </t>
  </si>
  <si>
    <t>MM34723TT173202</t>
  </si>
  <si>
    <t>Leticia Villegas</t>
  </si>
  <si>
    <t>Se procede a bloquear empanada Coctel Queso Refresh debido a que se verifica la temperatura y esta se encuentra desviada en ( 6.8 ºC, 7.3 ºC, 5.4 ºC y 6 ºC), la cantidad bloqueada correspondiente fue de 27480 ud de las cuales 33 bandejas se encontraban selladas el resto esta a granel. De acuerdo con lo conversado con Supervisor Luis Villalon el producto llego de local externo el día jueves lo congelaron y lo sacaron en varias oportunidades y el producto finalmente no alcanzo la temperatura acorde para ser embalado, se consulta destino final e informa que se va a merma.</t>
  </si>
  <si>
    <t xml:space="preserve">reiterados proceso de descongelamiento desde su llegada de local externo </t>
  </si>
  <si>
    <t xml:space="preserve">Se identifica y se bloquea producto, se informa a TPM y Supervisor </t>
  </si>
  <si>
    <t>Incumplimiento de Procedimiento: Se permitió que el producto perdiera cadena de frío sin envasar</t>
  </si>
  <si>
    <t>YR34723TN061756</t>
  </si>
  <si>
    <t>C. Araos</t>
  </si>
  <si>
    <t>Incumplimiento en la frecuencia de monitoreo de PCC 6 Detector de metales de empaque panadería Línea 3</t>
  </si>
  <si>
    <t xml:space="preserve">Operaria responsable de monitoreo olvida registrar  monitoreo de las 03:20 am. </t>
  </si>
  <si>
    <t xml:space="preserve">Se avisa a TPM y supervisor de turno incumplimiento de frecuencia de monitoreo, se identifica producto involucrado en desviación y se bloquea. </t>
  </si>
  <si>
    <t xml:space="preserve">Producto será pasado por detector de metales en envasado de variovac 2, se identifica producto involucrado en desvío. </t>
  </si>
  <si>
    <t>YR34723TN051229</t>
  </si>
  <si>
    <t xml:space="preserve">Durante monitoreo por parte de Analista de calidad en control de PCC6 Detección de Metales, sistema  no detecta Patron de acero inoxidable. No se activa mecanismo de rechazo Por tanto se encuentra en incumplimiento. </t>
  </si>
  <si>
    <t xml:space="preserve">Se revisa en terreno con personal de mantención y en el segundo control detecta patrón sin identificarse falla de sistema de rechazo en el monitoreo anterior, se debe revisar detector con patron especifico de Línea 1 para determinar por que se generó no detección. </t>
  </si>
  <si>
    <t xml:space="preserve">Supervisor de turno estuvo presente en control, genera aviso a mantención y en la verificación de sistema  patrón no presentó desvío nuevamente. </t>
  </si>
  <si>
    <t xml:space="preserve">Se bloquea producto desde el ùltimo control en cumplimiento, y al comprobar detección correcta de patrón de acero inoxidable, se pasa nuevamente producto involucrado por detector de metales. </t>
  </si>
  <si>
    <t>MS34723TN052603</t>
  </si>
  <si>
    <t xml:space="preserve">Empanadas coctel pollo refresh  se verifica temperatura al momento de envasar encontrandose desviada temperatura en 6,7, 6,1 5,9 </t>
  </si>
  <si>
    <t>Mayor tiempo de almacenamiento del producto en espera por envasar. Empanada coctel pollo refresh con fecha de descongelaciòn 09/12/2023</t>
  </si>
  <si>
    <t xml:space="preserve">Se identifica, se bloquea el producto y se informa al supervisor </t>
  </si>
  <si>
    <t>171 y 178</t>
  </si>
  <si>
    <t>MS34623TN050549</t>
  </si>
  <si>
    <t xml:space="preserve">Catalina Barahona </t>
  </si>
  <si>
    <t>Empanada hoja Jamòn presenta desvio de temperaturas (6,9, 7,4)</t>
  </si>
  <si>
    <t>Transiciòn de temperatura en anaconda por cambio de producto.</t>
  </si>
  <si>
    <t>Se identifica, se bloquea producto involucrado.</t>
  </si>
  <si>
    <t>Se envia a càmara -20 para golpe de frio.</t>
  </si>
  <si>
    <t>CV28523TM093143</t>
  </si>
  <si>
    <t>Patricia Cancino</t>
  </si>
  <si>
    <t>Queso Mozzarella rallado</t>
  </si>
  <si>
    <t>Se detecta durante proceso de rallado de queso mozzarella Barra elemento extraño en interior de este.</t>
  </si>
  <si>
    <t>De acuerdo a investigación proviene del proveedor Valle Verde ya que este tipo de material no poseen la línea de pizza.</t>
  </si>
  <si>
    <t>Se bloquea MMPP proveedor Valle Verde con cinta amarilla para luego generar reclamo a proveedor.</t>
  </si>
  <si>
    <t>Se debe informar a proveedor para que tome AC e indicar las medidas de mitigación que debe implementar para evitar que vuelva a presentarse.</t>
  </si>
  <si>
    <t>CV28523TM085310</t>
  </si>
  <si>
    <t>MM28523TN014316</t>
  </si>
  <si>
    <t>Patrice Carmo</t>
  </si>
  <si>
    <t xml:space="preserve">Se bloquean 2 pallet de Pizza Española debido a incumplimiento de la frecuencia de monitoreo de PCC Nro 6 Detección de Metales </t>
  </si>
  <si>
    <t>falta de responsabilidad</t>
  </si>
  <si>
    <t xml:space="preserve">se procede a colocar cinta amarilla </t>
  </si>
  <si>
    <t>se procede a pasar el producto por el detector de metales y reforzar capacitacion en el llenado del registro</t>
  </si>
  <si>
    <t>LS25523TN044853</t>
  </si>
  <si>
    <t>Amasado</t>
  </si>
  <si>
    <t>Se detecta incumplimiento de espesor en pan amasado lote 255 , dando un promedio de 3,73 a diferencia de ficha tècnica que define un espesor de 4,5 +/-0,5 cm</t>
  </si>
  <si>
    <t>Se cambio de formato por dar prioridad a producciòn doblada por pedido por lo que no se diò tiempo para corregir paràmetros de fermentadora habièndose pasado 8 batch de mezcla de pan amasado.</t>
  </si>
  <si>
    <t>Bloqueo de pallet segregado.</t>
  </si>
  <si>
    <t>MS25523TT201956</t>
  </si>
  <si>
    <t xml:space="preserve">En àrea de empaque empanadas se revisa  Horno suprema presentando aberturas en algunos de sus lados </t>
  </si>
  <si>
    <t xml:space="preserve">Se identifica y se bloque el producto involucrado. </t>
  </si>
  <si>
    <t>Evaluaciòn y seguimiento al producto.</t>
  </si>
  <si>
    <t>YR34223TN061952</t>
  </si>
  <si>
    <t>B. Amasifuen</t>
  </si>
  <si>
    <t xml:space="preserve">Peso de  pizza Napilitana Líder lote 342  por debajo del peso rotulado en el envase. </t>
  </si>
  <si>
    <t xml:space="preserve">Se desconoce, Luis Villalón por favor identificar. </t>
  </si>
  <si>
    <t xml:space="preserve">Se bloquean los productos de inicio de proceso para realizar acciones correctivas establecidas. </t>
  </si>
  <si>
    <t>Se pesan todos los productos involucrados en desviación y los que no cumplen se destinan a merma  como establece procedimiento establecido.</t>
  </si>
  <si>
    <t>YR19323TN034345</t>
  </si>
  <si>
    <t xml:space="preserve">Control de gramaje no se realiza en la frecuencia establecida último control en cumplimiento 22:55 pm </t>
  </si>
  <si>
    <t xml:space="preserve">Colaboradora Rosa Reyes  olvido anotar el control de gramaje en la frecuencia establecida. </t>
  </si>
  <si>
    <t xml:space="preserve">Dar aviso a TPM  y supervisor de turno se identifican pallets desde último monitoreo en cumplimiento y se bloquea.  </t>
  </si>
  <si>
    <t xml:space="preserve">Se realiza verificación de gramaje del producto según Nch 44, estando en cumplimiento. </t>
  </si>
  <si>
    <t>192/193</t>
  </si>
  <si>
    <t>YR13223TN060550</t>
  </si>
  <si>
    <t>N Casanova</t>
  </si>
  <si>
    <t xml:space="preserve">Temperatura de producto a la salida de la anaconda superior a los parámetros establecidos  estando en 24.5 °C.  PCC 4 Control de enfriamiento L2 </t>
  </si>
  <si>
    <t>Desviacion de evaporadores de anaconda debido a deshielo.</t>
  </si>
  <si>
    <t xml:space="preserve">Se avisa a mantención y Supervisores de turno, se procede a dejar bolsas abiertas en pallets involucrados. </t>
  </si>
  <si>
    <t xml:space="preserve">Se bloquea y envía el producto involucrado a  dar golpe de frío, se hace seguimiento a control de temperatura anaconda hasta cumplimiento, se verificca acción correctiva y se libera producto en cumplimiento.  </t>
  </si>
  <si>
    <t>YR10223TN062749</t>
  </si>
  <si>
    <t xml:space="preserve">Cruz </t>
  </si>
  <si>
    <t xml:space="preserve">No se realizo registro de temperaturas en la frecuencia correspondiente </t>
  </si>
  <si>
    <t>Error operacional</t>
  </si>
  <si>
    <t xml:space="preserve">Aviso a supervisor de turno, bloqueo de producto, solicitar curva de temperatura en el período de tiempo sin control. </t>
  </si>
  <si>
    <t xml:space="preserve">Capacitación al personal. </t>
  </si>
  <si>
    <t>AC10223TT194926</t>
  </si>
  <si>
    <t xml:space="preserve">Se detecta desviacion de PCC de temperatura de salida de anaconda en Empaque Linea 2 fuera de rango 23ºC, para producto Marraqueta Lider </t>
  </si>
  <si>
    <t>Deshielo en Anaconda</t>
  </si>
  <si>
    <t>Se Bloquea producto y se realizan acciones correctivas</t>
  </si>
  <si>
    <t xml:space="preserve">Se deja producto con bolsas abiertas y se da golpe de frio. A las 19:45 se revisan pallets y se encuentran con temperatura en cumplimiento 10,5 ºC </t>
  </si>
  <si>
    <t>CV01223TN045424</t>
  </si>
  <si>
    <t>N.Casanova</t>
  </si>
  <si>
    <t>Desviación de PCC-4 enfriamiento por temperatura sobre límite máximo, a las 02:00 fue de 8,5°C.</t>
  </si>
  <si>
    <t>Mantención frío esta revisando anaconda de frío de línea 3 para ver posibles causas de esta desviación de temperatura.</t>
  </si>
  <si>
    <t>Se envia los pallets a cámara de frío para normalizar temperatura de enfriamiento.</t>
  </si>
  <si>
    <t>Se deja los pallets con cinta amarilla y luego de 2 horas se toman las temperaturas de los pallets bloqueados dando dentro de parámetros de temperatura.</t>
  </si>
  <si>
    <t>LS33323TN054518</t>
  </si>
  <si>
    <t xml:space="preserve"> Personal estaba en hora de colaciòn y lìnea detenida, se toma 15 unidades de pack sellados para seguimiento de producto ATM, en los que se detecta 4 unidades con desviaciòn por sobre lìmite de oxìgeno.</t>
  </si>
  <si>
    <t>Se desconoce la causa, al revisar los ùltimos controles estaban dentro de paràmetro y TPM da la hipòtesis de ser la temperatura de pan en reposo.</t>
  </si>
  <si>
    <t>bloqueo de las bandejas que quedaron en pallet sin completar, se da aviso a supervisor.</t>
  </si>
  <si>
    <t>Se reenvasa producto bloqueado y ajuste de concentraciones de gases.</t>
  </si>
  <si>
    <t>LS33223TN051404</t>
  </si>
  <si>
    <t>A. Morales</t>
  </si>
  <si>
    <t>Al iniciar seguimiento de producto ATM se encuentra desviaciòn de gases sobre lìmite de oxìgeno en envasado multivac 1.</t>
  </si>
  <si>
    <t>al cambiar el film se origina desviaciòn de gases.</t>
  </si>
  <si>
    <t>bloqueo de 1 pallet armado despuès de cambio de film.</t>
  </si>
  <si>
    <t>ajuste de gases y reenvasado de pallet bloqueado</t>
  </si>
  <si>
    <t>YR33223TM114259</t>
  </si>
  <si>
    <t xml:space="preserve">Al realizar verificación de sellado se visualiza sellado con debilidad y al relizar inmersión se noto fuga de aire. No cumpliendo con correcto sellado de envase. </t>
  </si>
  <si>
    <t xml:space="preserve">En revisión por parte de área de mantención. </t>
  </si>
  <si>
    <t xml:space="preserve">Se avisa a supervisor y TPM de área. Se bloquea el total de la producción. Se detiene línea. </t>
  </si>
  <si>
    <t xml:space="preserve">Se reprocesará el total de la producción turno mañana. Línea queda detenida hasta solución total de falla en envasadora. </t>
  </si>
  <si>
    <t>MM32623TM152324</t>
  </si>
  <si>
    <t>Siendo las 08:48 durante recorrido por la linea se detecta contaminacion sobre cinta de recirculación de queso por salpicadura de oxido proveniente de rodamiento ubicado en cinta de transporte en modulo 2. Se le informa a supervisor Claudio Morera en conjunto con la TPM Patricia Cancino se informa a mantencion tambien finalmente se le solicita realizar la sanitización de la cinta y mantencion acude a realizar la sustitución del rodamiento.</t>
  </si>
  <si>
    <t xml:space="preserve">Desprendimiento de oxido en rodamiento </t>
  </si>
  <si>
    <t xml:space="preserve">Detener y Sanitizar la cinta, Bloqueo de producto </t>
  </si>
  <si>
    <t xml:space="preserve">Sustitución de rodamientos, Revisión Visual destructiva de 8 Bandejas contentivas de 80 pizzas sin hallazgo de contaminante en queso solo se visualizo presencia de ingrediente de otro formato (champiñon) ademas se realiza en conjunto con equipo de calidad y producción evaluacion sensorial determinandose que el producto cumple con los atributos sensoriales por lo que se decide liberar </t>
  </si>
  <si>
    <t>YR32523TM141403</t>
  </si>
  <si>
    <t xml:space="preserve">M. Acuña </t>
  </si>
  <si>
    <t xml:space="preserve">Producto envasado incumple con aspecto de horneado zona tostada fuera se encuentra fuera de Pantone, apariencia a Pantone 725C.   % humedad 23,33 se encuentra por debajo de parámetro establecido en FT. Parámetro establecido humedad es FT es 24,8% a 25,5%. </t>
  </si>
  <si>
    <t xml:space="preserve">Cortes en proceso debido a fallas en vaciado de mezcla en moldes, afectando la continuidad del proceso de horneado y por ende producto adquiere mayor temperatura de horneado y color. </t>
  </si>
  <si>
    <t xml:space="preserve">Se bloquea el producto involucrado en incumplimiento. </t>
  </si>
  <si>
    <t xml:space="preserve">Se informa al personal que color del producto se encuentra en incumplimiento de Pantone y debe ser segregado en envasado. Se les muestra patrón de imagen comparativas.  </t>
  </si>
  <si>
    <t>36,72</t>
  </si>
  <si>
    <t>PÑ32423TT194101</t>
  </si>
  <si>
    <t>se detecta huevo liquido Bidon con mal olor.</t>
  </si>
  <si>
    <t>desviacion microbiologica</t>
  </si>
  <si>
    <t>identificacion y bloqueo de la MMPP</t>
  </si>
  <si>
    <t>definir zona de almacenamiento segura para esta MMPP</t>
  </si>
  <si>
    <t>PÑ32223TM151743</t>
  </si>
  <si>
    <t>presencia de manchas y hongos en MMPP</t>
  </si>
  <si>
    <t xml:space="preserve">desviacion microbiologica </t>
  </si>
  <si>
    <t>se identifica y separa producto comprometido</t>
  </si>
  <si>
    <t>reclamo a proveedor</t>
  </si>
  <si>
    <t>23291506, 23291505, 23271610</t>
  </si>
  <si>
    <t>Desviación Microbiológica</t>
  </si>
  <si>
    <t>PP32123TN035729</t>
  </si>
  <si>
    <t xml:space="preserve">Pino pollo finas hierbas </t>
  </si>
  <si>
    <t>Se bloquea pino  debido a que llevaba 3 horas en la tolva de dosificacion , perdiendo temperatura el producto (6,8ºC)</t>
  </si>
  <si>
    <t xml:space="preserve">Falla en la maquina de relleno F&amp;F y mantencion informo que no puede repararla en el turno. </t>
  </si>
  <si>
    <t>Bloqueo de producto, se informa a supervisor y TPM</t>
  </si>
  <si>
    <t>301-1</t>
  </si>
  <si>
    <t>LS32023TM161642</t>
  </si>
  <si>
    <t>Wendolyne Fuentes</t>
  </si>
  <si>
    <t>Se observa personal en área empaque Variovac Pan abriendo envases ATM para reenvasar por mal sellado, maquinista ajusta cuchillos, falla persiste por lo que se llama a mantención.</t>
  </si>
  <si>
    <t>falta de pernos anclaje en base de cuchillos y desgaste de hilo de pernos.</t>
  </si>
  <si>
    <t>Bloqueo de producción turno mañana y turno noche.</t>
  </si>
  <si>
    <t>colocar pernos faltantes y cambio de pernos.</t>
  </si>
  <si>
    <t>318-319</t>
  </si>
  <si>
    <t>CV32023TN054316</t>
  </si>
  <si>
    <t>Giovanni Fuentes</t>
  </si>
  <si>
    <t>Marraqueta piloto Línea 4 con defecto debido a manchas en corteza</t>
  </si>
  <si>
    <t>Me informa TPM Giovanni Fuentes que esto de genera por baja compactación de masa durante el proceso.</t>
  </si>
  <si>
    <t>se bloquean 3 pallets con cinta amarilla</t>
  </si>
  <si>
    <t>Revisar receta de marraqueta piloto para ajustar receta.</t>
  </si>
  <si>
    <t>LS31923TM164250</t>
  </si>
  <si>
    <t>Film IMP AB 656x72</t>
  </si>
  <si>
    <t>al finalizar producciòn de pepperoni SBA se detecta una unidad de producto terminado con presencia de mosquito entre làminas de tapa de film genèrico.</t>
  </si>
  <si>
    <t>Investigaciòn en instalaciones de proveedor.</t>
  </si>
  <si>
    <t>Revisiòn visualmente de ùltimas unidades salidas de producciòn, Se solicita a supervisora de bodega si tiene stock de lote en bodega.</t>
  </si>
  <si>
    <t>PP31923TN054547</t>
  </si>
  <si>
    <t xml:space="preserve">kevin parada </t>
  </si>
  <si>
    <t xml:space="preserve">Se bloquea producto debido a que la mezcla con la que se produjo llevaba mas de 4 horas en camara de mezcla </t>
  </si>
  <si>
    <t xml:space="preserve">Detencion de la linea por daño en equipo que suministra los pirotines </t>
  </si>
  <si>
    <t xml:space="preserve">bloqueo de producto </t>
  </si>
  <si>
    <t xml:space="preserve">revision de calidad </t>
  </si>
  <si>
    <t>MS31923TT195625</t>
  </si>
  <si>
    <t>Marraqueta con desviaciòn de temperatura (24,3 - 22,1)</t>
  </si>
  <si>
    <t>Personal de mantenciòn revisa anaconda para definir cual es la causa.</t>
  </si>
  <si>
    <t xml:space="preserve">Se identifica y bloquea producto. Se  da  golpe de frio.  </t>
  </si>
  <si>
    <t>Se baja  set point de 2,5 a 2 grados, y se baja la velocidad de la Anaconda</t>
  </si>
  <si>
    <t>PP31923TN053732</t>
  </si>
  <si>
    <t>Nicolas Leon</t>
  </si>
  <si>
    <t xml:space="preserve">Mezcla Magdalena Tres Leche </t>
  </si>
  <si>
    <t>Mezcla queda en bateas superan las 4 horas de preparadas , sin refrigeracion , se mide temperatura de las bateas ,21,1 y 24  ºC</t>
  </si>
  <si>
    <t xml:space="preserve">Tuvieron un problema con el brazo que administra los pirotines </t>
  </si>
  <si>
    <t xml:space="preserve">bloqueo de la mezcla </t>
  </si>
  <si>
    <t xml:space="preserve">se lleva a camara de materias primas para mantener temperatura y no se utiliza. </t>
  </si>
  <si>
    <t>CV31823TN221203</t>
  </si>
  <si>
    <t>luis Villalón</t>
  </si>
  <si>
    <t>Resultado presuntivo de Escherichia Coli en MMPP hielo fiesta Líder</t>
  </si>
  <si>
    <t>Proveedor debe indicar causa raíz dentro de los 5 días hábiles</t>
  </si>
  <si>
    <t>Se bloquean pallet de hielo con cinta amarilla hasta la confirmación o no de E.Coli.</t>
  </si>
  <si>
    <t>Reunirse con proveedor que debe informar AC dentro de sus instalaciones</t>
  </si>
  <si>
    <t>Hielo fiesta Líder</t>
  </si>
  <si>
    <t>Se bloquean pallet de hielo con cinta amarilla hasta la confirmación o no de E. Coli.</t>
  </si>
  <si>
    <t>PÑ31723TT204345</t>
  </si>
  <si>
    <t>Makenson Midi</t>
  </si>
  <si>
    <t>se detecta producto con abolladura y arrugas en la corteza</t>
  </si>
  <si>
    <t>problemas de temperatura en el horno</t>
  </si>
  <si>
    <t>identificar producto e informar a tpm y supervisor.</t>
  </si>
  <si>
    <t>revisar temperatura del horno.</t>
  </si>
  <si>
    <t>FB34523TM123011</t>
  </si>
  <si>
    <t>Caroline Aguilera</t>
  </si>
  <si>
    <t>Se evidencia desviasiòn de PCC Nº5 de atmosfera modificada durante seguimiento realizado por Analista de Calidad</t>
  </si>
  <si>
    <t xml:space="preserve">Personal de mantencion se encuentra en el area para su revision y asi saber cual fue la causa del desvio </t>
  </si>
  <si>
    <t xml:space="preserve">se bloquea porducto involucrado </t>
  </si>
  <si>
    <t>Reprocesar el producto involucrado en el desvío.</t>
  </si>
  <si>
    <t>FB28423TT192741</t>
  </si>
  <si>
    <t>shirly chery</t>
  </si>
  <si>
    <t xml:space="preserve">Se realiza seguimiento del producto magdalena 3 leche 6 unidades lote 284 no cumpliendo con altura, color, forma y textura característica como lo establece la ficha técnica </t>
  </si>
  <si>
    <t>Se identifica y bloquea el producto involucrado</t>
  </si>
  <si>
    <t xml:space="preserve">Se realiza cambio en producto de materias primas </t>
  </si>
  <si>
    <t>FB28423TT191546</t>
  </si>
  <si>
    <t>Shirly Chery</t>
  </si>
  <si>
    <t xml:space="preserve">Se realiza seguimiento del producto magdalena vainilla 6 unidades lote 284  del pallet 29 y pallet 30 no cumpliendo con altura, color, forma y textura característica como lo establece la ficha técnica </t>
  </si>
  <si>
    <t>LS22323TT195640</t>
  </si>
  <si>
    <t>Al iniciar envasado de Pepperoni SBA se detecta en monitoreo de PCC desviación de gases.</t>
  </si>
  <si>
    <t>Ajuste de parámetros de gases al cambiar de producto de pre pizza a pepperoni SBA.</t>
  </si>
  <si>
    <t>Bloqueo de las 14 primeras bandejas, verificar nivelación de placas y realizar ajuste de parámetros.</t>
  </si>
  <si>
    <t>Reproceso de producto involucrado.</t>
  </si>
  <si>
    <t>Configuración incorrecta de parámetros: No se modificó parametros de concentación luego del cambio de formato</t>
  </si>
  <si>
    <t>MS22323TM164633</t>
  </si>
  <si>
    <t>Genesis Salgado</t>
  </si>
  <si>
    <t>Se observa una desviación en el PCC5 durante el envasado de Marraqueta ATM Lote 222, en el cual se hizo una evaluación del producto en el momento obteniendo resultados fuera de rango (O2)</t>
  </si>
  <si>
    <t xml:space="preserve">Malas Prácticas en el Control del Envasado con Atmósfera Modificada (PCC5) </t>
  </si>
  <si>
    <t>Se bloquea producto, se le notifica al supervisor Carlos Parada y se ajusta parámetros.</t>
  </si>
  <si>
    <t xml:space="preserve">Se ajusta pàrametros y se reenvasa productos. </t>
  </si>
  <si>
    <t>YR19223TN052606</t>
  </si>
  <si>
    <t>R. Arriagada</t>
  </si>
  <si>
    <t xml:space="preserve">Etiqueta de hallulla a granel con información nutricional errada (proteìnas g), etiqueta fue liberada por supervisor de turno tarde y quedo impresa para turno noche.  </t>
  </si>
  <si>
    <t xml:space="preserve">Error de verificaciòn  correspondiente a la información nutricional. </t>
  </si>
  <si>
    <t xml:space="preserve">Se da aviso a calidad, personal procede a etiquetar  pallets de turno noche con error encontrado y se deja bloqueado producto turno tarde.  </t>
  </si>
  <si>
    <t xml:space="preserve">Se reprocesan 15 pallets de turno noche, se corrigen etiquetas en el R-ITAC129-03 PC 04 Respaldo de liberación de etiquetas hacia lineas productivas planta 2, colocando etiquetas correctas, y se deja bloqueado 7 pallets envasados en turno tarde con este mismo error. Capacitación al personal. </t>
  </si>
  <si>
    <t>Etiqueta Liberada con Errores por Supervisor del área</t>
  </si>
  <si>
    <t>AC13123TT194050</t>
  </si>
  <si>
    <t>Durante recorrido de turno tarde se detecta que llevaban produciendo mas de un pallet y aun no habian registrado ningun control en los registros</t>
  </si>
  <si>
    <t>No se realizan controles</t>
  </si>
  <si>
    <t xml:space="preserve">Se bloquea producto , se solicita a opera llenar los registros </t>
  </si>
  <si>
    <t>Se llenan registros , se solicita a operadora volver a pasar los productos por detector  de metales ya que no cumplio con el registro de PCC.</t>
  </si>
  <si>
    <t>Todos los Registros(Frecuencia de Monitoreo)</t>
  </si>
  <si>
    <t>PÑ13123TN055600</t>
  </si>
  <si>
    <t>Nicol Casanova</t>
  </si>
  <si>
    <t>se produce desviacion en la temperartura de anaconda linea 2.</t>
  </si>
  <si>
    <t>debido a deshielo de los equipos .</t>
  </si>
  <si>
    <t>se identifico  producto involucrado.</t>
  </si>
  <si>
    <t>se envia a camara -20 para estabilizar temperatura.</t>
  </si>
  <si>
    <t>YR10123TN023519</t>
  </si>
  <si>
    <t>Se notó restos de otros productos en bolsas selladas (contaminación cruzada)</t>
  </si>
  <si>
    <t>Se desconoce.</t>
  </si>
  <si>
    <t xml:space="preserve">Retiro del producto de sala de empanadas y bloqueo en cámara de Materia Prima de bodego seco. </t>
  </si>
  <si>
    <t xml:space="preserve">Notificar al proveedor y solicitar el análisis de causa raíz. </t>
  </si>
  <si>
    <t>YR10123TN041011</t>
  </si>
  <si>
    <t xml:space="preserve">K Guzman </t>
  </si>
  <si>
    <t xml:space="preserve">Desviación de la concentración  de gases CO2, por debajo del parámetro establecido.  </t>
  </si>
  <si>
    <t xml:space="preserve">Desajuste de los parámetros de CO2 en mezclador. </t>
  </si>
  <si>
    <t xml:space="preserve">Se detiene  la  línea, se bloquea  producto involucrado y se reenvasa. </t>
  </si>
  <si>
    <t xml:space="preserve">Ajuste de parámetros en el mezclador de gas. Se realiza medición de concentración de gas nuevamente se verifica cumplimiento. </t>
  </si>
  <si>
    <t>CV04223TN053002</t>
  </si>
  <si>
    <t>María Silva</t>
  </si>
  <si>
    <t>Operadora María Silva no revisa la fecha de vencimiento de los lotes juliano del mes, además comienza a envasar sin que calidad verifique fecha de vencimiento, antes de comenzar a envasar</t>
  </si>
  <si>
    <t>No realiza revisión de lote juliano que poseen en sala de envasadoras en bollería.</t>
  </si>
  <si>
    <t>Se bloquea con cinta amamrilla producto involucrado</t>
  </si>
  <si>
    <t>Revisar lotes julianos y acercarse a calidad para su verificación de la etiqueta inkject antes de hacer los cambios para comenxzar a envasar los productos.</t>
  </si>
  <si>
    <t>CV01123TN051118</t>
  </si>
  <si>
    <t>G.Lepiqueo</t>
  </si>
  <si>
    <t xml:space="preserve">Desviación de temperatura de enfriamiento de PCC-4, sobre los 5°C límite maximo de temperatura. </t>
  </si>
  <si>
    <t>TPM Gonzalo Lepiqueo me informa que anaconda de línea 3 no da la capacidad para enfriar bajo los 5°C, se debe activar anaconda de línea 5.</t>
  </si>
  <si>
    <t>Se envia a cámara de congelado de línea 4 para golpe de frío durante 2 horas.</t>
  </si>
  <si>
    <t>Se debe informar a mantención por esta anomalía de de equipos de enfriamiento.</t>
  </si>
  <si>
    <t>CV30323TM082108</t>
  </si>
  <si>
    <t>Jordi Guevara</t>
  </si>
  <si>
    <t>Por error mezclan para la preparación de empanada coctel jamón queso, jamón sandwich juliana, siendo que debería ser por receta jamón juliana artesanal.</t>
  </si>
  <si>
    <t>Por desconocimiento operador retiro diferente MMPP para la preparación.</t>
  </si>
  <si>
    <t>Se bloquea MMPP con cinta amarilla y se deja almacenada en cámara de pizza.</t>
  </si>
  <si>
    <t>Se debe informar a operarios los ingredientes que se ocupan en las distintas recetas en relación a las fichas técnicas de cada producto.</t>
  </si>
  <si>
    <t>PÑ23022TM150613</t>
  </si>
  <si>
    <t xml:space="preserve">presencia de gorgojos en Marraqueta </t>
  </si>
  <si>
    <t>foco de plaga en fermentadora linea 2</t>
  </si>
  <si>
    <t>detencion de la linea, identificacion del producto involucrado, revision para detectar origen de la plaga</t>
  </si>
  <si>
    <t>cambio en freceuncia de limpieza de la zona foco de plaga</t>
  </si>
  <si>
    <t>Gorgojos</t>
  </si>
  <si>
    <t>PP30323TT193722</t>
  </si>
  <si>
    <t>R.Plaza</t>
  </si>
  <si>
    <t xml:space="preserve">Producto con defecto de manchas de coloracion mas oscura , presenta englobamiento en las manchas y algunas descascaramiento.   </t>
  </si>
  <si>
    <t xml:space="preserve">Se informa a supervisor de linea Johan Martines del hallazgo de las manchas, se bloquea producto desde las 15: hasta las 18:30. </t>
  </si>
  <si>
    <t>Modifican el vapor del horno y temperatura , dejando una persona para seleccion de dicho defecto a la salida de la anaconda linea 4</t>
  </si>
  <si>
    <t>YR30323TT161251</t>
  </si>
  <si>
    <t>M MEDEL</t>
  </si>
  <si>
    <t xml:space="preserve">Incumplimiento de monitoreo de PCC 4 Enfriamiento planta masas/ PCC 6 Detección de metales P2, PC Control de gramaje. </t>
  </si>
  <si>
    <t xml:space="preserve">Falta de disponibilidad de colaboradora responsable de monitoreo a la hora correspondiente, por solución de falta de stock de bandejas en Línea para el envasado del pan.  </t>
  </si>
  <si>
    <t xml:space="preserve">Aviso a TPM y supervisor de turno, bloqueo de producto desde último control en cumplimiento. </t>
  </si>
  <si>
    <t xml:space="preserve">Se realizan las acciones correctivas correspondientes a cada monitoreo y se realiza capacitación de reforzamiento de llenado de registros con la finalidad de garantizar que esta falta de control no vuelva a ocurrir. </t>
  </si>
  <si>
    <t>YR29923TT133545</t>
  </si>
  <si>
    <t>A. Vásquez</t>
  </si>
  <si>
    <t xml:space="preserve">Choclo desgranado presenta alteración organoleptica olor no característico, se asemeja a un olor de fermentación antes de su fecha de vencimiento. Además se visualizaron bolsas con pérdida de vacío. </t>
  </si>
  <si>
    <t xml:space="preserve">Debe ser entregada por el proveedor </t>
  </si>
  <si>
    <t xml:space="preserve">Se realiza bloqueo de materia prima para posterior reclamo al proveedor. </t>
  </si>
  <si>
    <t xml:space="preserve">Bloqueo del lote involucrado en desviación. </t>
  </si>
  <si>
    <t>0923/290</t>
  </si>
  <si>
    <t>LS29423TM140757</t>
  </si>
  <si>
    <t>Bella Amasifuen</t>
  </si>
  <si>
    <t>En seguimiento de producto se detecta unidades de pizza pepperoni con desviaciòn de gases y peso.</t>
  </si>
  <si>
    <t>Se realiza cambio de film tapa y fondo terminados al mismo tiempo, por lo que las unidades al reiniciar proceso de envasado salieron con desviaciòn de gases.</t>
  </si>
  <si>
    <t>Se bloquea pallet salido de lìnea.</t>
  </si>
  <si>
    <t>se reprocesa producto y se le añade màs queso para corregir desvìo.</t>
  </si>
  <si>
    <t>YR29323TN065651</t>
  </si>
  <si>
    <t>C. Contreras</t>
  </si>
  <si>
    <t>Espesor de producto por debajo de parámetros establecidos en ficha técnica Mediana dio cómo resultado 3,8 cm</t>
  </si>
  <si>
    <t xml:space="preserve">Fermentación de producto sufrió falla durante turno. TPM indico falla a tiempo para identificar pallets con defectos. </t>
  </si>
  <si>
    <t xml:space="preserve">Aviso a supervisor ajuste de parámetros en fermentadora. Bloqueo de producto involucrado en desvìo. </t>
  </si>
  <si>
    <t xml:space="preserve">Ajuste de parámetros, producto se envía a cámara de congelado. </t>
  </si>
  <si>
    <t>YR29123TN063743</t>
  </si>
  <si>
    <t>M. Mackenson</t>
  </si>
  <si>
    <t xml:space="preserve">Marraqueta piloto se visualizo con exceso de harina siendo un defecto no acepatdo del producto según lo que establece ficha técnica. </t>
  </si>
  <si>
    <t xml:space="preserve">Dosificación  excesiva de harina en el proceso productivo.  </t>
  </si>
  <si>
    <t xml:space="preserve">Bloqueo del producto involucrado en defecto. </t>
  </si>
  <si>
    <t xml:space="preserve">No se realiza  en zona de producción debido a que se presento detención por problemas en cinta retractil. </t>
  </si>
  <si>
    <t>YR29023TN055001</t>
  </si>
  <si>
    <t xml:space="preserve">Pino contenia nervios de gran tamaño afectando la distribución uniforme del pino desde tolva de relleno a masa de empanada coctel  afectando peso. </t>
  </si>
  <si>
    <t xml:space="preserve">Tamaño de nervios y carne excede lo requerido por tolva para una distribución uniforme afectando peso de producto. </t>
  </si>
  <si>
    <t xml:space="preserve">Revisión de tolva, reitro de material que estaba bloqueando la inyección correcta de pino sobre masa de coctel. </t>
  </si>
  <si>
    <t xml:space="preserve">Bloqueo de materia prima no conforme, cambio de proveedor con otro lote de materia prima. </t>
  </si>
  <si>
    <t>MS29023TM142956</t>
  </si>
  <si>
    <t xml:space="preserve">Se observa pizza salame con peso por debajo de lo establecido en pàrametros de Ficha tècnica </t>
  </si>
  <si>
    <t xml:space="preserve">TPM indica que el bajo peso de la pizza salame se genera por presentar problemas con la cortadora en montaje pizza. </t>
  </si>
  <si>
    <t xml:space="preserve">Se revisa el producto involucrado se identifica y se bloquea. </t>
  </si>
  <si>
    <t xml:space="preserve">Se revisa el producto involucrado, se identifica, se bloquea. Posteriormente se corrige y se reenvasa. </t>
  </si>
  <si>
    <t>MM28623TN033844</t>
  </si>
  <si>
    <t>Jouber Augustin</t>
  </si>
  <si>
    <t xml:space="preserve">se bloquean 7 pallets + 20 bandejas de Pack empanada Coctel Aceituna debido a error de mes de caducidad ya que correspondia mes de octubre y se imprime con mes de noviembre este producto fue en su mayoria impreso en turno tarde (6 pallets) y se observa que se hace el llenado del registro con fecha correcta y la injeck con mes erroneo </t>
  </si>
  <si>
    <t>Error de ingreso en mes de caducidad en la injeck</t>
  </si>
  <si>
    <t>Reproceso de envasado del producto</t>
  </si>
  <si>
    <t>MS28423TM164431</t>
  </si>
  <si>
    <t xml:space="preserve">Se realiza seguimiento del producto magdalena vainilla 6 unidades lote 284 no cumpliendo con altura, color, forma y textura caracteristica como lo establece la ficha tècnica </t>
  </si>
  <si>
    <t>LS28323TN143359</t>
  </si>
  <si>
    <t>Eliana Inostroza</t>
  </si>
  <si>
    <t>Incumplimiento en dimensiones de diámetro dando un promedio de 11,07 cm siendo el límite máximo de 9,5 cm según ficha técnica y falta de picado en corteza.</t>
  </si>
  <si>
    <t>sobre fermentado, ajuste de parámetros en fermentadora.</t>
  </si>
  <si>
    <t>Se bloqueo 2 palletes y se solicita mejoras.</t>
  </si>
  <si>
    <t>Se realiza cambios en parámetros operacionales, y se destina a casino.</t>
  </si>
  <si>
    <t>FB22223TM124954</t>
  </si>
  <si>
    <t xml:space="preserve">Se observa presencia de elemento extraño en materia prima de margarina de 1 kilo </t>
  </si>
  <si>
    <t>Por definir por Proveedor</t>
  </si>
  <si>
    <t xml:space="preserve">Bloqueo de Materia Prima con lote involucrado. </t>
  </si>
  <si>
    <t>Devolucion y reclamo a proveedor</t>
  </si>
  <si>
    <t>CV28023TM114022</t>
  </si>
  <si>
    <t>Los Alerces</t>
  </si>
  <si>
    <t>Bobina</t>
  </si>
  <si>
    <t>Delaminacòn de film capa</t>
  </si>
  <si>
    <t>SE BLOQUEAN 4 BOBINAS DE FILM CAPA NRO 425 POR PRESENTAR DELAMINACION DE LAS CAPAS TPM INFORMA QUE DETECTAN ESTE DEFECTO CUANDO EL MATERIAL ESTA EN USO EN LA MAQUINA</t>
  </si>
  <si>
    <t xml:space="preserve">SOLICITAR AL PROVEEDOR DEL MATERIAL DE EMPAQUE </t>
  </si>
  <si>
    <t>BLOQUEO DEL MATERIAL</t>
  </si>
  <si>
    <t>REALIZAR RECLAMO AL PROVEEDOR Y SULICITAR CAUSA RAIZ Y ACCIONES A TOMAR.</t>
  </si>
  <si>
    <t>MS19123TM132148</t>
  </si>
  <si>
    <t>Rosa Flores</t>
  </si>
  <si>
    <t>Desviación de PCC Temperatura</t>
  </si>
  <si>
    <t>Pan baguette 250gr con temperaturas fuera de rango (7-8ªC)</t>
  </si>
  <si>
    <t xml:space="preserve">Interruptor del tablero elèctrico se moja, generando falla elèctrica en la anaconda cortando la energia </t>
  </si>
  <si>
    <t xml:space="preserve">Se revisa temperatura del Baguette 250gr  la cual se encontraba fuera de parámetros  entre 7 y 8 ºC , Se dejan bloqueados 2 pallets 10 bandeja, y se envía a un golpe de frio a la cámara -20 del pasillo central  se avisa a supervisores y TPM. </t>
  </si>
  <si>
    <t>Se envia al producto a un golpe de frio a la camara de -20ºC  y el personal de mantenciòn revisa y  realiza ajustes al tablero elèctrico</t>
  </si>
  <si>
    <t>Falla Electrica</t>
  </si>
  <si>
    <t>PÑ27923TT200703</t>
  </si>
  <si>
    <t>Dastin Escobar</t>
  </si>
  <si>
    <t>durante turno tarde se evidencia contenido de agua en pizzas provenientes de anaconda</t>
  </si>
  <si>
    <t>exceso de agua por aspersion.</t>
  </si>
  <si>
    <t xml:space="preserve">se identifica separan y bloquean productos comprometidos </t>
  </si>
  <si>
    <t>se regula aplicacion de agua anterior a anaconda.</t>
  </si>
  <si>
    <t>YR27723TM094524</t>
  </si>
  <si>
    <t xml:space="preserve">Salsa con consistencia fuera de parámetros por lo que se evalúa presentando desviación en parámetros de Calidad Fìsico químico,  consistencia se encuentra por encima del paràmetrol establecido en Ficha Técnica. Máximo establecido 5,0 Método Bostwick. Además personal informa  Coloración de salsa a la salida del horno  con tonalidad oscura y al verificar pantone se ve que esta fuera de las establecidad en Ficha Técnica. </t>
  </si>
  <si>
    <t xml:space="preserve">Desviación de parámetros establecidos. Análisis de causa real debe ser informado  por el proveedor. . </t>
  </si>
  <si>
    <t xml:space="preserve">Se cambia  optobins y proveedor para continuar con el proceso. </t>
  </si>
  <si>
    <t>Se merma producto ya con  distribución de salsa en anaconda 1. Se bloquea Optibins.</t>
  </si>
  <si>
    <t>CV10023TM144435</t>
  </si>
  <si>
    <t>Al momento de verificar PCC 05 Amosfera modificada de las 4 muestras una de ellas da resultado fuera de parámetros con 02 51,6%,</t>
  </si>
  <si>
    <t xml:space="preserve">Mezcla mal ajustada con hora 11:17 no anotado en registro de PCC05 se le pide realizar AC, </t>
  </si>
  <si>
    <t>Se bloquean dos pallets de prepizza lote 100 por resultado negativo en muestra.</t>
  </si>
  <si>
    <t>Se realiza reenvasado de los dos pallets despues del último control en cumplimiento.</t>
  </si>
  <si>
    <t>PCC5 (Frecuencia de Monitoreo)</t>
  </si>
  <si>
    <t>LS06923TM144619</t>
  </si>
  <si>
    <t>Se detecta desviacion de gases envase ATM, en hallulla ATM.</t>
  </si>
  <si>
    <t xml:space="preserve">Problemas con film fondo, por temperatura. Mantencion cambio Oring en matriz de moldeo. </t>
  </si>
  <si>
    <t>bloqueo, envasadora esta en revision por mantencion</t>
  </si>
  <si>
    <t>en mantenimiento</t>
  </si>
  <si>
    <t>006801V2</t>
  </si>
  <si>
    <t>YR27623TM134720</t>
  </si>
  <si>
    <t>Se visualizo orificio no caracterìstico del producto,  no realizando unión de la marca de manera correcta a lo largo del pan.</t>
  </si>
  <si>
    <t xml:space="preserve">Se desconoce, se realiza consulta al TPM de línea quien indica que desconoce a que se pueda deber. Se presume que este orificio es formación de aire en la marca del producto. </t>
  </si>
  <si>
    <t xml:space="preserve">Se avisa a supervisor de turno, se bloquea el producto. Debe realizarse separación de producto para despacho. </t>
  </si>
  <si>
    <t xml:space="preserve">No se realiza acción correctiva en producción panadería debido a que ya estaba por finalizar la producción.  Se requiere investigar en terreno parte del proceso que puede afectar la marca y por tanto que puede estar afectando su apariencia. </t>
  </si>
  <si>
    <t>YV27623TM134913</t>
  </si>
  <si>
    <t>Dirla Molina</t>
  </si>
  <si>
    <t xml:space="preserve">se bloquea producto devido a que no se registra el control de oxigeno desde las 12:00 hasta las 12:49 </t>
  </si>
  <si>
    <t>falta de personal en el area y TPM cumplia funciones extras</t>
  </si>
  <si>
    <t>bloqueo del producto</t>
  </si>
  <si>
    <t>reenvasado del producto</t>
  </si>
  <si>
    <t>MS04123TN051853</t>
  </si>
  <si>
    <t xml:space="preserve">Falla del Motor principal el que permite que gire la cadena  de la Anaconda Principal </t>
  </si>
  <si>
    <t>Falla de funcionamiento de motor principal</t>
  </si>
  <si>
    <t>Se informa a mantención para revisión de motor, detención de linea y producto que se mantiene en linea se espera que salga el producto y se merma dessde inicio del proceso (mezcladora).</t>
  </si>
  <si>
    <t>Se destina a merma todo el producto que quedo en el flujo del proceso desde el área de las mezcladoras hacia las anacondas incluidas las pizzas que quedaron retenidas en ambas anacondas.</t>
  </si>
  <si>
    <t>YR27523TM134243</t>
  </si>
  <si>
    <t xml:space="preserve">Se nota que producto a la salida de horno presenta una alteración en superficie inferior no caracteristica del producto (costra), </t>
  </si>
  <si>
    <t xml:space="preserve">Exceso de vapor en la entrada de horno. </t>
  </si>
  <si>
    <t xml:space="preserve">Aviso a supervisor de turno, se envasa a granel y bloquea producto con la finalidad de envasar en atmosfera modificada y segregar producto con producto defectuoso. </t>
  </si>
  <si>
    <t xml:space="preserve">Se realiza ajuste de vapor en la entrada del horno. </t>
  </si>
  <si>
    <t>MS27223TN054734</t>
  </si>
  <si>
    <t>Se observa Hallulla Intense con presencia de hollín en parte inferior del producto</t>
  </si>
  <si>
    <t>Malla del horno con residuos de hollín.</t>
  </si>
  <si>
    <t xml:space="preserve">Se informa al supervisor se identifica y se bloquea producto involucrado </t>
  </si>
  <si>
    <t xml:space="preserve">Se mermó el producto involucrado </t>
  </si>
  <si>
    <t>AC27123TN044440</t>
  </si>
  <si>
    <t>Durante turno noche en produccion de pizza salame operadora Patricia Cancino detecta Salame Vela con presencia de hongos</t>
  </si>
  <si>
    <t>Posible perdida de cadena de frio, lo cual ocasiona la proliferacion de MO</t>
  </si>
  <si>
    <t>Solicita cambiar de MMPP</t>
  </si>
  <si>
    <t>YA311 / XY 330</t>
  </si>
  <si>
    <t>CV27023TT125901</t>
  </si>
  <si>
    <t>Massiel Sazo</t>
  </si>
  <si>
    <t>PF</t>
  </si>
  <si>
    <t>Vienesas</t>
  </si>
  <si>
    <t>Se bloquea el producto Vienesa La Española Proveedor PF Lote VT0002324923243 T38 por presentar perdida de vacío en el envase lo que esta generando que la materia prima presente una coloración verdosa.</t>
  </si>
  <si>
    <t>Perdida de vacio del empaque</t>
  </si>
  <si>
    <t xml:space="preserve">Bloqueo del producto </t>
  </si>
  <si>
    <t>Reclamo a proveedor</t>
  </si>
  <si>
    <t>VT0002324923243</t>
  </si>
  <si>
    <t>YR27023TT200912</t>
  </si>
  <si>
    <t xml:space="preserve">Desviación de PCC Nro 4 Enfriamiento P2,  personal revisa producto posterior a control de 17:30 encontrando desviación de parámetros de temperatura a la salida de la anconda. </t>
  </si>
  <si>
    <t xml:space="preserve">Problemas de los ventiladores del evaporador de anaconda 2. </t>
  </si>
  <si>
    <t xml:space="preserve">Se avisa a supervisor de producción, mantención y analista de calidad. se realiza bloqueo del producto desde el último control en cumplimiento. </t>
  </si>
  <si>
    <t xml:space="preserve">Se realiza bloqueo del producto desde el último control en cumplimiento. Se dejan bolsas abiertas, se colocan en cámara de congelado. </t>
  </si>
  <si>
    <t>YR27023TT202603</t>
  </si>
  <si>
    <t xml:space="preserve">Desviación de PCC Nro. 4 Enfriamiento P2, a las 19:21 pm se revisa temperatura de producto debido a intervención de mantención quien al solicitar información de acción correctiva de primer desvío indica que esta revisando ventiladores de anaconda por falla en el mismo, al tomar control se encontro desviación de parámetros de temperatura a la salida de la anaconda nuevamente. Personal de mantención no avisa a àrea de producción de dicha intervención. </t>
  </si>
  <si>
    <t xml:space="preserve">Aviso a supervisor de turno, se inica acción correctiva dejando bolsas abiertas y bloqueo del producto enviando a cámara de congelado. </t>
  </si>
  <si>
    <t xml:space="preserve">Se realiza bloqueo del producto desde toma de temperatura. se realiza verificación de pallets envasados desde el último control en cumplimiento estando dentro de parámetros establecidos.  Personal de mantención  cambia correa del ventilador  del evaporador.  </t>
  </si>
  <si>
    <t xml:space="preserve">Liberado </t>
  </si>
  <si>
    <t>LS26823TM161906</t>
  </si>
  <si>
    <t xml:space="preserve">Materia orgànica carbonizada adherida en piso de marraqueta </t>
  </si>
  <si>
    <t>limpieza de piedras de horno L4</t>
  </si>
  <si>
    <t>Bloqueo y segregaciòn en multivac 1, se colocò a 2 personas a seleccionar pan a salidad de anaconda.</t>
  </si>
  <si>
    <t xml:space="preserve">Se le bajo el piso a la marraqueta. </t>
  </si>
  <si>
    <t>Suciedad en equipo</t>
  </si>
  <si>
    <t>YR26423TN053611</t>
  </si>
  <si>
    <t>Wendy Perez</t>
  </si>
  <si>
    <t>Envasado de producto con defecto de marcas producidas por la anaconda de producción panaderia Línea 1</t>
  </si>
  <si>
    <t>falta de llegada de información via email al supervisor de producción turno noche</t>
  </si>
  <si>
    <t xml:space="preserve">bloqueo del producto ya envasado </t>
  </si>
  <si>
    <t>Selección y segregación del producto defectuoso en línea.</t>
  </si>
  <si>
    <t>PÑ25623TM141707</t>
  </si>
  <si>
    <t>durante turno mañana se observa falata de llenado en registro , al realizar la medicion se observa desviacion de gases en PT.</t>
  </si>
  <si>
    <t>descordinacion del personal del area</t>
  </si>
  <si>
    <t>bloqueo e identificacion del producto.</t>
  </si>
  <si>
    <t>reprocesar inmediatamente el producto.</t>
  </si>
  <si>
    <t>YR22123TN035717</t>
  </si>
  <si>
    <t xml:space="preserve">E. Guzman </t>
  </si>
  <si>
    <t xml:space="preserve">Algunos envases presentaban defecto de sellado,  no se encontraba prolijo. Envases se abrian con facilidad.  </t>
  </si>
  <si>
    <t xml:space="preserve">Goma de empaquetadura con deteriroro (rota). </t>
  </si>
  <si>
    <t xml:space="preserve">Aviso  a maquinista, se realiza detención de línea y se llama a mantención para realizar el cambio de la empaquetadura. finalizado el cambio se  corrige sellado. Se verifica sellado por inmersión del producto en agua y concentración de gases encontrandose en cumplimiento.   </t>
  </si>
  <si>
    <t xml:space="preserve">Se realiza revisión de los pallets procesados y se segrega producto con sellado defectuoso, se reenvasa.  </t>
  </si>
  <si>
    <t>YR25023TT165832</t>
  </si>
  <si>
    <t xml:space="preserve">Massiel Suazo </t>
  </si>
  <si>
    <t>Operario deja caer espátula en olla de producción sin percatarse y esta llega a tolva de módulo TBP</t>
  </si>
  <si>
    <t xml:space="preserve">Mala práctica de operador Glenn Bais. </t>
  </si>
  <si>
    <t xml:space="preserve">Se detiene línea, se realiza búsqueda de material y descarte de masa involucrada en evento mermando. </t>
  </si>
  <si>
    <t xml:space="preserve">Se bloquea línea hasta ubicar manga plástica, lavado y sanitización de módulo de tolva TBP y tolva módulo TBP. </t>
  </si>
  <si>
    <t>YR16023TN051840</t>
  </si>
  <si>
    <t>A. Joubert</t>
  </si>
  <si>
    <t xml:space="preserve">Temperatura de empanada coctel carne líder antes de envasado en envasadora Floupack con temperaturas fuera de parámetros 5,3 - 7 y 10  °C. </t>
  </si>
  <si>
    <t xml:space="preserve">Flujo de proceso de envasado desde el ingreso a sala hasta envasado supera las dos horas personal sale a colación y el producto quedo allí sin envasar.  </t>
  </si>
  <si>
    <t xml:space="preserve">Dar aviso a TPM responsable de turno noche, se solicita realizar acción correctiva especificada en RAC-112 PC 04 CONTROL DE TRAZABILIDAD Y ROTULACIÓN INKECIT/ETIQUETADO MANUAL. En acciones correctivas 3- que indica bloquear el producto y aplicar golpe de frío hasta alcanzar la temperatura requerida. </t>
  </si>
  <si>
    <t xml:space="preserve">TPM Agustin Jorboe se nego a realizar acción correctiva debido a que considera que esa acción no es la adecuada para el producto ya que como el producto se despacha el día Sábado durante su almacenamiento en despacho llegará a la temperatura establecida de despacho de 0-5  °C. </t>
  </si>
  <si>
    <t>Incumplimiento de Procedimiento establecido: Se permitió que el producto perdiera cadena de frío sin envasar</t>
  </si>
  <si>
    <t>LS16023TN054003</t>
  </si>
  <si>
    <t>Claudio Muñoz</t>
  </si>
  <si>
    <t>Se detecta en àrea de empaque bollerìa bolsas de producto envasado que se abre en la esquina superior del envase, por lo que se revisa pallet ultimo pallet armado.</t>
  </si>
  <si>
    <t>falla en envasadora 2 por temperatura.</t>
  </si>
  <si>
    <t>Bloqueo y reproceso</t>
  </si>
  <si>
    <t>Sellado Defectuoso  (Temperatura de Selladora)</t>
  </si>
  <si>
    <t>ANC24823TM100053</t>
  </si>
  <si>
    <t>Augustin Jourbert</t>
  </si>
  <si>
    <t>Empanadas Refresh preparadas para ser envasadas con color azul en la parte inferior del producto.</t>
  </si>
  <si>
    <t xml:space="preserve">En trayecto de la descarga (del producto proveniente de frigorifico externo) gruero realizo una mala maniobra provocando el volcamiento de pallet </t>
  </si>
  <si>
    <t xml:space="preserve">Se identifica y bloquea producto involucrado, se detiene envasado del producto </t>
  </si>
  <si>
    <t xml:space="preserve">Se revisa por NCH44 producto restante encontrandose conforme y se da instrucción de merma solo del producto afectado </t>
  </si>
  <si>
    <t>Producto Sucio</t>
  </si>
  <si>
    <t>Mala Maniobra de Grua que provocó caída del producto al Suelo</t>
  </si>
  <si>
    <t>MS12923TM112046</t>
  </si>
  <si>
    <t>Se observa que se  realiza monitoreo de PCC5 de átmosfera modificada obteniendo dos valores con desviación de CO2 y no se realiza la Acción Correctiva.</t>
  </si>
  <si>
    <t xml:space="preserve">Mala práctica  en el control del envasado con átmosfera modificada PCC5 </t>
  </si>
  <si>
    <t xml:space="preserve">Se identifica y se bloquea el producto, se le notifica a la supervisora Constanza Campos y se ajusta párametros. </t>
  </si>
  <si>
    <t xml:space="preserve">Se realiza capacitación de reforzamiento a la operadodora y se reenvasa el producto. </t>
  </si>
  <si>
    <t>Incumplimiento del procedimiento establecido: no se realizó AC para producto desviado</t>
  </si>
  <si>
    <t>FB24823TN230023</t>
  </si>
  <si>
    <t>Pan Hallulla ATM lider presenta condensaciòn en envase primario antes de envasar a ATM</t>
  </si>
  <si>
    <t>Condensacion del producto durante el almacenamiento en zona de despacho</t>
  </si>
  <si>
    <t>Se instruye al personal de la Linea para revisar la materia prima antes de envasar</t>
  </si>
  <si>
    <t>CV24723TT173641</t>
  </si>
  <si>
    <t>Claudio Morera</t>
  </si>
  <si>
    <t>Jose Díaz</t>
  </si>
  <si>
    <t>Se detecta elemento extraño en dosificadora de mezcla sector producción bollería. El elemento de material plástico su función es tuerca plástica.</t>
  </si>
  <si>
    <t>Este elemento pertenece a sensor de altura de tolva de mezcla, su desprendimiento la causa posible al realizar aseo alretirar rejilla de tolva se pasó a llevar este material por golpe o vibración.</t>
  </si>
  <si>
    <t>Se detiene línea de producción se inicia investigación en conjunto con mantención y producción.</t>
  </si>
  <si>
    <t>la posibilidad de contar con materiales de metal acero inoxidable en ese punto de la línea (dosificación de mezcla).</t>
  </si>
  <si>
    <t>FB34723TM124205</t>
  </si>
  <si>
    <t>Se verifica temperatura de Empanadas Coctel Queso refresh  al momento de envasar encontrándose desviada temperatura en 7,9 / 8,6 y 7,1</t>
  </si>
  <si>
    <t>Duración  del producto en el area con mayor tiempo de espera por envasar con fecha de descongelación 12/12/2023</t>
  </si>
  <si>
    <t>Se identifica, se bloquea el producto y se informa al Tpm del area.</t>
  </si>
  <si>
    <t>AC34723TM114526</t>
  </si>
  <si>
    <t>Mientras se buscaba producto para seguimiento se detecta en empaque Bolleria, Magdalenas Vainillas las cuales presentaban desviacion en apariencia estaban hundidas en la parte superior, ademas de gomosidad, apariencia cruda y sabor no caracteristico.</t>
  </si>
  <si>
    <t>Por determinar, TPM Hector Navarrete indica que algun ingrediente falta o sobra en un batch de la mezcla.</t>
  </si>
  <si>
    <t xml:space="preserve">Se hace revision de productos en anaconda y se detecta que el problema </t>
  </si>
  <si>
    <t>YR24423TN033353</t>
  </si>
  <si>
    <t xml:space="preserve">F. Anahis </t>
  </si>
  <si>
    <t xml:space="preserve">Se realiza monitoreo de PCC 6 detector de metales P2 donde no reconoce patron de acero inoxidable. </t>
  </si>
  <si>
    <t xml:space="preserve">Alteracion de campo electromagnetico por mala practica, detector estaba siendo ocupado para reposar envases. </t>
  </si>
  <si>
    <t xml:space="preserve">Detencion de linea, aviso a supervisor de turno. Revision por  mantencion donde verifica funcionamiento correcto.  </t>
  </si>
  <si>
    <t xml:space="preserve">Bloqueo de producto fabricado desde el ultimo control en cumplimiento, verificacion de reconocimiento y activacion de rechazo de producto con todos los patrones nuevamente y paso de producto bloqueado nuevamente por detector de metales. </t>
  </si>
  <si>
    <t>LS24323TT203621</t>
  </si>
  <si>
    <t>Nicolas Leòn</t>
  </si>
  <si>
    <t>Se detecta olor no caracterìstico en producto terminado proveniente de MMPP descompuesta por lo que se induce carga microbiològica alta en MMPP.</t>
  </si>
  <si>
    <t>Huevo Totten en descomposiciòn antes de fecha de vencimiento 02/09/2023 totte:54</t>
  </si>
  <si>
    <t xml:space="preserve">Bloqueo de todo producto elaborado con dicha MMPP, se solicita corte sanitario de emergencia por contaminaciòn cruzada. </t>
  </si>
  <si>
    <t>Se emitirà reclamo a proveedor.</t>
  </si>
  <si>
    <t>YR24323TN032752</t>
  </si>
  <si>
    <t>H. José Luis</t>
  </si>
  <si>
    <t>Sistema de detector de metales granel de lìnea 2,  incumplio con sistema de encendido de baliza y sonido de chicharra al paso de los patrones  en los monitoreos de 19:30 A 22:30</t>
  </si>
  <si>
    <t xml:space="preserve">Cable de baliza suelto. </t>
  </si>
  <si>
    <t xml:space="preserve">Se avisa a mantención y supervisor de turno, mantención retira baliza de lugar para su reparación. </t>
  </si>
  <si>
    <t xml:space="preserve">Se realiza bloqueo de producción desde las 19:30 que se inicio proceso de envasado, hasta las 00:00 y a esta hora mantención soluciona problema quedando validado el correcto funcionamoento del sistema de rechazo del detector de metales. </t>
  </si>
  <si>
    <t>CV24223TN055620</t>
  </si>
  <si>
    <t>Erasmo Bastías</t>
  </si>
  <si>
    <t>Al momento de realizar el etiquetado automático en envasadora flowpack de empaque empanadas operador no se percata que el envase no esta activado la inckject de impresión.</t>
  </si>
  <si>
    <t>Por falta de experiencia y no revisar que envase sellado iba sin la impresión de la inckject.</t>
  </si>
  <si>
    <t xml:space="preserve">Se  bloquea 35 bandejas renta pack de empanada coctel queso de 12 unidades </t>
  </si>
  <si>
    <t>Se debe proceder de acuerdo al manejo de equipos de envasado flowpack y coordinarse con grupo de trabajo y evitar esta desviaciones de legalidad.</t>
  </si>
  <si>
    <t>YR24223TN055517</t>
  </si>
  <si>
    <t xml:space="preserve">J. Hernandez </t>
  </si>
  <si>
    <t xml:space="preserve">Desviación de PCC Enfriamento P2 Temperatura de producto a la salida de la anaconda se encontraba fuera de los paràmetros establecidos superando los 20 °C. </t>
  </si>
  <si>
    <t xml:space="preserve">Producto de deshielo de anaconda </t>
  </si>
  <si>
    <t xml:space="preserve">Se avisa supervisor de turno y se procede a dejar bolsas abiertas con la finalidad de realizar acción correctiva. </t>
  </si>
  <si>
    <t xml:space="preserve">Bloqueo del producto, envio a cámara de -20, muestreo posterior  dentro de parametros establecidos. </t>
  </si>
  <si>
    <t>FB24123TM135416</t>
  </si>
  <si>
    <t>Andrea Gomez ( TPM )</t>
  </si>
  <si>
    <t xml:space="preserve">Se nota que marraqueta piloto lote 241 de línea 2 presenta incumpliemtos de dimensiones a la salida de la fermentadora. </t>
  </si>
  <si>
    <t>Por Informar.</t>
  </si>
  <si>
    <t>Se avisa a supervisor de turno quien indica que colocara a una persona a segregar este producto a la salida de Tombola, se realizó revisión del producto y no fue efectiva la segregación del producto.</t>
  </si>
  <si>
    <t>Se ajusto la humedad en fermentadora, se mejoro la temperatura de la masa e igualmente se realizo limpieza en troquel.</t>
  </si>
  <si>
    <t>LS23823TN055339</t>
  </si>
  <si>
    <t>Caída de film por defecto en rollos bobina.</t>
  </si>
  <si>
    <t>Bloqueo de rollos de film</t>
  </si>
  <si>
    <t>Envío reclamo a proveedor</t>
  </si>
  <si>
    <t>YR23723TM125220</t>
  </si>
  <si>
    <t xml:space="preserve">V. Maikel </t>
  </si>
  <si>
    <t xml:space="preserve">No se realiza monitoreo de control de pcc Control de envasado atmósfera Modificada  debido a que presento detención de línea y al iniciar nuevamente proceso de envasado a las 10:50 no se reliza control de atmosfera, lo realiza a las 11:10 am. </t>
  </si>
  <si>
    <t xml:space="preserve">Error por parte de operador Maikel Valenzuela. </t>
  </si>
  <si>
    <t xml:space="preserve">Se realiza bloqueo de producción desde inicio de proceso.  </t>
  </si>
  <si>
    <t xml:space="preserve">Se debe capacitar nuevamente a operador, se realiza reproceso de producto desde inicio de envasado.  </t>
  </si>
  <si>
    <t>FB23123TN051633</t>
  </si>
  <si>
    <t>Magdalena Vainilla no alcanza altura según ficha técnica presentando a su vez hundimiento en la base del producto y al mismo con aspecto crudo.</t>
  </si>
  <si>
    <t>Se debe a que zona 1 del horno se encontraba con una temperatura entre 190ºC y 200ºC</t>
  </si>
  <si>
    <t xml:space="preserve">Se bloquea el producto involucra y se procede a llamar a matencion para su verificacion y revision </t>
  </si>
  <si>
    <t xml:space="preserve">Se avisa a mantencion quienes realizan revision de la zona 1 del horno regulanado la temperatura entre 210 y 220 </t>
  </si>
  <si>
    <t>YR23023TT200201</t>
  </si>
  <si>
    <t>J. Hernandez</t>
  </si>
  <si>
    <t>Producto  no es pasado por detector de metales de línea 2, Falla en cinta hacia tombola L2, no se registra control de PCC 6 por este motivo.</t>
  </si>
  <si>
    <t xml:space="preserve">Falla mecánica en cinta transportadora de salida de robots que dirige producto hacia tombola de línea 2. </t>
  </si>
  <si>
    <t xml:space="preserve">Mantención intervino cinta por falla mecánica, se realiza envasado de producto en tombola a granel. </t>
  </si>
  <si>
    <t xml:space="preserve">Producto debe ser pasado por detector de metales, en equipo que tenga establecida la receta para marraqueta piloto a granel. </t>
  </si>
  <si>
    <t>PCC6 (Falla de Cinta hacia el detector)</t>
  </si>
  <si>
    <t>Kg</t>
  </si>
  <si>
    <t>LS22823TM144940</t>
  </si>
  <si>
    <t>Nicolas León</t>
  </si>
  <si>
    <t>Se observa incumplimiento en altura de magdalena chocolate que al cambiar de lote de levamix se observa mejoría en producto, definiendo bloquear MMPP por funcionalidad no conforme.</t>
  </si>
  <si>
    <t>Bloqueo de MMPP involucrada.</t>
  </si>
  <si>
    <t>43491-2</t>
  </si>
  <si>
    <t>CF15122TN232422</t>
  </si>
  <si>
    <t>Se usó MP con quiebre de temperatura extendido.</t>
  </si>
  <si>
    <t>Cámara presentan desviación de temperatura de 10,1°C y MMPP sobre los 5°C presentando exudación. Bloqueo PT involcrado</t>
  </si>
  <si>
    <t>Reparación de Falla, Retroalimentación a Encargados y PT Involucrado</t>
  </si>
  <si>
    <t>FB22123TM123539</t>
  </si>
  <si>
    <t>Se observa presencia de plástico (Bolsa Fuelle) en masa de empanada Coctel Queso ( Masa semi elaborada )</t>
  </si>
  <si>
    <t>Al momento de incorporar masa de recorte, operador no se percata que el producto llevaba parte de Bolsa fuelle</t>
  </si>
  <si>
    <t>Se bloquea Producto involucrado, igualmente se le da aviso a la supervisora Constanza Campos sobre lo sucedido</t>
  </si>
  <si>
    <t>Se bloquea producto involucrado y se realiza aseo posterior en la línea para evitar que quede resto de dicho plástico</t>
  </si>
  <si>
    <t>Procedimiento deficiente de apertura de envase</t>
  </si>
  <si>
    <t>FB22023TM151842</t>
  </si>
  <si>
    <t>Se observa presencia de plastico (Bolsa Fuelle) en masa de empanada Coctel Queso</t>
  </si>
  <si>
    <t>Se bloquea producto involucrado y se realiza aseo posterior en la linea para evitar que quede resto de dicho plastico</t>
  </si>
  <si>
    <t>FB18923TN060854</t>
  </si>
  <si>
    <t xml:space="preserve">Cono deforme </t>
  </si>
  <si>
    <t>Corresponde al proveedor</t>
  </si>
  <si>
    <t>Se bloquea el lote de la ME involucrada y stock disponible</t>
  </si>
  <si>
    <t>Reclamo al proveedor, devolución y solicitud de reposición disponible</t>
  </si>
  <si>
    <t>MS18923TN042442</t>
  </si>
  <si>
    <t xml:space="preserve">El detector de metales despuès de realizar el cambio de formato a Magdalena Vainilla comenzo a dar falsos positivos. Despues de pasar los  patrones el brazo expulsor  queda descontrolado generando falsos positivos </t>
  </si>
  <si>
    <t xml:space="preserve">Problemas con el detector generando falsos positivos. </t>
  </si>
  <si>
    <t>Se da aviso a mantenimiento, se identifica y  bloquea todo producto que sale de envasado bolleria, identificado con cinta amarilla.</t>
  </si>
  <si>
    <t xml:space="preserve">Personal de Mantenciòn ajusta parametros en Detector de Metales B01 de Empaque Bolleria. Producto bloqueado se pasa nuevamente por detector de </t>
  </si>
  <si>
    <t>un</t>
  </si>
  <si>
    <t>CV18923TT203130</t>
  </si>
  <si>
    <t>Agustin Youbert</t>
  </si>
  <si>
    <t>Desviación de PCC-04 ENFRIAMIENTO desde las 13:30 hasta las 15:30, producto horno mediana lote 189</t>
  </si>
  <si>
    <t>temperatura de anaconda dentro de parámetros de congelación de -15,4C, como causa posible es la generación de corteza de hielo en los evaporadores de la anaconda de congelado</t>
  </si>
  <si>
    <t>Se bloquean 2 pallets de horno mediana con cinta amarilla lote 189 y se da golpe de frío en despacho.</t>
  </si>
  <si>
    <t>Se informa a mantención por la desviación para realizar mejoras a la frecuencia de deshielo de la anaconda.</t>
  </si>
  <si>
    <t>YR15923TN033201</t>
  </si>
  <si>
    <t xml:space="preserve">E. Mena </t>
  </si>
  <si>
    <t xml:space="preserve">Incumplimiento en la frecuencia de monitoreo de PCC N° 3 Control de Horneado. </t>
  </si>
  <si>
    <t xml:space="preserve">Error operacional, colaboradora Evelin Mena olvido realizar monitoreo en la frecuencia determinada. </t>
  </si>
  <si>
    <t xml:space="preserve">Se realizo revisiòn de la curva de temperatura in situ desde el último control en cumplimiento junto a colaboradora,  en pantalla de horno, se veriifco cumplimiento y se deja evidencia fotográfica.  </t>
  </si>
  <si>
    <t xml:space="preserve">Capacitación a colaboradora. Se solicitará igualmente curva de temperatura a mantención. </t>
  </si>
  <si>
    <t>PCC3 (Frecuencia de Monitorero)</t>
  </si>
  <si>
    <t>LS15923TN034757</t>
  </si>
  <si>
    <t>Jose Luis Henriquez</t>
  </si>
  <si>
    <t xml:space="preserve">Se recibe turno con desviacìòn de PCC 4 "Enfriameinto" en 3 pallets de marraqueta Lìnea 02 </t>
  </si>
  <si>
    <t xml:space="preserve">Deshielo </t>
  </si>
  <si>
    <t xml:space="preserve">bloqueo de 3 pallets, </t>
  </si>
  <si>
    <t>Se da golpe de frìo con bolsas abiertas.</t>
  </si>
  <si>
    <t>LS15923TN035928</t>
  </si>
  <si>
    <t>Josè Luiz Hernirquez</t>
  </si>
  <si>
    <t>Se recibe turno con desviación de PCC 4 "Enfriamiento" en 3 pallets de Coliza Línea 01</t>
  </si>
  <si>
    <t>Deshielo</t>
  </si>
  <si>
    <t>Se da golpe de frio con bolsas abiertas.</t>
  </si>
  <si>
    <t>FB33223TN041604</t>
  </si>
  <si>
    <t>Carlos Contreras</t>
  </si>
  <si>
    <t xml:space="preserve">De acuerdo al evento ocurrido durante la entraga de turno tarde, se procede a bloquear 9 pallets y 22 bandeja por presentar alteracion organoleptica (Olor y sabor a humo ) por conato de incendio generado en Horno de Línea 4 </t>
  </si>
  <si>
    <t xml:space="preserve">Conato de incendio ocurrido por pan atrapaso en piedras de horno </t>
  </si>
  <si>
    <t>Se extingue conato en horno y se bloquea producto involiucrado luego de realizar analisis sensorial</t>
  </si>
  <si>
    <t xml:space="preserve">Realizar seguimiento al producto bloqueado para definir destino final del produto </t>
  </si>
  <si>
    <t>FB06723TM130823</t>
  </si>
  <si>
    <t>Eduardo Contreras</t>
  </si>
  <si>
    <t>Mala impresion y etiquetado Cortado de lado izquierdo</t>
  </si>
  <si>
    <t>La mala impresión de la etiqueta se debió por presentar problemas en el cabezal de la impresora</t>
  </si>
  <si>
    <t>Bloqueo del PT</t>
  </si>
  <si>
    <t>Se detuvo la envasado con problemas y se procedio a llamar a mantención para su posterior intervencion en el equipo</t>
  </si>
  <si>
    <t>PÑ35523TT204635</t>
  </si>
  <si>
    <t>producto proveniente de frigorifico llega vencido.</t>
  </si>
  <si>
    <t>mal manejo de FEFO</t>
  </si>
  <si>
    <t>mejorar manejo de FEFO</t>
  </si>
  <si>
    <t>Vencimiento</t>
  </si>
  <si>
    <t>YR23323TM164750</t>
  </si>
  <si>
    <t xml:space="preserve">Se nota que marraqueta piloto lote 233 de línea 4 presenta particulas negras en superficie del pan a la salida de la fermentadora. </t>
  </si>
  <si>
    <t>Partículas provenientes de los cangilones de fermentadora de Línea 4</t>
  </si>
  <si>
    <t>Se avisa a supervisor de turno quien indica que colocara a una persona a segregar este producto a la salida de la anaconda, se realizo revisiòn del producto y no fue efectiva la segregación del producto.</t>
  </si>
  <si>
    <t xml:space="preserve">Realizar limpieza de cangilones de manera efectiva. </t>
  </si>
  <si>
    <t>Limpieza deficiente (Empresa externa)</t>
  </si>
  <si>
    <t>MS03923TM005432</t>
  </si>
  <si>
    <t>Miguel Duval</t>
  </si>
  <si>
    <t>Robert Brito</t>
  </si>
  <si>
    <t>Se carga por error receta de Marraqueta Lider para la elaboración de Marraqueta Piloto</t>
  </si>
  <si>
    <t>Error del operador al cargar la receta.</t>
  </si>
  <si>
    <t xml:space="preserve">Se reenvasa el producto con la etiqueta y peso que corresponde de Marraqueta Lider. </t>
  </si>
  <si>
    <t>AC20823TT172150</t>
  </si>
  <si>
    <t xml:space="preserve">Durante recorrido se encuentra que operador Claudio Muñoz no habia realizado registro de PCC6 detector de metales en empaque bolleria en turno tarde </t>
  </si>
  <si>
    <t>Operador indica que realiza el control pero olvidò anotarlo</t>
  </si>
  <si>
    <t>Se bloquean productos,  se solicita volver a pasar los productos por el detector.</t>
  </si>
  <si>
    <t>Se le indica a operario importancia de siempre anotar registro, se realiza reproceso de productos por detector de metales</t>
  </si>
  <si>
    <t>LS20823TM112304</t>
  </si>
  <si>
    <t>Valery Olivares</t>
  </si>
  <si>
    <t>Se realizó cambio de empaquetadura y se continuó producción sin realizar la liberación de 8 ciclos, por lo que se detecta desviación de gases en productos envasados.</t>
  </si>
  <si>
    <t>No se solicita a calidad liberación de 8 ciclos después de cambio de empaquetadura en variovac pizza, TPM desconocía procedimiento y operadora al regreso de licencia no se acordó de procedimiento.</t>
  </si>
  <si>
    <t>Bloqueo de producto involucrado, se avisa a supervisora, se realiza 8 ciclos y reprocesa producto bloqueado.</t>
  </si>
  <si>
    <t>Reproceso de producto involucrado y se solicita a supervisora capacitación a TPM y operadora.</t>
  </si>
  <si>
    <t>PCC5(Incumplimiento de Procedimiento)</t>
  </si>
  <si>
    <t>Incumplimiento de Procedimiento establecido: no se esperó realización 8 ciclos para envasar</t>
  </si>
  <si>
    <t>MS20223TM111830</t>
  </si>
  <si>
    <t>Se detecta productos "Pizza vegetariana" con bajo peso al indicado en etiqueta ( 475g), producto con más desviación de peso fue de 426g</t>
  </si>
  <si>
    <t>Por definir Supervisora @Constanza.Campos0@walmart.com</t>
  </si>
  <si>
    <t>Se informa a TPM y supervisora del àrea, se identifica y bloquea 1 pallet con  producto con bajo peso. Se reprocesa producto</t>
  </si>
  <si>
    <t>Se le indico al personal de montaje pizza mejorar la dosificaciòn.. Se agregó Mezcla de Topping(Choclo y Pimenton) para Ajustar Peso.</t>
  </si>
  <si>
    <t>LS20123TT201710</t>
  </si>
  <si>
    <t>Roder Arriagada</t>
  </si>
  <si>
    <t>Se detecta gorgojos en pan italiano en zona de envasado a granel lìnea 2</t>
  </si>
  <si>
    <t>Presencia de cùmulo de harina en estructuras metàlicas de fermentadora dònde se orgina presencia de plaga por condiciones de humedad, temperatura y materia orgànica (harina).</t>
  </si>
  <si>
    <t>Se detiene lìnea, se bloquea producciòn de producto involucrado, se seleciona pan saliendo de anaconda y se revisa lìnea para detectar foco de plaga.</t>
  </si>
  <si>
    <t xml:space="preserve">Se envìa correo de avistamiento a Rentokil, tècnico inspecciona lìnea completa y se inicia revisiòn de pallets bloqueados quedando pendiente completar revisiònm en siguiente turno. </t>
  </si>
  <si>
    <t>LS19623TN030837</t>
  </si>
  <si>
    <t>Evelyn Guzmán</t>
  </si>
  <si>
    <t>Se detecta desviación de concentración de gases desde las 19:06 hasta 00:50 en pizza vegetariana lider.</t>
  </si>
  <si>
    <t>En turno tarde colaboradora Valentina Arenas realizó cambio de formato de pizza Napolitana a vegetariana sin realizar el cambio en las concentraciones de los gases específico para este producto, y operaria de turno noche continuó operación de envasado continuando con el error.</t>
  </si>
  <si>
    <t>Dar aviso a operaria y TPM, corregir concentraciones de gases y bloqueo de 7910 unidades envasadas.</t>
  </si>
  <si>
    <t>Reproceso de pallets bloqueados en turno mañana.</t>
  </si>
  <si>
    <t>YR19623TN055101</t>
  </si>
  <si>
    <t>S. Crery</t>
  </si>
  <si>
    <t>No cumple frecuencia de monitoreo de PCC Nro 6 Detector de metales en la frecuencis estabelcida último monitoreo en cumplimiento 21:30</t>
  </si>
  <si>
    <t xml:space="preserve">Colaboradora Sherly Chery olvida anotar el monitoreo, indica que si lo realizo solo que no lo anoto. </t>
  </si>
  <si>
    <t xml:space="preserve">Aviso a TPM, Identificación y bloqueo del producto desde el último monitoreo en cumplimiento. Se realiza control de PCC estando en cumplimiento. </t>
  </si>
  <si>
    <t xml:space="preserve">Se realiza acción correctiva de pasar todo el producto nuevamente por detector de metales, se realiza monitoreo, se llena registro con la frecuencia de monitoreo correcta. Se verifica y valida cumplimiento las 04:45 am </t>
  </si>
  <si>
    <t>LS19523TN035444</t>
  </si>
  <si>
    <t xml:space="preserve">Al iniciar envasado pollo champiñon se detecta bajo peso mientras operaria verificaba film y regularizaba parámetros en envasadora e iniciar los controles, se separaron las primeras 11 bandejas para realizar el pesaje y la acción correctiva.  </t>
  </si>
  <si>
    <t>Se solicita a supervisora realizar la causa raiz de bajo peso que se da en las primeras bandejas hasta estandarizar peso en proceso.</t>
  </si>
  <si>
    <t>Revisión de primeras 11 bandejas selladas.</t>
  </si>
  <si>
    <t>Reprocesar las 54 unidades con bajo peso con dosificación de topping</t>
  </si>
  <si>
    <t>YR19423TN045040</t>
  </si>
  <si>
    <t xml:space="preserve">C. Ahumada </t>
  </si>
  <si>
    <t xml:space="preserve">Incumplimiento en frecuencia de  monitoreo de PCC N  6 Detector de metales último monitoreo en cumplimiento 22:10 pm. </t>
  </si>
  <si>
    <t>Colaboradora Camila Ahumada olvido anotar el cumplimiento del monitoreo en la frecuencia establecida</t>
  </si>
  <si>
    <t xml:space="preserve">Aviso a TPM, Identificación y bloqueo del producro desde el ùltimo monitoreo en cumplimiento. Se realiza control de PCC estando en cumplimiento. </t>
  </si>
  <si>
    <t xml:space="preserve">Se realiza acción correctiva de pasar todo el producto nuevamente  por detector de metales, se realiza monitoreo, se llena registro con la frecuencia de monitoreo correcta . Se verifica y  valida cumplimiento  las 02:10 am </t>
  </si>
  <si>
    <t>CV19423TM105737</t>
  </si>
  <si>
    <t>Se observa defecto en rotulación inckject impresa con fecha de vencimiento a la mitad en pizza Española Líder Lote 194.</t>
  </si>
  <si>
    <t>Ocurrencia en ciertas unidades de producto terminado, debido a que se seca la tinta del cabezal por la temperatura de la sala aglomerandose la tinta en este.</t>
  </si>
  <si>
    <t>Se bloquean pallets involucrados para que se comience con la AC.</t>
  </si>
  <si>
    <t>Se deben revisar la totalidad de las unidades fabricadas en turno de mañana ya que al revisar los que estaban almacenados en despacho se observan 2 unidades con error de rotulación inckject.</t>
  </si>
  <si>
    <t>LS28023TN164249</t>
  </si>
  <si>
    <t>Se detecta magdalena vainilla con olor y color no caracterìstico.</t>
  </si>
  <si>
    <t>Se revisa Totten de huevo terminado con el que se produce los primeros 6 batch observados y se encuentra en cumplimiento con olor, al igual el nuevo totten de huevo cumple con olor. se revisa MMPP encontràndose en cumplimiento.</t>
  </si>
  <si>
    <t>Bloqueo de producciòn, corte sanitario de emergencia.</t>
  </si>
  <si>
    <t>LS18823TM134455</t>
  </si>
  <si>
    <t>Se detecta productos "Pizza vegetariana" con bajo peso al indicado en etiqueta ( 475g), producto con más desviación de peso fue de 450g</t>
  </si>
  <si>
    <t xml:space="preserve">Definir por supervisora </t>
  </si>
  <si>
    <t>Bloqueo de los 2 primeros pallets, se reviso 1 pallet completo quedando pendiente el 2do pallet para revisar en turno tarde. Separandose 56 unidades para reproceso.</t>
  </si>
  <si>
    <t>Se indicó a personal de montaje pizza mejorar la dosificación de mezcla.</t>
  </si>
  <si>
    <t>CV18823TM184734</t>
  </si>
  <si>
    <t>No se cumple con monitoreo de acuerdo a frecuencia cada 2 horas en registro control detector de metales PCC-6 RAC-33</t>
  </si>
  <si>
    <t>Falta de personal, no estar atento al monitoreo de registro dada la importancia ya que es punto crítico de control.</t>
  </si>
  <si>
    <t>Se bloquean tres pallets desde el último control en cumplimiento, para posteriormente volver a pasar por detector de metales.</t>
  </si>
  <si>
    <t>Capacitación a personal involucrado por correcto llenado y monitoreo de registro control de metales PCC-6</t>
  </si>
  <si>
    <t>KG</t>
  </si>
  <si>
    <t>LS15823TN041812</t>
  </si>
  <si>
    <t>Marìangel Acosta</t>
  </si>
  <si>
    <t xml:space="preserve">Se rechaza bandejas por falso positivos en detector de metales en empaque L3. </t>
  </si>
  <si>
    <t>separaciòn de bandejas rechazadas, bloqueo y llamado a mantenciòn.</t>
  </si>
  <si>
    <t>Se ajusta umbral al màximo (reconocimiento de patrones) de 1830 a 1960</t>
  </si>
  <si>
    <t>CV18123TN223157</t>
  </si>
  <si>
    <t>Soledad Opazo</t>
  </si>
  <si>
    <t>Se evidencia en producto terminado magdalena vainilla lote 181 con defecto en inckject sin la fecha de vencimiento impresa en el envase</t>
  </si>
  <si>
    <t>Me informa maquinista Soledad Opazo que esto se generó en la envasadora N°2 con defecto de entintado de inckject.</t>
  </si>
  <si>
    <t>Se bloquean con cinta amarilla productos involucrados magdalena vainilla lote 181 para luego ser reprocesados, es decir reenvasados los pallets de este producto.</t>
  </si>
  <si>
    <t>Se debe mantener proceso correcto de impresión inckject en envasadora N°2.</t>
  </si>
  <si>
    <t>LS17123TM120318</t>
  </si>
  <si>
    <t>A. Gòmez</t>
  </si>
  <si>
    <t>Incumplimiento de control (PCC, PC/RAC/RITAC/SSOP)</t>
  </si>
  <si>
    <t>Se halla incumplimiento en monitoreo de R-ISO01-42 en turno noche desde las 02:00 hasta las 06:30, por lo que no se cuenta con controles de PCC en ese rango de tiempo.</t>
  </si>
  <si>
    <t>En investigaciòn</t>
  </si>
  <si>
    <t>Boqueo de 13 ùltimos pallets del turno.</t>
  </si>
  <si>
    <t>Pendiente por investigaciòn</t>
  </si>
  <si>
    <t>LS17023TM142425</t>
  </si>
  <si>
    <t>Mariangel Acosta</t>
  </si>
  <si>
    <t>Al iniciar monitoreo (9:50 am) en empaque L3, detector de metales no reconoce a patròn de acero inoxidable, por lo que se llama a mantenciòn para resolver falla ajustando sensibilidad. A las 12:20 se repite evento "No se reconoce patròn de acero inoxidable".</t>
  </si>
  <si>
    <t>Se llama a mantenciòn para resolver falla. y se bloquea producto involucrado.</t>
  </si>
  <si>
    <t>Se ajusta sensibilidad y actualiza receta de doblada L3.</t>
  </si>
  <si>
    <t>AC16723TM112039</t>
  </si>
  <si>
    <t xml:space="preserve">Se detecta mientras operaria realizaba medicion de gases que producto se encontraba con desviacion de concentracion de gases </t>
  </si>
  <si>
    <t>Se corre film generando desajustes de parametros</t>
  </si>
  <si>
    <t>Se bloquean productos hasta la ultima medicion , Se centra film y se ajustaron parametros.</t>
  </si>
  <si>
    <t>Se reprocesa producto .</t>
  </si>
  <si>
    <t>LS16523TT153731</t>
  </si>
  <si>
    <t>Mal embobinado de film por lo que presenta ondas en bordes que no permite ajuste cadena de entrada de envasadora</t>
  </si>
  <si>
    <t>bloqueo y devolución a bodega</t>
  </si>
  <si>
    <t>AC15723TT184035</t>
  </si>
  <si>
    <t>Durante turno se detecta desviacion de concentracion de O2 en Doblada ATM de Multivac 2</t>
  </si>
  <si>
    <t>Desviacion de parametros de sellado</t>
  </si>
  <si>
    <t>Se bloquea producto desde la ultima medicion correcta 17:00, se corrigen parametros</t>
  </si>
  <si>
    <t>Se solicita reproceso de productos</t>
  </si>
  <si>
    <t>Configuración incorrecta de parámetros: operaria en aprendizaje</t>
  </si>
  <si>
    <t>LS15723TN051857</t>
  </si>
  <si>
    <t>Se detecta falsos positivos al empezar producciòn en empaque Lìnea 3</t>
  </si>
  <si>
    <t>bloqueo de pallet, se llama a mantenciòn</t>
  </si>
  <si>
    <t>Mantenciòn ajusta la sensibilidad</t>
  </si>
  <si>
    <t>ANC09623TM110650</t>
  </si>
  <si>
    <t xml:space="preserve">Desviación de PCC 5 y mal cortado del empaque </t>
  </si>
  <si>
    <t>Error operacional en la desviación de los gases y fallas en los cuchillos de la multivac 2</t>
  </si>
  <si>
    <t>Ajustes de parametros en las concentraciones y al mismo tiempo se realizan cambios y ajustes de cuchillos en la multivac 2</t>
  </si>
  <si>
    <t xml:space="preserve">Reenvasar producto bloqueado </t>
  </si>
  <si>
    <t>PÑ06523TT201742</t>
  </si>
  <si>
    <t xml:space="preserve">Etiquetado injeck ilegible </t>
  </si>
  <si>
    <t>problemas con etiquetadora injeck</t>
  </si>
  <si>
    <t>identificacion del producto/ ajuste de etiquetadora injeck</t>
  </si>
  <si>
    <t>volver a etiquetar el producto.</t>
  </si>
  <si>
    <t>CV00623TM160118</t>
  </si>
  <si>
    <t>V.Zuñiga</t>
  </si>
  <si>
    <t>Producto con desviación de temperatura por sobre lo establecido de 20°C max.</t>
  </si>
  <si>
    <t>Por deshielo de anaconda 2 de frío, fue activado por TPM Carlos Meza ya que afectaba los evaporadores con detención del sistema de frío.</t>
  </si>
  <si>
    <t>Se envía a cámara de frío o despacho.</t>
  </si>
  <si>
    <t>Se activa despues del deshielo los evaporadores de anaconda 2 de frío, normalizandose a las 11:00 horas.</t>
  </si>
  <si>
    <t>LS15123TM140316</t>
  </si>
  <si>
    <t>Yonselyn Rain</t>
  </si>
  <si>
    <t>Desviación de temperatura de producto refresh Coctel carne por tiempo de espera en sala la que se encuentra con 10°C.</t>
  </si>
  <si>
    <t>Mala práctica, producto ingreso a sala con 1,2°C y estuvo 2 horas en sala sin poderse envasar debido a problemas con selladora y falta de personal en su inicio por estar en recursos humanos.</t>
  </si>
  <si>
    <t xml:space="preserve">Bloqueo de producto involucrado. </t>
  </si>
  <si>
    <t>Se envío a cámara -20 L4, hasta toma de decisión de destino.</t>
  </si>
  <si>
    <t>LS15123TM135116</t>
  </si>
  <si>
    <t>Yocelyn Rain</t>
  </si>
  <si>
    <t xml:space="preserve">Desviación de temperatura de producto refresh. Antes de envasar presentaba 8,2°C promedio </t>
  </si>
  <si>
    <t>Falta de control de temperatura refresh, en turno noche se envaso desde las 3:30 hasta 4:30 con temperatura de 2.3°C y al continuar en turno mañana ya la temperatura estaba a 8°C, por lo que presume que fue por tiempo de espera.</t>
  </si>
  <si>
    <t>Bloqueo de producto involucrado</t>
  </si>
  <si>
    <t>Se envío a cámara -20 L4 hasta saber destino (en el turno tarde se liberó)</t>
  </si>
  <si>
    <t>AC14923TN235025</t>
  </si>
  <si>
    <t>Soley Andrae</t>
  </si>
  <si>
    <t xml:space="preserve">Mientras se realizaba liberacion por 8 Ciclos de multivac 2, se detecta que ya habian envasado 20 bandejas de Doblada ATM trafico, como el ensayo de 8 ciclos diò con desviacion, se bloquea producto y se solicita reenvasado. </t>
  </si>
  <si>
    <t>Envasaron producto antes de liberar la envasadora, la cual estaba dando desviaciones de gases</t>
  </si>
  <si>
    <t>Se reprocesa producto</t>
  </si>
  <si>
    <t>MS13823TN043757</t>
  </si>
  <si>
    <t>Jose Luis Hernandez</t>
  </si>
  <si>
    <t>No se pudo pasar el producto por que no cuenta con la receta de hallullita en el detector de metales de empaque L1</t>
  </si>
  <si>
    <t>No se ha creado la receta para la hallullita en el detector de metales de emapque L1</t>
  </si>
  <si>
    <t>Se identifica y se bloquea el producto. Se le informa al supervisor de panaderia.</t>
  </si>
  <si>
    <t xml:space="preserve">Solicita la creación de la receta de hallullita para el detector de metales de empaque L1 y pasar el producto por el detector de metales con la receta correspondiente </t>
  </si>
  <si>
    <t>Planificacion: no se consideró que el producto no tenía receta creada en Detectores de Metales de la línea</t>
  </si>
  <si>
    <t>MS33923TM111902</t>
  </si>
  <si>
    <t>Anais Cespedes</t>
  </si>
  <si>
    <t xml:space="preserve">Se realiza mediciòn de gases de Hallullita ATM encontrandose con desviaciòn de oxigeno. </t>
  </si>
  <si>
    <t>Falta de ajuste del vacio</t>
  </si>
  <si>
    <t xml:space="preserve">Se identifica y se bloquea el producto desde  la ultima mediciòn. TPM realiza ajustes de pàrametros </t>
  </si>
  <si>
    <t>Se realiza ajustes de pàrametros modificando el vacio de 40 se baja 35.  Se realizo verificaciòn encontrandose en cumplimiento. Se reprocesa el producto.</t>
  </si>
  <si>
    <t>YR18623TM133513</t>
  </si>
  <si>
    <t xml:space="preserve">W. Fuentes </t>
  </si>
  <si>
    <t xml:space="preserve">No se cumple con frecuencia de monitoreo en PCC 5 Control de envasado con atmósfera modificada, último monitoreo en cumplimiento fue  a las 10:20 am y ya habia pasado casi una hora al hallazgo del desvio de PCC. </t>
  </si>
  <si>
    <t xml:space="preserve">Operaria indica que se le olvido realizar el monitoreo a la hora correspondiente. </t>
  </si>
  <si>
    <t xml:space="preserve">Identificación de pallets procesados desde el último control en cumplimiento, se bloquean colocando cinta amarilla y se realiza control de atmosfera de producto saliente en línea estando en cumplimiento. </t>
  </si>
  <si>
    <t xml:space="preserve">Realizar reenvasado de producto involucrado en desvío (2 pallets). </t>
  </si>
  <si>
    <t>YR12423TM121002</t>
  </si>
  <si>
    <t>C. Ahumada</t>
  </si>
  <si>
    <t xml:space="preserve">Presencia de humedad en empaque L3 procedente de fuga de agua desde los ventiladores del equipo de refrigeración. Se noto humedad en banejas, bolsas y zonas de empaque. </t>
  </si>
  <si>
    <t xml:space="preserve">Obstrucción en el sistema de drenaje del equipo. </t>
  </si>
  <si>
    <t xml:space="preserve">Aviso a mantención, aviso a supervisor de turno, identificación y bloqueo del producto involucrado. </t>
  </si>
  <si>
    <t xml:space="preserve">Apagado de equipo de refrigeración con la finalidad de que drenará agua de condensación del equipo de frío. </t>
  </si>
  <si>
    <t>YR12423TM131423</t>
  </si>
  <si>
    <t xml:space="preserve">Lote de producción no legible (borroso). </t>
  </si>
  <si>
    <t xml:space="preserve">Cabezales de inkjet sucios. </t>
  </si>
  <si>
    <t>Aviso a Supervisor de turno, identificación y bloqueo de producto involucrado.</t>
  </si>
  <si>
    <t xml:space="preserve">Reetiquetado del producto involucrado con sato. Se realiza limpieza de cabezales de inkjet. Impresión posterior legible. </t>
  </si>
  <si>
    <t>YR12423TM123402</t>
  </si>
  <si>
    <t>B. Zuñiga</t>
  </si>
  <si>
    <t xml:space="preserve">Incumplimiento en la frecuencia de monitoreo de la temperatura de horneado en panadería L3 PCNº 05 HORNEADO P2. Se realiza toma de temperatura a las 11:40 am estando en cumplimiento. </t>
  </si>
  <si>
    <t xml:space="preserve">Error operacional. </t>
  </si>
  <si>
    <t xml:space="preserve">Aviso a supervisor de turno, Identificación y bloqueo del producto desde el último monitoreo en cumplimiento. </t>
  </si>
  <si>
    <t xml:space="preserve">Avisar al supervisor de turno bloquear  e identificar, solicitar curvas de temperatura del horno durante el período sin monitoreo. </t>
  </si>
  <si>
    <t>AC00523TT193917</t>
  </si>
  <si>
    <t>Mientras se probaban equipos analizadores de gases y se toman muestras del ultimo pallet elaborado antes de ir a colacion los operarios , se detecta que las pizzas estaban fuera de parametro (1,3 % de O2 y 44 de CO2 en promedio)</t>
  </si>
  <si>
    <t>Ultimo control realizado antes de colacion se encuentra bien y se verifica en registro del equipo y se encuentran en cumplimiento, sin embargo las ultimas pizzas elaboradas tienen desviacion en O2 y CO2</t>
  </si>
  <si>
    <t>Se bloquea Producto, se revisan Pizzas salame de distintas bandejas del ultimo pallet encontrandose todas fuera de rango de concentraciones de gases, igual se calibra equipo dansensor , el quipo se encontraba operando en buenas condiciones</t>
  </si>
  <si>
    <t>cuando regresan de colacion realizan cambio de formato a pizza pepperoni, las cuales se encuentran en cumplimiento. Turno Noche confirmar que se realice reproceso.</t>
  </si>
  <si>
    <t xml:space="preserve">Error de Medición: las mediciones de gases ATM realizadas por los analistas  dan desviadas y no coinciden con las registradas </t>
  </si>
  <si>
    <t>MS11623TN015827</t>
  </si>
  <si>
    <t>Maria Flores</t>
  </si>
  <si>
    <t>Se observa en el queso Mozzarella con elemento extraño incrustado en el interior del queso.</t>
  </si>
  <si>
    <t>Origen de Proveedor.</t>
  </si>
  <si>
    <t xml:space="preserve">Se revisa la materia prima encontrada en producción descartando que otro producto se encontrara con algun elementro extraño. Se bloquea producto involucrado </t>
  </si>
  <si>
    <t xml:space="preserve">Se  solicita reclamo al proveedor y devoluciòn </t>
  </si>
  <si>
    <t>CV11623TN020317</t>
  </si>
  <si>
    <t>Danny Ruiz</t>
  </si>
  <si>
    <t>Al momento de cambiar formato demmagdalena tres leches a magdalena chips chocolate operador Danny Ruiz por desconocimiento no se realiza el cambio en equipo detector de metales</t>
  </si>
  <si>
    <t>Personal de otra área no esta capacitado en el manejo de cambio receta del detector de metales en área de empaque bollería</t>
  </si>
  <si>
    <t>Se bloquea PT magdalena chips chocolate y se informa amantención para que proceda con el cambio de receta</t>
  </si>
  <si>
    <t>Capacitación operador Danny Ruiz y tambien a Dastyn Escobar ya que ella presta soporte a la operación tampoco pudo hacerlo.</t>
  </si>
  <si>
    <t>Incumplimiento del procedimiento establecido: no se realizó cambio de receta en el detector de metales</t>
  </si>
  <si>
    <t>AC11623TM101427</t>
  </si>
  <si>
    <t>Valentina Caceres</t>
  </si>
  <si>
    <t>Durante recorrido de turno mañana se detecta que no se ha realizado control de PCC 6 Detector de Metales en linea Variovac Pan en todo lo que va del turno (9:40 am)</t>
  </si>
  <si>
    <t>Operaria no realiza control</t>
  </si>
  <si>
    <t>Se bloquea producto ( 7 Pallet de Dobladas ATM )</t>
  </si>
  <si>
    <t>Se solicita capacitación ya ha pasado en reiteradas ocasiones estas últimas semanas</t>
  </si>
  <si>
    <t>CV10923TM094407</t>
  </si>
  <si>
    <t>Perdida de frecuencia de monitoreo de toma de gases en registro PCC05 hora 12:50.</t>
  </si>
  <si>
    <t>A causa de tareas realizadas de acuerdo al cargo de operador, incumple en la frecuencia y correcto llenado de registro PCC05 atmesfera modificada.</t>
  </si>
  <si>
    <t>Se bloquea desde el último control en cumplimiento quedando identificado con cinta amarilla.</t>
  </si>
  <si>
    <t>Se realizaron dos reforzamientos en el correcto llenado de registro de PCC05, PT Hallulla ATM se reprocesa.</t>
  </si>
  <si>
    <t>LS10823TN225836</t>
  </si>
  <si>
    <t>No permite lectura correcta de tacas. (Film se corre en selladora)</t>
  </si>
  <si>
    <t>Defecto de fàbrica</t>
  </si>
  <si>
    <t xml:space="preserve">Bloqueo de 4 rollos que se probaron </t>
  </si>
  <si>
    <t>Reclamo a proveedor.</t>
  </si>
  <si>
    <t>CV10723TM093034</t>
  </si>
  <si>
    <t>Varivac 2</t>
  </si>
  <si>
    <t>Marcela Soto</t>
  </si>
  <si>
    <t>Operadora Wendy Fuentes no hace control de monitoreo con la frecuencia establecida en PCC05(ATMOSFERA MODIFICADA)</t>
  </si>
  <si>
    <t>Estaba en otras tareas propias de su cargo no dandose el tiempo de realizar el control de monitoreo cada 30 minutos.</t>
  </si>
  <si>
    <t>Se bloquean pallet desde el último control en cumplimiento para luego reprocesar.</t>
  </si>
  <si>
    <t>Se realiza capacitación de reforzamiento de acuerdo a lo que establece registro de PCC05.</t>
  </si>
  <si>
    <t>CV10723TM091225</t>
  </si>
  <si>
    <t>Escarlet Rubio</t>
  </si>
  <si>
    <t>Se evidencia que monitoreo de control de PCC05 atmosfera modificada(gases) una muestra estaba dando valor bajo parámetros de CO2 88,4% no se realiza AC de bloquear PT desde el último control en cumplimiento y no se llama a calidad</t>
  </si>
  <si>
    <t>Plato de uno de los moldes con deficiencia lo que ocasionó la desviación en una de las muestras.</t>
  </si>
  <si>
    <t>Se bloquean desde el último control en cumplimiento y se aumenta la frecuencia a 10 minutos</t>
  </si>
  <si>
    <t>Se realiza capacitación de reforzamiento de acuerdo a procedimiento en registro PCC05</t>
  </si>
  <si>
    <t>YR10523TN055016</t>
  </si>
  <si>
    <t>C. Muñoz</t>
  </si>
  <si>
    <t xml:space="preserve">Etiquetado erróneo, se etiqueto magdalena tres leches con etiqueta de magdalena chocolate </t>
  </si>
  <si>
    <t xml:space="preserve">Error operacional, se habia acabado stop y empezaron a usar de una caja  nueva sin percatarse que habían dos tipos. </t>
  </si>
  <si>
    <t>Revisión de la producción, reetiquetado del producto involucrado.</t>
  </si>
  <si>
    <t xml:space="preserve">Capacitación al personal. Separar etiquetas conforme a tipo, verificar  etiquetas antes de iniciar etiquetado y en cada cambio de rollo.  En caso que necesiten de cajas nuevas revisar antes de usar. </t>
  </si>
  <si>
    <t>Etiquetado incorrecto</t>
  </si>
  <si>
    <t>CV10523TM111804</t>
  </si>
  <si>
    <t>Soley Andraes/Rosa Reyes</t>
  </si>
  <si>
    <t>Se observa que no se realiza monitoreo de PCC-05 atmosfera modificada de las 10:10, además al momento de medir los gases del pallet bloqueado entrega resultado de o2 sobre parámetros 2,2</t>
  </si>
  <si>
    <t>Operadora Soley Andreas se ausenta para realizar otra tarea y se descuida control, Rosa Reyes es la encargada del llenado tampoco lo realizó.</t>
  </si>
  <si>
    <t>Se bloquea 2 pallets de marraqueta ATM</t>
  </si>
  <si>
    <t>Se capacita por llenado de registro dandole a conocer la importancia de frecuencia de monitoreo de PCC.</t>
  </si>
  <si>
    <t>ANC10423TM102528</t>
  </si>
  <si>
    <t xml:space="preserve">Se detectó desviación del PCC5: Mientras la analista Ana Contreras realizaba un recorrido por el área verificó una lectura en el equipo desviada y que no estaba registrada en el libro. </t>
  </si>
  <si>
    <t>Mediante investigación conjunta con supervisores y operadora: se presume que fue un error de medición.</t>
  </si>
  <si>
    <t>Identificación y bloqueo del producto involucrado (desde el último monitoreo en cumplimiento)</t>
  </si>
  <si>
    <t>Para garantizar la calidad, legalidad e inocuidad del producto: se indicó que se aplicara la AC N°1 que establece reenvasar el producto involucrado</t>
  </si>
  <si>
    <t>010202M1</t>
  </si>
  <si>
    <t>LS10423TM152455</t>
  </si>
  <si>
    <t>Se observa checklist sin registro de monitoreo a las 9:30 en empaque lìnea 2.</t>
  </si>
  <si>
    <t>encargada se confundio con frecuencia de monitoreo.</t>
  </si>
  <si>
    <t xml:space="preserve">bloqueo de 2 pallets de marraqueta piloto, </t>
  </si>
  <si>
    <t>Se revisa etiquetado de 2 palets.</t>
  </si>
  <si>
    <t>YR10323TN062923</t>
  </si>
  <si>
    <t xml:space="preserve">Incumplimiento en la frecuencia de monitoreo </t>
  </si>
  <si>
    <t xml:space="preserve">Error operacional </t>
  </si>
  <si>
    <t xml:space="preserve">Aviso a Supervisor de turno, identificación de pallets y bloqueo del producto desde el último control en cumplimiento. </t>
  </si>
  <si>
    <t xml:space="preserve">Pasar producto nuevamente por el detector de metales, realizando los monitoreos y respectivos registros con la frecuencia de monitoreo correcta. </t>
  </si>
  <si>
    <t>EO03523TM180725</t>
  </si>
  <si>
    <t>Dastyn D.</t>
  </si>
  <si>
    <t>Se detectó que se estaban colocando satos a Pizza Salame Lider. Por error en Fecha de Vencimiento</t>
  </si>
  <si>
    <t>No se modificó Fecha de Vencimiento al realizar el Cambio de Formato ya que el formato anterior tenía vida útil distinta</t>
  </si>
  <si>
    <t>Se bloqueo el Producto involucrado</t>
  </si>
  <si>
    <t>Se realizó reetiquetado borrando Inkject y colocando un sato previamente liberado por calidad.</t>
  </si>
  <si>
    <t>YR08423TN061624</t>
  </si>
  <si>
    <t>S Salazar</t>
  </si>
  <si>
    <t xml:space="preserve">Temperatura de producto a la salida de la anaconda fuera de parámetros PCC 4 Control de enfriamiento. </t>
  </si>
  <si>
    <t xml:space="preserve">Debido a deshielo de la anaconda se produjo subida de la temperatura. </t>
  </si>
  <si>
    <t xml:space="preserve">Se da aviso a mantención y  Supervisores de turno.  </t>
  </si>
  <si>
    <t xml:space="preserve">Se envía el producto involucrado a cámara de Frío, se hace seguimiento a control de temperatura anaconda hasta solución de la desviación,  se monitorea a las 2 horas producto involucrado  y se libera por cumplimiento de las temperatura. </t>
  </si>
  <si>
    <t>DP08323TT194258</t>
  </si>
  <si>
    <t>En linea 4 al rederor de 15:30 se traba cinta de varilla, luego se detuvo la anaconda 1  ya que la cadena se desmontó debido a que se salió del riel.</t>
  </si>
  <si>
    <t>Traba de cinta de varilla y desmonte de cadena dentro de la anaconda 1.</t>
  </si>
  <si>
    <t>Se llama a manteción y se procede a bloquear producto involucrado.</t>
  </si>
  <si>
    <t>Mantecion se encuentra interviniendo equipos con falla.</t>
  </si>
  <si>
    <t>LS08123TN040751</t>
  </si>
  <si>
    <t>Richie Yves</t>
  </si>
  <si>
    <t>Se encuentra hojas separadoras con desprendimiento periférico de material. Lo que podría originar contaminación física en producto</t>
  </si>
  <si>
    <t>evaluación por proveedor</t>
  </si>
  <si>
    <t xml:space="preserve">Bloquea pallet de hoja separadora y se solicita otro pallet a bodega. </t>
  </si>
  <si>
    <t>DP08123TT163916</t>
  </si>
  <si>
    <t>A. Vasquez</t>
  </si>
  <si>
    <t>Operaria encargada aviso que el diametro de la MMPP era mayor al diametro de cilindro de corte de la laminadora, lo que posteriormente fue verificado al medir las dimensiones. Diametro aceptado 38 ± 2 mm mientras que el diametro medido de la MMPP fue de 44.08 mm, como concecuencia de esto la MMPP no se podia usar en la laminadora.</t>
  </si>
  <si>
    <t>corresponde al proveedor.</t>
  </si>
  <si>
    <t>identificacion y bloqueo de la materia prima: stock en produccion y disponible en bodega.</t>
  </si>
  <si>
    <t>Reclamo al provedor, devolucion con nota de credito.</t>
  </si>
  <si>
    <t>XB319</t>
  </si>
  <si>
    <t>AC08123TM103429</t>
  </si>
  <si>
    <t>A principio de cambio de formato se detecta desviacion de concentracion de gases en Pizza Pepperoni SBA , ya se habia envasado medio pallet sin realizar controles</t>
  </si>
  <si>
    <t>Cambio de formato, no se realizan controles antes de partir con producto Pepperoni SBA</t>
  </si>
  <si>
    <t>Se bloquea producto, se revisan concentraciones de gases</t>
  </si>
  <si>
    <t>Se revisan parametros de envasadora, se revisan concentraciones de gases encontrandose en cumplimiento, se reprocesan productos.</t>
  </si>
  <si>
    <t>DP07923TT193820</t>
  </si>
  <si>
    <t>W. Fuentes</t>
  </si>
  <si>
    <t>Se detectó desviación de concentraciones de gases en Hallulla ATM lote 076</t>
  </si>
  <si>
    <t>Mala practica del operador</t>
  </si>
  <si>
    <t>fue liberado por Carla Munita</t>
  </si>
  <si>
    <t>EO07723TN034613</t>
  </si>
  <si>
    <t>Se detectó desviación de la temperatura del producto (T: 7.0°C).</t>
  </si>
  <si>
    <t>Mantención informó: falla en el sistema de frio</t>
  </si>
  <si>
    <t xml:space="preserve">Identificación y Bloqueo del producto involucrado </t>
  </si>
  <si>
    <t>Mover producto a Camara de congelados de L4</t>
  </si>
  <si>
    <t>Camara de Congelados</t>
  </si>
  <si>
    <t>EO07723TN034012</t>
  </si>
  <si>
    <t>Se detectó desviación de la temperatura del producto (T: -0.2°C).</t>
  </si>
  <si>
    <t>Etiquetar el producto como Refrigerado.</t>
  </si>
  <si>
    <t>YR07623TT231001</t>
  </si>
  <si>
    <t>Se detectó productos fuera de rango de temperatura en Cámara -20 de L1 y L2 con T=-9.7°C</t>
  </si>
  <si>
    <t>Supervisora Sandra Vargas indica que los productos bloqueados (Italiano Lote 62 T=-9,7ºC, Marraqueta piloto lote69 T=-9,4ºC) serán ocupados para refresh en pedido del lunes, los otros productos a buena temperatura son trasladados a Cámara de congelados de línea 4</t>
  </si>
  <si>
    <t>YR07623TT225556</t>
  </si>
  <si>
    <t>Se detectó productos fuera de rango de temperatura en Camara -20 de L1 y L2  con T=9.4°C</t>
  </si>
  <si>
    <t>Supervisora Sandra Vargas indica que los productos bloqueados (Italiano Lote 62 T=-9,7ºC, Marraqueta piloto lote69 T=-9,4ºC) seran ocupados para refresh en pedido del lunes, los otros productos a buena temperatura son trasladados a camara de congelados de linea 4</t>
  </si>
  <si>
    <t>DP07523TT060457</t>
  </si>
  <si>
    <t>D Payares</t>
  </si>
  <si>
    <t>Se detectó Desviacion en PCC 5 Atmosfera Modificada ( CO2 ) que ocurrió durante el turno tarde</t>
  </si>
  <si>
    <t>Analistas de TurnoTarde favor investigar con la operaria encargada que realizó el monitoreo para determinar la causa Raiz de este evento.</t>
  </si>
  <si>
    <t>Identificación y Bloqueo del Producto involucrado</t>
  </si>
  <si>
    <t>Reenvasado el producto involucrado</t>
  </si>
  <si>
    <t>AC07423TM135632</t>
  </si>
  <si>
    <t>Se detecta a termino de turno desviacion de concentracion de gases en Hallullita ATM en Multivac 1</t>
  </si>
  <si>
    <t>Desconfiguracion por cambio de film</t>
  </si>
  <si>
    <t>Se bloquea producto, se midieron varias concentraciones de hallullitas ATM del ultimo pallet encontrandose en incumplimiento. Concentracion de O2 &lt; 2%</t>
  </si>
  <si>
    <t>Se ajustan parametros , se revisan concentracion de gases las cuales se encuentran en cumplimiento.</t>
  </si>
  <si>
    <t>YR07222TT215307</t>
  </si>
  <si>
    <t xml:space="preserve">PCC detector de metales Variovac 2 No rechazaba el patron ferroso 2.5 mm. </t>
  </si>
  <si>
    <t xml:space="preserve">No detectaba patrón ferroso, posiblemente baja sensibilidad. </t>
  </si>
  <si>
    <t xml:space="preserve">Aviso a mantención, aviso a supervisor de turno, detención de variovac 2, bloqueo de pallet procesado posterior al último control en cumplimiento. </t>
  </si>
  <si>
    <t xml:space="preserve">Revisión por parte de mantención, aumento de sensibilidad del detector, se verifica acción correctiva junto con operadora, se libera variovac 17:53. </t>
  </si>
  <si>
    <t>AC15423TN030449</t>
  </si>
  <si>
    <t>Durante turno noche al inicio de produccion operaria Roder Arriagada realiza control de PCC 6 Detector de metales, el cual le dio en cumplimiento, minutos despues empieza a recibir muchos falsos positivos, por lo que vuelve a pasar los patrones por el detector de metales, luego el detector no reconoce el patron ferroso.</t>
  </si>
  <si>
    <t>Problema con el detector de metales, no lee el patron ferroso, da falsos positivos.</t>
  </si>
  <si>
    <t>Se da aviso a mantenimiento , se bloquea todo producto que sale de la linea, identificado con cinta amarilla.</t>
  </si>
  <si>
    <t>El producto bloqueado sera usado exclusivamente en envasado ATM, ya que por ahi volvera a pasar por detectores correspondientes a las envasadoras. Personal de mantenimiento turno noche no puede arreglar detector por lo que queda pendiente por revisar en turno mañana</t>
  </si>
  <si>
    <t>FB06123TM134707</t>
  </si>
  <si>
    <t>presencia de Hongo y mal olor en Salsa de Tomate ( Tambor 258 y 257 )</t>
  </si>
  <si>
    <t xml:space="preserve">Se bloquea el lote de la MMPP involucrada </t>
  </si>
  <si>
    <t xml:space="preserve"> Reclamo al proveedor, devolución y solicitud de reposición disponible</t>
  </si>
  <si>
    <t>EO00323TT032446</t>
  </si>
  <si>
    <t>E. Guzman</t>
  </si>
  <si>
    <t>Se Detectó en La Verificación del Registros de PCC5 un resultado de gases desviados y aún así se aprobó el Monitoreo</t>
  </si>
  <si>
    <t>Operaria No se percató de resultado deviado</t>
  </si>
  <si>
    <t>Identificación y Bloqueo del producto involucrado (desde el ultimo monitoreo en cumplimiento (Analistas de Turno Mañana o Tarde solicito su ayuda para identificar este producto ya que el turno noche no sabía donde estaba ubicado el producto)</t>
  </si>
  <si>
    <t>Identificación del producto involucrado para posterior reenvasado</t>
  </si>
  <si>
    <t>Error de Medición: se detectó en el registro resultados deviados sin AC</t>
  </si>
  <si>
    <t>MS00323TT162124</t>
  </si>
  <si>
    <t xml:space="preserve">Desviación de temperatura en Marraqueta de L2 generando proceso de condensación en el producto </t>
  </si>
  <si>
    <t>Problemas en el funcionamiento de motores de 2 ventiladores de La Anaconda de L2</t>
  </si>
  <si>
    <t>Se Bloquea el producto, se da golpe de frio al producto involucrado se da aviso a los supervisores de panaderia para la separación del producto involucrado y su posterior reenvasado</t>
  </si>
  <si>
    <t>Se detiene la linea 2 y equipo de mantención hace revisión de los motores de los ventiladores de la Anaconda de L2</t>
  </si>
  <si>
    <t>AC05823TM113149</t>
  </si>
  <si>
    <t>Victor H.</t>
  </si>
  <si>
    <t>Se detecta en turno Dobladas en linea pizza muy manchadas con hollin en parte inferior, ademas de tener defectos de arrugas considerable</t>
  </si>
  <si>
    <t>Cinta de horno de pizza se encontraba sucia</t>
  </si>
  <si>
    <t>Se realiza aseo de la cinta y se modifican parametros para mejorar apariencia de dobladas y evitar arrugas</t>
  </si>
  <si>
    <t>Manchas de Hollin</t>
  </si>
  <si>
    <t>LS05523TN040539</t>
  </si>
  <si>
    <t>Dastyn Escobar</t>
  </si>
  <si>
    <t>Se detecta incumplimiento de peso indicado en la etiqueta, al inicio del primer monitoreo.</t>
  </si>
  <si>
    <t>Por definir (supervisores)</t>
  </si>
  <si>
    <t>Bloqueo de 17 pallets de lote 53.</t>
  </si>
  <si>
    <t>Pesaje continuo a la salida de línea, devolución de 17 pallets a producción panadería y cambio a lote 54.</t>
  </si>
  <si>
    <t>05301V2</t>
  </si>
  <si>
    <t>Incumplimiento del procedimiento establecido: no se aplicó AC a productos registrados con deficit de gramaje</t>
  </si>
  <si>
    <t>AC05523TT160527</t>
  </si>
  <si>
    <t>Durante turno tarde se deceta desvio de concentracion de gases en producto Hallulla ATM</t>
  </si>
  <si>
    <t>En investigacion se determina que la causa era configurcion erronea en la maquina</t>
  </si>
  <si>
    <t>Se bloquea producto y se detiene produccion hasta ajustar parametros</t>
  </si>
  <si>
    <t>Se ajustan parametros de maquina y se reprocesan productos</t>
  </si>
  <si>
    <t>LS05423TN054627</t>
  </si>
  <si>
    <t>Se detecta en control de gramaje incumplimiento en peso definido para Doblada Lider ATM, verificación dió gramaje inferior a 855g indicado en etiqueta.</t>
  </si>
  <si>
    <t>Desnivelación de rodillos de calibración</t>
  </si>
  <si>
    <t xml:space="preserve">bloqueo de pallet </t>
  </si>
  <si>
    <t>Verificar peso a la salida de envasado variovac en línea, y reproceso</t>
  </si>
  <si>
    <t>EO05423TN042738</t>
  </si>
  <si>
    <t>Desviación de Temperatura en el Monitoreo del PCC4</t>
  </si>
  <si>
    <t>Falla en sensor de banda espiral  de la anaconda. Lo que ocasionó aumento de Temperatura de enfriamiento.</t>
  </si>
  <si>
    <t>Identificación y bloqueo del producto involucrado</t>
  </si>
  <si>
    <t>Se aplicó golpe de frío con bolsas fuellas abiertas para evitar condensación</t>
  </si>
  <si>
    <t>054L3</t>
  </si>
  <si>
    <t>LS05323TN050459</t>
  </si>
  <si>
    <t xml:space="preserve">Film Presenta impresion que no permite lectura correcta de las tacas </t>
  </si>
  <si>
    <t>Defecto de fabrica</t>
  </si>
  <si>
    <t>bloqueo y devolución a bodega de 5 bobinas( 72,5 Kg) que fue entregado a producción envasado variovac 2 en el turno noche</t>
  </si>
  <si>
    <t>Yesenia por favor realizar reclamo a proveedor</t>
  </si>
  <si>
    <t>LS05323TN030102</t>
  </si>
  <si>
    <t>Se detecta a inicio de toma de control de gramaje incumplimiento en peso definido para Hallulla Lider ATM, verificación dió gramaje inferior a 900 g indicado en etiqueta.</t>
  </si>
  <si>
    <t xml:space="preserve">Verificar peso a la salida de envasado variovac en línea, devolución de 239Kg a producción panadería </t>
  </si>
  <si>
    <t>005201V2</t>
  </si>
  <si>
    <t>LS05223TN042852</t>
  </si>
  <si>
    <t>Dany Ruiz</t>
  </si>
  <si>
    <t>Se detecta incumplimiento con temperatura de enfriamiento a salida de la anaconda de empaque empanada</t>
  </si>
  <si>
    <t>Se envía pallets bloqueados inmediatamente a cámara -20, se revisa curva de temperatura de anaconda y de horno estándo estable dentro de los parámetros establecidos.</t>
  </si>
  <si>
    <t>toda la producción va a congelación.</t>
  </si>
  <si>
    <t>EO05123TN041336</t>
  </si>
  <si>
    <t>C. Meza</t>
  </si>
  <si>
    <t>Se detectó desvío de Temperatura en el PCC4, con valores por encima de los 20°C.</t>
  </si>
  <si>
    <t xml:space="preserve">Por definir en conjunto personal de mantención, calidad y producción en un tiempo máximo de 48Hrs		</t>
  </si>
  <si>
    <t xml:space="preserve">Identificación y Bloqueo del producto involucrado	</t>
  </si>
  <si>
    <t>Golpe de Frío con Bolsas abiertas en camara de Congelados de L4.</t>
  </si>
  <si>
    <t>FB04823TN044754</t>
  </si>
  <si>
    <t>Film termo 780x0,060MM con defectos en el cono, por lo que no se puede usar en la envasadora.</t>
  </si>
  <si>
    <t>Se bloquea film</t>
  </si>
  <si>
    <t>CV04623TT045117</t>
  </si>
  <si>
    <t>Por falla en cinta de anaconda parte de la línea se desmonta, deteniendo línea de productiva.</t>
  </si>
  <si>
    <t>Se rompe parte de varilla que soporta cinta sprocket de anaconda.</t>
  </si>
  <si>
    <t>Se bloquea semielaborado magdalena vainilla</t>
  </si>
  <si>
    <t>Realizar mantenciones preventivas para que no se vuelva ocurrir este problema</t>
  </si>
  <si>
    <t>CV04623TT044218</t>
  </si>
  <si>
    <t>Se presenta falla en anaconda, la cinta se desmonta trabandose y parte de esta cae al suelo, afectando al producto.</t>
  </si>
  <si>
    <t>Se rompe varilla de soporte de cinta sprocket desmontandose de una lado</t>
  </si>
  <si>
    <t>Se bloquea producto terminado ya que llevaban más de 4 horas en interior de anaconda con riesgo inocuidad y microbiologico</t>
  </si>
  <si>
    <t>Realizar mantenciones preventivas para evitar estos inconvenientes.</t>
  </si>
  <si>
    <t>LS04623TM130636</t>
  </si>
  <si>
    <t xml:space="preserve">Descalibración de detector de metales </t>
  </si>
  <si>
    <t>mala manipulación de equipo</t>
  </si>
  <si>
    <t xml:space="preserve">bloqueo de producto, se da aviso a mantención, se revisa el equipo </t>
  </si>
  <si>
    <t>calibración de equipo</t>
  </si>
  <si>
    <t>Mantención informó descalibración del detector por manipulación incorrecta</t>
  </si>
  <si>
    <t>AC04523TN011735</t>
  </si>
  <si>
    <t>Evangely Jara</t>
  </si>
  <si>
    <t>Totem de huevo liquido viene con defecto en valvula lo que ocasiona que se derrame considerable cantidad de MMPP en piso de bodega de productos de refrigerados.</t>
  </si>
  <si>
    <t>Totem viene con defecto en valvula</t>
  </si>
  <si>
    <t>Estimada Yesenia Ventura favor cursar reclamo a proveedor para cambio de totem</t>
  </si>
  <si>
    <t>Valvula mal apretado</t>
  </si>
  <si>
    <t>MS04423TT182803</t>
  </si>
  <si>
    <t xml:space="preserve">Evelin Guzman </t>
  </si>
  <si>
    <t>Pizza salame lote 044 con fecha de vencimiento incorrecta (15/03/2023)</t>
  </si>
  <si>
    <t>Error de la operadora no verifica fecha de vencimiento correspondiente al lote juliano 044 de pizza salame</t>
  </si>
  <si>
    <t xml:space="preserve">Se Bloquea el producto </t>
  </si>
  <si>
    <t xml:space="preserve">Se solicita reenvasado del producto de pizza salame con la fecha correcta correspondiente al lote juliano y al producto. </t>
  </si>
  <si>
    <t>LS04423TM133118</t>
  </si>
  <si>
    <t>G. Cadeus</t>
  </si>
  <si>
    <t>Desviación de temperatura en Doblada saliendo de anaconda L3 a empaque, presentaba 22,4°C</t>
  </si>
  <si>
    <t>Falla desapercibida en equipo de frio anaconda L3.</t>
  </si>
  <si>
    <t xml:space="preserve">Se bloquea 29 bandejas que presentaba desviación de temperatura </t>
  </si>
  <si>
    <t>Se da golpe de frio.</t>
  </si>
  <si>
    <t>CV04423TT173520</t>
  </si>
  <si>
    <t>CHERY CHERLY</t>
  </si>
  <si>
    <t xml:space="preserve">Incumplimiento de llenado de registro de PCC 6 Detector de metales. </t>
  </si>
  <si>
    <t>Falta de llenado de formato por parte de enargada de empaque bollería. útlimo control anotado a las 12:30 pm y la verificación de calidad fue a las 16:00 pm</t>
  </si>
  <si>
    <t xml:space="preserve">Bloqueo del producto desde el último control en cumplimiento. </t>
  </si>
  <si>
    <t xml:space="preserve">Pasar todo el producto nuevamente por el detector de metales. </t>
  </si>
  <si>
    <t>YR15323TN060016</t>
  </si>
  <si>
    <t xml:space="preserve">L. Ramírez </t>
  </si>
  <si>
    <t>No Se cumple con frecuencia de monitoreo de PCC Nº6 Detector de metales, PCCNº4 Enfriamiento P2, ùltimo monitoreo en cumplimiento 00:10 am</t>
  </si>
  <si>
    <t xml:space="preserve">Aviso a TPM de área, bloqueo de 2 pallets del producto involucrado. </t>
  </si>
  <si>
    <t xml:space="preserve">PCC Nº6 detector de metales se pasa nuevamente por detector de metales, se verifica acciòn correctiva 05:45 am, PCC Nº 4 Enfriamiento P2, se realiza toma de temperatura de producto según norma Chilena 44  estando en cumplimiento y se solicita curva de temperatura de Anaconda de empanadas. Se anexan imágenes de curva de temperatura </t>
  </si>
  <si>
    <t>EO06123TT192609</t>
  </si>
  <si>
    <t>J. Quijada</t>
  </si>
  <si>
    <t>Se observan cortes en capas en las laminas de film y no permite su uso en la envasadora</t>
  </si>
  <si>
    <t>Falla de Proveedor</t>
  </si>
  <si>
    <t>Identificación y Bloqueo del MMEE involucrado</t>
  </si>
  <si>
    <t>Reclamo a proveedor, Devolución del MMEE con Nota de Crédito</t>
  </si>
  <si>
    <t>CV03323TM162025</t>
  </si>
  <si>
    <t>J.Guevara</t>
  </si>
  <si>
    <t>Resultado de analisis de RAM(Recuento de aerobios mesófilos) sobre los límites establecidos por RSA, art 12.1</t>
  </si>
  <si>
    <t>Debe ser informado por proveedor, entrega de temperaturas en transporte, algún cambio en los procesos de elaboración.</t>
  </si>
  <si>
    <t>Se bloquea Materia Prima y se envia reclamo a proveedor</t>
  </si>
  <si>
    <t>Entregar certificados de resultados microbiologicos</t>
  </si>
  <si>
    <t>Deviación de RAM</t>
  </si>
  <si>
    <t>Error Proveedor</t>
  </si>
  <si>
    <t>LS03323TN061254</t>
  </si>
  <si>
    <t>Desvío de PCC N° 4</t>
  </si>
  <si>
    <t xml:space="preserve">Falla eléctrica en tablero de frecuencia y control anaconda L4. </t>
  </si>
  <si>
    <t>Golpe de frio a producto involucrado  y aviso a mantención</t>
  </si>
  <si>
    <t xml:space="preserve">Se reinicia equipo de frío. </t>
  </si>
  <si>
    <t>CV02423TM150553</t>
  </si>
  <si>
    <t>Desviación de temperatura en anaconda de Línea 2 marraqueta Líder</t>
  </si>
  <si>
    <t>Por deshielo de anaconda afecta a la temperatura de anaconda de frío.</t>
  </si>
  <si>
    <t xml:space="preserve">Se bloquea con cinta amarilla y se envía a cámara de </t>
  </si>
  <si>
    <t>Realizar deshielo en los tiempos muertos de producción (cortes sanitarios, aseos post mantención)</t>
  </si>
  <si>
    <t>AC02323TM171614</t>
  </si>
  <si>
    <t>EO02323TN213415</t>
  </si>
  <si>
    <t>Esmeralda Peña</t>
  </si>
  <si>
    <t>Se solicitó evalución organoléptica para usar MMPP en su día de vencimiento, sin embargo la evaluación de la MP presento olor no caracterítico por lo que no se autorizó el su uso.</t>
  </si>
  <si>
    <t>MMPP vencida: no considerado adecuadamente dentro de planificación para usar antes del vencimiento</t>
  </si>
  <si>
    <t>Bloqueo de MMPP, se informa a colaboradora encarga que no puede usarse por desviación organolética</t>
  </si>
  <si>
    <t>Reforzar el uso adecuado del FIFO para el consumo adecuado y oportuno de las MMPP</t>
  </si>
  <si>
    <t>CV01623TT083354</t>
  </si>
  <si>
    <t xml:space="preserve">Falla en empaquetadura de moldes de envasado de pizza Pepperoni Líder </t>
  </si>
  <si>
    <t>Rompimiento de empaquetadura</t>
  </si>
  <si>
    <t>Se detiene línea de envasado para revisión de empaquetadura</t>
  </si>
  <si>
    <t>Se bloquean desde el último control en cumplimiento para reenvasado luego de proceder con los 8 ciclos para verificación de mezcla de gases</t>
  </si>
  <si>
    <t>YR24423TN061057</t>
  </si>
  <si>
    <t>G. Joaquin</t>
  </si>
  <si>
    <t xml:space="preserve">Desviacion de PCC 6 Detector de metales P2 Linea 1, Se realiza monitoreo no detectando patron de acero inoxidable. </t>
  </si>
  <si>
    <t xml:space="preserve">No se determina. Se presume sistema de detector  necesita calibracion. </t>
  </si>
  <si>
    <t xml:space="preserve">Aviso a supervisor de turno, se realiza llamado a personal de mantencion. Pero no se logra evaluar que sucede </t>
  </si>
  <si>
    <t>Identificacion y bloqueo del producto desde el ultimo control en cumplimiento.</t>
  </si>
  <si>
    <t>LS21323TN055445</t>
  </si>
  <si>
    <t>Magdalena tres leche no alcanza altura según ficha técnica y sale al ras del borde del pirotin presentando humedad en su parte interior dando aspecto de estar crudo.</t>
  </si>
  <si>
    <t xml:space="preserve">Al cambiar de lote de granomix se observa mejoras, por lo que se bloquea y separa el lote 43451-4 </t>
  </si>
  <si>
    <t>Revisión de funcionamiento de horno, revisión y cambio de lote de granomix usado, separación de producto.</t>
  </si>
  <si>
    <t>LS18223TM155845</t>
  </si>
  <si>
    <t>Carlo Contreras</t>
  </si>
  <si>
    <t>Se evidencia etiqueta inyect borrosa en producto marraqueta manga en tabla nutricional, año de fecha de vencimiento y modo de preparaciòn.</t>
  </si>
  <si>
    <t>Falta de control por personal de etiquetadadora y manteniemiento a etiquetadoras inject.</t>
  </si>
  <si>
    <t>Bloqueo y muestreo segùn norma chilena Nch 44</t>
  </si>
  <si>
    <t>Se destina producciòn a granel multivac. Se cambia a etiquetado manual con sato.</t>
  </si>
  <si>
    <t>FB15223TT195835</t>
  </si>
  <si>
    <t>Error en Inkject por Fecha de Vencimiento en pizza Vegetariana</t>
  </si>
  <si>
    <t>Se realizó reetiquetado borrando Inkject y colocando un sato previamente liberado por calidad</t>
  </si>
  <si>
    <t>AC06023TM131510</t>
  </si>
  <si>
    <t>Carolain A.</t>
  </si>
  <si>
    <t>Se detecta en turno mañana error de etiquetado el producto Hallulla ATM Lote 058 en Variovac Pan, el cual tenia error en el peso 1,2 Kg ( son 900 g)  en investigacion se detecta que el error estuvo durante turno noche y la etiqueta no fue liberada, ademas se detecta otra etiqueta con error de tabla nutricional.</t>
  </si>
  <si>
    <t xml:space="preserve">Error en impresion de etiquetas , una gramaje erroneo y otra en tabla nutricional. </t>
  </si>
  <si>
    <t>Se bloquea producto, se realiza investigacion</t>
  </si>
  <si>
    <t>Se bloquea producto, se reprocesan 3 pallet de turno mañana, quedan bloqueados 27 pallets turno noche y tarde pendientes por reprocesar.</t>
  </si>
  <si>
    <t>PÑ36322TT211604</t>
  </si>
  <si>
    <t>Nicol casanova</t>
  </si>
  <si>
    <t>no se realizo control pcc</t>
  </si>
  <si>
    <t>falta de personal</t>
  </si>
  <si>
    <t>identificacion del producto con cinta amarilla</t>
  </si>
  <si>
    <t>pasar todo el producto por el detector de metales</t>
  </si>
  <si>
    <t>EO35622TM100717</t>
  </si>
  <si>
    <t>Se presentó desviación de la concentración de Gases en el Producto.</t>
  </si>
  <si>
    <t>Se determinó que la desviación fue porque la medición de gases la está realizando un persona que está en capacitación. Y ya que el procedimiento del RAC-32 noestablece realizar un Remuestreo se procedión con la AC 1 que dicta reenvasar el producto desde el último monitoreo en cumplimiento.</t>
  </si>
  <si>
    <t>Se realizó el bloqueo del Producto Involucrado</t>
  </si>
  <si>
    <t>Reenvasado del producto involucrado</t>
  </si>
  <si>
    <t>EO35522TN131309</t>
  </si>
  <si>
    <t>Se detectó Desviación de la concentración de gases ATM en el producto</t>
  </si>
  <si>
    <t>No se determinó la causa. Pero Luego  se continuó produciendo y el monitoreo de las concentraciones posterior dio confome</t>
  </si>
  <si>
    <t>Se bloqueo el producto involucrado</t>
  </si>
  <si>
    <t>Se reenvaso el producto involucrado</t>
  </si>
  <si>
    <t>MS34822TM145213</t>
  </si>
  <si>
    <t>Natali Madariaga</t>
  </si>
  <si>
    <t xml:space="preserve">Desviación de gases (O2) en Pizza Salame. Mala Práctica en el control del Envasado con Atmósfera modificada. </t>
  </si>
  <si>
    <t>Se bloquea producto, se le notifica a la supervisora Constanza Campos y se ajusta parametros.</t>
  </si>
  <si>
    <t>Se reenvasa PPTT</t>
  </si>
  <si>
    <t>Adulteración de Registros: resultados en registros e historial de equipo de medición no coincidian</t>
  </si>
  <si>
    <t>LS28522TN011434</t>
  </si>
  <si>
    <t>Ruben Plaza</t>
  </si>
  <si>
    <t xml:space="preserve">Producto retenido en anaconda por 4 horas </t>
  </si>
  <si>
    <t>Falla en cabezal segmento 5 y 6 de cinta Robot L4</t>
  </si>
  <si>
    <t xml:space="preserve">Bloqueo de 8 pallets y 6 bandejas de marraqueta </t>
  </si>
  <si>
    <t>PT/SE No Conforme</t>
  </si>
  <si>
    <t>AC25522TM082018</t>
  </si>
  <si>
    <t>Se solicita revisar Huevo liquido Pasteurizado de empanadas en su ultimo dia de vida util para ser utilizado en bolleria, se revisan bidones y se encuentran con desviacion organoleptica ( mal olor) por lo que no puede ser usado para producciòn</t>
  </si>
  <si>
    <t>Bidones utilizados en empanada , posible perdida de cadena de frio</t>
  </si>
  <si>
    <t>Se bloquea dolly con bidones</t>
  </si>
  <si>
    <t>AC25522TM080746</t>
  </si>
  <si>
    <t>Jose</t>
  </si>
  <si>
    <t>Se revisa Totem de huevo liquido pasteurizado en cual se encuentra con alteracion organoleptica ( Mal olor)</t>
  </si>
  <si>
    <t>Se encuentra en el ultimo dia de vida util, posible perdida de cadena de frio</t>
  </si>
  <si>
    <t>Se bloquea Totem, no se permite su uso.</t>
  </si>
  <si>
    <t>Se destina a merma, favor indicar cantidad de producto en el totem</t>
  </si>
  <si>
    <t>Perdida de propiedades</t>
  </si>
  <si>
    <t>CV32122TN001324</t>
  </si>
  <si>
    <t>Totem de huevo lìquido pasteurizado presenta falla en la cañeria de coneccion a manguera de transporte hcia zona de mezcla.</t>
  </si>
  <si>
    <t>Deficiencia por defecto estructural de la coneccion provocando que se derrame al piso, contaminando el sector.</t>
  </si>
  <si>
    <t>Se bloquea totem y se debe generar reclamo a proveedor.</t>
  </si>
  <si>
    <t xml:space="preserve">Proveedor debe realizar mejoras durante al transporte y traslado de la MMPP  </t>
  </si>
  <si>
    <t>PÑ32122TN052647</t>
  </si>
  <si>
    <t>Marraqueta presenta problemas con corte central y greña lateral pronunciada.</t>
  </si>
  <si>
    <t>problemas de vapor en el horno</t>
  </si>
  <si>
    <t>separacion e identificacion del producto comprometido.</t>
  </si>
  <si>
    <t>detencion de linea y revision del problema en el equipo.</t>
  </si>
  <si>
    <t>Aspecto No Característico</t>
  </si>
  <si>
    <t>MS31822TM123149</t>
  </si>
  <si>
    <t>Desviaciòn de gases  en la marraqueta ATM, debido a que presento fallas la Multivac 1 despues del  corte de luz en la planta 2.</t>
  </si>
  <si>
    <t>Falla  de la Multivac 1,  despues del corte de luz en la planta 2.</t>
  </si>
  <si>
    <t xml:space="preserve">Se bloquea el PPTT, se ajusta los controles de la Multivac 1, se realiza  mediciones del PPTT despues de realizar ajustes encontrandose dentro de los pàrametros </t>
  </si>
  <si>
    <t xml:space="preserve">Se ajustan los controles de la Multivac 1, se realizan mediciones nuevamnte despues del ajuste encontrandose dentro de los parametros. </t>
  </si>
  <si>
    <t>PP31023TM140224</t>
  </si>
  <si>
    <t xml:space="preserve">segundo tropa </t>
  </si>
  <si>
    <t xml:space="preserve">Se bloquea tres bins de masa debido a que estan guardando masa de panaderia en camara y este proceso no esta validado , se revisa temperatura 1,0 ºC y condiciones de la masa , presenta condensacion en el film con el que fue cubierto </t>
  </si>
  <si>
    <t xml:space="preserve">Mala practica </t>
  </si>
  <si>
    <t xml:space="preserve">Bloqueo de  la masa </t>
  </si>
  <si>
    <t xml:space="preserve">Notificar a supervisor en turno de la mala practica, informar a operador que no se debe utilizar esta masa debido que no esta abalado el procedimiento. </t>
  </si>
  <si>
    <t>EO30122TM124739</t>
  </si>
  <si>
    <t>C. Mella</t>
  </si>
  <si>
    <t>Se detectó durante el Monitoreo de PCC que a las 10:30 El producto presentaba desviación de la concentración de Oxígeno y Dióxido de Carbono.</t>
  </si>
  <si>
    <t>Se indicó que el Film se movió de su posición y se cambiarón las parámentros a esta Hora (10:30) porque estaban saliendo muy apretadas las marraquetas</t>
  </si>
  <si>
    <t>Se Bloqueó el Producto Involucrado desde la ultima medición y se avisó a Maquinista para realizar Ajustes en la envasadora</t>
  </si>
  <si>
    <t>Se ajustaron los puntos de desactivación de  gas y de vacío. Además se reenvaso el producto afectado</t>
  </si>
  <si>
    <t>MS29822TN010805</t>
  </si>
  <si>
    <t>María Flores</t>
  </si>
  <si>
    <t xml:space="preserve">Queso Mozzarella con presencia de hongo </t>
  </si>
  <si>
    <t xml:space="preserve">Proveedor </t>
  </si>
  <si>
    <t>Se bloquea la materia prima</t>
  </si>
  <si>
    <t>Reclamo a proveedor y devolución.</t>
  </si>
  <si>
    <t>JM29722TM111719</t>
  </si>
  <si>
    <t>Pizza española</t>
  </si>
  <si>
    <t>Desvio del PCC5 ATM concetraciòn de oxigeno fuera del limite critico resultado 1,7%</t>
  </si>
  <si>
    <t>Parametro de vacio al 70mbar generando concentraciòn de oxigeno desviado</t>
  </si>
  <si>
    <t>Bloqueo y revisiòn de parametros de la selladora</t>
  </si>
  <si>
    <t>Se ajusta el vacio bajando de 70mbar a 50mbar</t>
  </si>
  <si>
    <t>FB29022TM090256</t>
  </si>
  <si>
    <t>Carolaine Aguilera</t>
  </si>
  <si>
    <t>Mancha blanca por encima de la Impresion, provocando que no sea legible la tabla nutricional, sellos alimenticios, logos de reciclajes y codigo de barra</t>
  </si>
  <si>
    <t>AC29022TM121303</t>
  </si>
  <si>
    <t>Se envasa Pizza Salame lote 290 con concentraciones de CO2 no correspondientes ( entre 45% y 55%)</t>
  </si>
  <si>
    <t>Operadoras indican que debido al cambio de dias de Vida Util de Pizza Salame (20 Dias) los parametros de Gases habian cambiado como la pizza vegetariana que tiene 20 dias de vida util</t>
  </si>
  <si>
    <t>Se Bloquea producto elaborado hasta las 11:00 donde se ajusta la concentracion de CO2</t>
  </si>
  <si>
    <t>Se solicita reproceso</t>
  </si>
  <si>
    <t>EO28822TT183912</t>
  </si>
  <si>
    <t xml:space="preserve">Se detectó que la MP presentaba color y sabor No Caracterísiticos. </t>
  </si>
  <si>
    <t xml:space="preserve">Corresponde al Proveedor </t>
  </si>
  <si>
    <t>Identificación y bloqueo de la MP involucrada</t>
  </si>
  <si>
    <t>Devolución y Reclamo a proveedor</t>
  </si>
  <si>
    <t>41501-2</t>
  </si>
  <si>
    <t>MS28722TM132935</t>
  </si>
  <si>
    <t>Carla Rubilar</t>
  </si>
  <si>
    <t>Se observa  el pino empanada coctel pollo con cosistencia mas liquida, teniendo un porcentaje de humedad de 8% ( mayor a lo habitual)</t>
  </si>
  <si>
    <t xml:space="preserve">Se boloquea la materia prima </t>
  </si>
  <si>
    <t>Reclamo al proveedor y devoluciòn con Nota de crèdito</t>
  </si>
  <si>
    <t>LS22222TT151527</t>
  </si>
  <si>
    <t>Presencia de cúmulos no cárnicos</t>
  </si>
  <si>
    <t>producción de proveedor</t>
  </si>
  <si>
    <t>bloqueo de palet</t>
  </si>
  <si>
    <t>devolución a proveedor</t>
  </si>
  <si>
    <t>EO22222TT192933</t>
  </si>
  <si>
    <t>F. Sagredo</t>
  </si>
  <si>
    <t>Se encontró desviación en el PCC6 (Detector de Metales Variovac 2) porque no se detectaba Patrón Ferroso  en el monitoreo</t>
  </si>
  <si>
    <t>Falla de Funcionamiento en el Detector Metales</t>
  </si>
  <si>
    <t>Bloqueo de Producto Involucrado (desde el último monitoreo en Cumplimiento), Detención de Línea y Aviso a Personal de Mantención.</t>
  </si>
  <si>
    <t>Calibración de Detector de Metales, Reproceso del Producto Involucrado</t>
  </si>
  <si>
    <t>PCC6</t>
  </si>
  <si>
    <t>CV26922TT153927</t>
  </si>
  <si>
    <t>Al momento de ir a verificar temperatura de PT Marraqueta de Lìnea2, este se encuentra con exceso de humedad en bolsa fuelle embalaje.</t>
  </si>
  <si>
    <t>Anaconda no se activò para el proceso de enfriamiento del semi elaborado marraqueta, afectando a la salida de esta con temperatura sobre el lìmite establecido.</t>
  </si>
  <si>
    <t>PT que se encuentra en despacho, se bloquean 6 pallets con marraqueta humeda, bolsa humeda.</t>
  </si>
  <si>
    <t>Activar frìo de evaporadores de anaconda L2 antes de iniciar producciòn de marraqueta L2</t>
  </si>
  <si>
    <t>CV27022TT160545</t>
  </si>
  <si>
    <t>Resultados de analisis de MMPP choclo cocido desgranado con  Escherichia Coli sobre el limite establecido</t>
  </si>
  <si>
    <t>En proceso para realizar investigacion a proveedor Proverde.</t>
  </si>
  <si>
    <t>Se bloquea PT</t>
  </si>
  <si>
    <t>Envio de reclamo a proveedor para que tome AC por evento de desviacion microbiologica</t>
  </si>
  <si>
    <t>CV26922TT163348</t>
  </si>
  <si>
    <t>Resultado de analisis de Escherichia Coli sobre limite establecido</t>
  </si>
  <si>
    <t>Proveedor Proverde debe realizar investigacion y tomar AC de este incidencia microbiologica</t>
  </si>
  <si>
    <t>Se bloquea MMPP choclo cocido desgranado</t>
  </si>
  <si>
    <t>Envio de reclamo a proveedor y tomar AC dentro de 5 dias habiles</t>
  </si>
  <si>
    <t>0822/115-49364</t>
  </si>
  <si>
    <t>CF26922TM153254</t>
  </si>
  <si>
    <t>Desir</t>
  </si>
  <si>
    <t xml:space="preserve">Se detectó que operario al activarse sistema de detecciòn y rechazo de detector L5, él da funcionamiento nuevamente, sin realizar el procedimiento correspondiente. </t>
  </si>
  <si>
    <t>Error operacional del operario Desir</t>
  </si>
  <si>
    <t xml:space="preserve">Capacitaciòn al personal </t>
  </si>
  <si>
    <t xml:space="preserve">Se bloquea producto de toda la mañana y se debe pasar nuevamente por el detector de metales </t>
  </si>
  <si>
    <t>Incumplimiento del procedimiento establecido: no se descartó falsos positivos en detector</t>
  </si>
  <si>
    <t>CF26922TM150657</t>
  </si>
  <si>
    <t>Desviacion de PCC N`4</t>
  </si>
  <si>
    <t>TPM de panaderia no prende el frio de la amaconda 2 de L2, y producto comienza a salir a 25,8`C</t>
  </si>
  <si>
    <t>Se da aviso a TPM para prender el frío de la anaconda, se bloquea el producto.</t>
  </si>
  <si>
    <t xml:space="preserve">Se le da un golpe de frío en camara -20, evaluandose dentro de 2 horas. </t>
  </si>
  <si>
    <t>Omisión de procedimiento: TPM no encendió equipo de refrigeración de Anaconda</t>
  </si>
  <si>
    <t>N.Madariaga</t>
  </si>
  <si>
    <t>Pan Hallulla intense presenta condensaciòn en envase primario antes de envasar a ATM.</t>
  </si>
  <si>
    <t>Desvio de temperatura en anaconda 2</t>
  </si>
  <si>
    <t xml:space="preserve">Se bloquea el producto con defecto y se selecciona para envasar en variovac 2 </t>
  </si>
  <si>
    <t xml:space="preserve">Se revisan </t>
  </si>
  <si>
    <t>PÑ26622TN054913</t>
  </si>
  <si>
    <t>desviacion de textura fuera de parametros</t>
  </si>
  <si>
    <t>error operacional</t>
  </si>
  <si>
    <t>bloqueo del producto y seguimiento</t>
  </si>
  <si>
    <t>capacitacion al personal</t>
  </si>
  <si>
    <t>Lotes: 265 y 266</t>
  </si>
  <si>
    <t>EO25622TT192039</t>
  </si>
  <si>
    <t>C. Aguilera</t>
  </si>
  <si>
    <t>Se detectó desvío en el Funcionamiento del sistema de rechazo del Detector de Metales</t>
  </si>
  <si>
    <t>Desvío en la sincronización del sistema de detección y la activación del brazo de rechazo</t>
  </si>
  <si>
    <t>Bloqueo de Producto involucrado, aviso a Mantención para su intervención en el detector de Metales</t>
  </si>
  <si>
    <t>Detención de Línea hasta la resolución del Desvío y reproceso del Producto involucrado (pasar nuevamente por detector)</t>
  </si>
  <si>
    <t>LS22122TT194020</t>
  </si>
  <si>
    <t>Color y olor no caracterìstico</t>
  </si>
  <si>
    <t>Pèrdida de cadena frìo</t>
  </si>
  <si>
    <t>bloqueo de 125kg de MMPP en sala</t>
  </si>
  <si>
    <t>CV22122TT170605</t>
  </si>
  <si>
    <t>Se detecta que equipo detector de metales no detecta patron ferroso y no funciana descarte de cinta.</t>
  </si>
  <si>
    <t>Falla en funcinamiento de equipo detector y mecanismo que hace descarte (cinta)</t>
  </si>
  <si>
    <t>Se bloquea producto involucrado</t>
  </si>
  <si>
    <t>Se hacen ajustes en detector de metales y mecanismo de rechazo</t>
  </si>
  <si>
    <t>LS24122TT181349</t>
  </si>
  <si>
    <t>Presencia de cabello en MMPP y suciedad por fuera de empaque.</t>
  </si>
  <si>
    <t>BPM deficiente de proveedor</t>
  </si>
  <si>
    <t>Bloqueo</t>
  </si>
  <si>
    <t>cambio de lote de MMPP</t>
  </si>
  <si>
    <t>0722/695-47304</t>
  </si>
  <si>
    <t>JM24122TM153020</t>
  </si>
  <si>
    <t>N. Desir</t>
  </si>
  <si>
    <t>Desviación de la concentración de oxigeno por encima del limite permitido</t>
  </si>
  <si>
    <t>Se cae interruptor de vacio por perdida de energia electrica</t>
  </si>
  <si>
    <t>Bloqueo de PT y revisón de parametros de vacio</t>
  </si>
  <si>
    <t>Encendido del interruptor de vacio</t>
  </si>
  <si>
    <t>MS23522TM145737</t>
  </si>
  <si>
    <t>Se observa mal sellado en la Hallulla Club House</t>
  </si>
  <si>
    <t xml:space="preserve">La desviación fue provocada por el uso de las placas de los moldes desgastadas. </t>
  </si>
  <si>
    <t xml:space="preserve">Bloqueo del producto involucrado, se informa a la encargada de la línea y a mantención. </t>
  </si>
  <si>
    <t>Cambio de placas de moldes y reenvasado del producto.</t>
  </si>
  <si>
    <t>MS23522TM145316</t>
  </si>
  <si>
    <t>Se observa mal sellado en Hallulla Lider</t>
  </si>
  <si>
    <t>La desviación fue provocada por el uso de las placas de los moldes desgastadas.</t>
  </si>
  <si>
    <t xml:space="preserve">Bloqueo del producto involucrado y se informa a la encargada de la linea y a mantención. </t>
  </si>
  <si>
    <t>Cambio de placas de moldes y reenvasado del producto</t>
  </si>
  <si>
    <t>LS23022TM154736</t>
  </si>
  <si>
    <t>Franciasca Castro</t>
  </si>
  <si>
    <t xml:space="preserve">Presencia de hongo </t>
  </si>
  <si>
    <t xml:space="preserve">BPM deficiente </t>
  </si>
  <si>
    <t>bloqueo y cambio de lote</t>
  </si>
  <si>
    <t>221018G</t>
  </si>
  <si>
    <t>EO23022TT200200</t>
  </si>
  <si>
    <t>N/A</t>
  </si>
  <si>
    <t>Se detectó MP con textura no característica (Presencia de grumos o nervios que dificultan su dosificación).</t>
  </si>
  <si>
    <t>Corresponde al Proveedor</t>
  </si>
  <si>
    <t>Bloqueo de la Stock Disponible de MP</t>
  </si>
  <si>
    <t>Reclamo al Proveedor, Devolución de MP No Conforme y Reposición de MP</t>
  </si>
  <si>
    <t>PÑ23022TM130410</t>
  </si>
  <si>
    <t>se realiza hallazgo de gorgojos en producto elaborado</t>
  </si>
  <si>
    <t>se detecta foco de plaga en la zona de fermentadora linea 2</t>
  </si>
  <si>
    <t>se detiene la producccion , se identifica el producto comprometido, se informa a la empresa de plagas para tomar las acciones preventivas.</t>
  </si>
  <si>
    <t>se comienza a desarmar la zona con empresa externa para realizar limpieza profunda, se solicita a empresa de plagas para crear plan preventivo.</t>
  </si>
  <si>
    <t>EO22822TT185246</t>
  </si>
  <si>
    <t>S. Opazo</t>
  </si>
  <si>
    <t>Se detectó error en la fecha de vencimiento impresa por inkject en el empaque del producto de una de las envasadoras</t>
  </si>
  <si>
    <t>No se verificó adecuadamente la información de trazabilidad al partir con la envasadora, y en el RAC-112 no se realizó el control a ambas envasadoras sino a una de ellas</t>
  </si>
  <si>
    <t>Bloqueo del Producto involucrado</t>
  </si>
  <si>
    <t>Reproceso del producto borrando datos de inkject y reemplazando por un sato previamente liberado por Calidad</t>
  </si>
  <si>
    <t>FB25122TM125549</t>
  </si>
  <si>
    <t xml:space="preserve">Mala impresión del Film </t>
  </si>
  <si>
    <t>FB25122TM125548</t>
  </si>
  <si>
    <t>Desprendimiento entre capaz</t>
  </si>
  <si>
    <t>MS22122TN042751</t>
  </si>
  <si>
    <t xml:space="preserve">Se observa manchas blancas de moho en salame vela </t>
  </si>
  <si>
    <t>Por determinar.</t>
  </si>
  <si>
    <t>Se bloquea producto y se da aviso a analistas de turno mañana para consultar con proveedor.</t>
  </si>
  <si>
    <t>Yesenia hacer reclamo a proveedor.</t>
  </si>
  <si>
    <t>VU-206</t>
  </si>
  <si>
    <t>FB18922TT211858</t>
  </si>
  <si>
    <t>No Aplica</t>
  </si>
  <si>
    <t>presencia de listeria</t>
  </si>
  <si>
    <t>corresponde al Proveedor</t>
  </si>
  <si>
    <t>se bloquea la materia prima</t>
  </si>
  <si>
    <t xml:space="preserve">devolucion a proveedor de materia prima contaminada y solicitud de reposicion </t>
  </si>
  <si>
    <t>FB15922TT183719</t>
  </si>
  <si>
    <t xml:space="preserve">se observa aspecto no caracteristico en color, textura sabor y apariencia del producto semielaborado </t>
  </si>
  <si>
    <t>reseta erronia ( Ingrediente faltante o adicional )</t>
  </si>
  <si>
    <t>bloqueo del producto involucrado, se le dio aviso al supervisor del Area</t>
  </si>
  <si>
    <t>merma e inspeccion en linea del aspecto del producto semielaborado para descarta cualquier producto desviado</t>
  </si>
  <si>
    <t>CV20722TT165808</t>
  </si>
  <si>
    <t>Secdetectò funcionamiento deficiente del equipo detector de metales(no detectaba patron ferroso y no funcionaba mecanismo de rechazo)</t>
  </si>
  <si>
    <t>Falla en detector, calibraciòn deficiente</t>
  </si>
  <si>
    <t>Se bloquea producto involucrado y se da aviso a mantenciòn.</t>
  </si>
  <si>
    <t>Calibraciòn del detector por parte de personal de Mantenimiento, se aumenta la frecuencia de monitoreo cada 1 hora por cuatro horas.</t>
  </si>
  <si>
    <t>MS20622TM152219</t>
  </si>
  <si>
    <t>Huevo liquido con mal olor y color no caracteristico</t>
  </si>
  <si>
    <t>se bloquean 5 bidondes (25 kg en total), se revisa resto del lote y se encontraba en buen estado.</t>
  </si>
  <si>
    <t>AC20222TN054117</t>
  </si>
  <si>
    <t>E. Jara</t>
  </si>
  <si>
    <t>Presuntivo de Salmonella en MMPP</t>
  </si>
  <si>
    <t>MMPP contaminada desde proveedor</t>
  </si>
  <si>
    <t>Se bloquea lote involucrado en bodega</t>
  </si>
  <si>
    <t>2823021-1</t>
  </si>
  <si>
    <t>CF20222TM170231</t>
  </si>
  <si>
    <t>No aplica</t>
  </si>
  <si>
    <t xml:space="preserve">Desviación organoleptica informada por proveedor. </t>
  </si>
  <si>
    <t>Corresponde a proveedor</t>
  </si>
  <si>
    <t>Bloqueo del stock disponible del lote indicado</t>
  </si>
  <si>
    <t>Reclamo y devolución</t>
  </si>
  <si>
    <t>CF20222TM164905</t>
  </si>
  <si>
    <t>Augustín Joubert</t>
  </si>
  <si>
    <t>Desviasión organoleptica informada por proveedor Mulpan en jamón juliana artesanal</t>
  </si>
  <si>
    <t>Producto contienela materia prima con desviasión organoleptica informada por el proveedor que debiía ser retenida</t>
  </si>
  <si>
    <t>Se genera reclamo a proveedor</t>
  </si>
  <si>
    <t>CV20222TT195822</t>
  </si>
  <si>
    <t>J. Rain</t>
  </si>
  <si>
    <t>Desviacion de la concentracion de gases de PCC-5</t>
  </si>
  <si>
    <t>Se ve afectado por deficiencia del vacío en la variovac 1</t>
  </si>
  <si>
    <t xml:space="preserve">Se bloquea PT </t>
  </si>
  <si>
    <t>Ajuste del vacío y reenvasado del producto involucrado</t>
  </si>
  <si>
    <t>FB28022TN024320</t>
  </si>
  <si>
    <t>Incumplimiento de Procedimiento para generar reclamo</t>
  </si>
  <si>
    <t>LS28022TM170534</t>
  </si>
  <si>
    <t>Desvio en PCC Nª5 control ATM, gases oxìgeno mayor a 2%</t>
  </si>
  <si>
    <t>error operacional en el vacio</t>
  </si>
  <si>
    <t>bloqueo de 4 pallets desde último control</t>
  </si>
  <si>
    <t>ajuste de vacio en envasadora</t>
  </si>
  <si>
    <t>LS28022TM161628</t>
  </si>
  <si>
    <t>Bruno Aqueveque</t>
  </si>
  <si>
    <t>Rechazo de producto por detector de metales A1,A3 y  A5. Pase de producto MARRAQUETA PILOTO con receta 36-PA-MQ</t>
  </si>
  <si>
    <t>rechazo de producto por baja sensibilidad de detector.</t>
  </si>
  <si>
    <t>bloqueo de 1900kg de Marraqueta piloto, aviso a superviso y a mantención.</t>
  </si>
  <si>
    <t xml:space="preserve">se cambia de patrón no ferroso de 3.5mm a 5 mm </t>
  </si>
  <si>
    <t>CV12722TM004836</t>
  </si>
  <si>
    <t>No realiza control de sellado (inmersiòn de envase de PT) para detectar micro fugas.</t>
  </si>
  <si>
    <t>Operador no administra tiempo adecuadamente para realizar el control</t>
  </si>
  <si>
    <t>Bloqueo de PT involucrado</t>
  </si>
  <si>
    <t>Se re envasa PT involucrado</t>
  </si>
  <si>
    <t>Incumplimiento del procedimiento establecido: no se realizó inmersión en el monitoreo de PCC5</t>
  </si>
  <si>
    <t>CV18022TM162823</t>
  </si>
  <si>
    <t>N.Desir</t>
  </si>
  <si>
    <t>Falla de sellado</t>
  </si>
  <si>
    <t>La temperatura de sellado sobre parámetros provocó rotura de empaquetadura</t>
  </si>
  <si>
    <t>Se bloquea producto involucrado, aviso a mantención y detención de envasadora hasta encontrar causa raíz.</t>
  </si>
  <si>
    <t>Reenvasado de producto involucrado, se cambia empaquetadura dañada</t>
  </si>
  <si>
    <t>AC16722TM131128</t>
  </si>
  <si>
    <t>Nathalie Desir</t>
  </si>
  <si>
    <t>Se observa defecto de ondulaciones a los lados en film fondo en produccion de Hallulla ATM, que ocasionaba microfugas.</t>
  </si>
  <si>
    <t xml:space="preserve">Se bloquea lote de Film Fondo  </t>
  </si>
  <si>
    <t xml:space="preserve">Cursar reclamo al proveedor para devolucion y reposicion </t>
  </si>
  <si>
    <t>18-04-22</t>
  </si>
  <si>
    <t>AC16722TM114730</t>
  </si>
  <si>
    <t>Se observa defecto de sellado en Hallulla ATM de Variovac Pan</t>
  </si>
  <si>
    <t>Mantenimiento y Desarrollo determinan que era producto de lote de Film fondo con ondulaciones en uno de los lados lo cual causaba el defecto recurrente.</t>
  </si>
  <si>
    <t>Se bloquea la linea, Se revisan los pallets producidos durante el turno segun norma chilena 44 encontrando desviaciones . Se da aviso a mantenimiento y se solicita apoyo de Eduardo Garrido de Desarrollo.</t>
  </si>
  <si>
    <t>Reenvasado de producto involucrado, Bloqueo del stock disponible del lote 18-04-22 de Film fondo</t>
  </si>
  <si>
    <t>Defecto en Film</t>
  </si>
  <si>
    <t>CV21822TN130531</t>
  </si>
  <si>
    <t>Por descuido maquinista se equivoca de acuerdo a lote y fecha digitar en inkject</t>
  </si>
  <si>
    <t>Se equivoca por la vida ùtil del producto</t>
  </si>
  <si>
    <t>Se bloquea PT desde el ùltimo control en cumplimiento.</t>
  </si>
  <si>
    <t>Se hace retiro de impresiòn inkject con alcohol isopropilico y luego se envia a camara de congelados</t>
  </si>
  <si>
    <t>217 y 218</t>
  </si>
  <si>
    <t>PÑ14322TT153926</t>
  </si>
  <si>
    <t>se detecto desvio del producto respecto a textura y dimensiones.</t>
  </si>
  <si>
    <t>falla en fermentadora L4</t>
  </si>
  <si>
    <t>se identifica el producto involucrado y se da aviso a supervisor ademas de mantencion , se detiene la produccion para revisar el problema .</t>
  </si>
  <si>
    <t>se corrige problema de temperatura y humedad en fermentadora.</t>
  </si>
  <si>
    <t>PÑ14322TT142228</t>
  </si>
  <si>
    <t>M. Toro</t>
  </si>
  <si>
    <t>CF27822TM165319</t>
  </si>
  <si>
    <t xml:space="preserve">Se evidencia desviasiòn de PCC Nº5 de ATM, por envase inferior de producto Hallulla ATM Lider rasgado en turno noche y turno mañana, no se realiza procedimiento por parte de operadora de dar aviso a analista de calidad. </t>
  </si>
  <si>
    <t xml:space="preserve">Bloqueo de 9 palltes de turno noche y 7 palltes de turno mañana, se detiene lìnea. </t>
  </si>
  <si>
    <t>Se cursa NC a àrea de Pizza, interviene mantenimiento para realizar correcciones de la maquina y asì encontrar la causa raiz.</t>
  </si>
  <si>
    <t xml:space="preserve">Incumplimiento del procedimiento establecido: no se avisó a calidad de defecto en envase </t>
  </si>
  <si>
    <t>EO27822TN052646</t>
  </si>
  <si>
    <t>Se Detectó Desviación en la  temperatura  de Enfriamiento del producto a las salida de la anaconda (23°C a 26°C) por encima de Límite crítico (&lt;20°C).</t>
  </si>
  <si>
    <t>Se encontraba en Deshielo la anaconda en el momento de la desviación por lo que la eficiencia de enfriamiento disminuyó.</t>
  </si>
  <si>
    <t>Bloqueo del Producto Involucrado. Aviso a Supervisores de área</t>
  </si>
  <si>
    <t>Se aplico golpe de frío según lo establecido en el PCC4 y se verificó posteriormente la acción correctiva encontrandose el producto conforme.</t>
  </si>
  <si>
    <t>MS24822TT172344</t>
  </si>
  <si>
    <t>Katherin Yañez</t>
  </si>
  <si>
    <t>Mala impresión del Film</t>
  </si>
  <si>
    <t xml:space="preserve">Mala impresión  del Film </t>
  </si>
  <si>
    <t>Se bloquea el lote de la MMPP involucrada y stock disponible</t>
  </si>
  <si>
    <t>CF20222TM164059</t>
  </si>
  <si>
    <t>Desviasión organoleptica informada por proveedor Mylpan en jamón juliana artesanal</t>
  </si>
  <si>
    <t>Producto contiene la materia prima con desviasión organoleptica informada por el proveedor que debía ser retenida.</t>
  </si>
  <si>
    <t xml:space="preserve">Se genera reclamo a proveedor. </t>
  </si>
  <si>
    <t>CF12522TN231944</t>
  </si>
  <si>
    <t>Cámara presentan desviación de temperatura de 10,1°C y MMPP sobre los 5°C presentando exudació</t>
  </si>
  <si>
    <t>Falla de Funcionamiento en la Camara</t>
  </si>
  <si>
    <t>Cámara presentan desviación de temperatura de 10,1°C y MMPP sobre los 5°C presentando exudación. Bloqueo de MP</t>
  </si>
  <si>
    <t>Reparación de Falla, Retroalimentación a Encargados y Merma de MP Involucrada</t>
  </si>
  <si>
    <t>CF12522TN232131</t>
  </si>
  <si>
    <t>Cámara presentan desviación de temperatura de 10,1°C y MMPP sobre los 5°C presentando exudación</t>
  </si>
  <si>
    <t>CF15122TN231414</t>
  </si>
  <si>
    <t>CF12522TN230710</t>
  </si>
  <si>
    <t>cámara presentan desviación de temperatura de 10,1°C y MMPP sobre los 5°C presentando exudación. Bloqueo de MP</t>
  </si>
  <si>
    <t>CF15122TN050056</t>
  </si>
  <si>
    <t>M. Savedra</t>
  </si>
  <si>
    <t>Se da aviso a TPM y a personal de frio para su revisión. Bloqueo de MP</t>
  </si>
  <si>
    <t>CF12522TN231706</t>
  </si>
  <si>
    <t>MS15122TT050430</t>
  </si>
  <si>
    <t>Desviación de temperatura (10,5°C) a la salida de la anaconda</t>
  </si>
  <si>
    <t>Parámetros de funcionamiento de Anaconda no estaban correctamente asignados</t>
  </si>
  <si>
    <t xml:space="preserve">Identificación y Bloqueo de PT involucrado. </t>
  </si>
  <si>
    <t>Golpe de Frío y Liberación luego de verificación de Temperatura</t>
  </si>
  <si>
    <t>PÑ12522TM014520</t>
  </si>
  <si>
    <t>Incumplimiento de la verificación y registro en pc 5 horneado</t>
  </si>
  <si>
    <t>Operario no realizó el control a tiempo como corresponde</t>
  </si>
  <si>
    <t>Identificación y Bloqueo del Producto Involucrado. Solicitud de Graficos de cocción y del quemador del Horno.</t>
  </si>
  <si>
    <t>Liberación (luego de verificación de gráficos de cocción). Solicitud de Capacitación para personal encargado de los controles</t>
  </si>
  <si>
    <t>CV18522TN135316</t>
  </si>
  <si>
    <t>G Rubilar</t>
  </si>
  <si>
    <t>Tripa de MMPP muy adherida, generando problemas al retirarlo.</t>
  </si>
  <si>
    <t>Tripa adherida a MMPP generando problemas al retirarlo.</t>
  </si>
  <si>
    <t>se bloquea MMPP y se genera reclamo a proveedor</t>
  </si>
  <si>
    <t>Se informa a proveedor para que realice mejoras en los procesos</t>
  </si>
  <si>
    <t>VU201</t>
  </si>
  <si>
    <t>MV15022TM232639</t>
  </si>
  <si>
    <t>Los pirotín de los packs vienen muy pegados y apretados, y al colocarlos en la máquina no se distribuyen bien en los moldes provocando inconvenientes en el dosificado del producto</t>
  </si>
  <si>
    <t>Falla en Proveedor</t>
  </si>
  <si>
    <t>Identificación y Bloqueo de Stock Disponible en Planta</t>
  </si>
  <si>
    <t>Reclama a Proveedor, Devolución de Stock Disponible y Reposición de Material.</t>
  </si>
  <si>
    <t xml:space="preserve"> B2201000082</t>
  </si>
  <si>
    <t>AC21422TM123356</t>
  </si>
  <si>
    <t>Pino Coctel Carne con desviaciones ( Grumos y muy espeso) el cual bloqueaba dosificadora de pino</t>
  </si>
  <si>
    <t>Pino con grumos proveniente de fabrica</t>
  </si>
  <si>
    <t>Se bloquea pino y se cambia de lote.</t>
  </si>
  <si>
    <t>Isabel, Francisco por favor informar cantidades involucradas. Yesenia, cursar reclamo a proveedor.</t>
  </si>
  <si>
    <t>EO24422TM095007</t>
  </si>
  <si>
    <t>S. Rojas</t>
  </si>
  <si>
    <t>Se detectó Manchas de Tinta en el Sato que causaba en algunos casos efecto visual de doble impresión</t>
  </si>
  <si>
    <t>Acumulación de Tinta y Suciedad en el Rodillo de la Multivac 1 por donde pasaba el Film Tapa después de pegar el Sato</t>
  </si>
  <si>
    <t>Detención de envasadara y bloqueo del Producto involucrado</t>
  </si>
  <si>
    <t>Limpieza del Rodillo que causaba la suciedad, selección de productos con defecto y posterior reenvasado.</t>
  </si>
  <si>
    <t>Manchas en Etiquetas</t>
  </si>
  <si>
    <t>CV18222TM123449</t>
  </si>
  <si>
    <t>J.Villalon</t>
  </si>
  <si>
    <t>Se detectó presencia de Metal en Vianesas usadas en Chaparra Vianesa Queso</t>
  </si>
  <si>
    <t>Bloqueo de la MP involucrada y el stock disponible</t>
  </si>
  <si>
    <t>Reclamo a Proveedor, Devolución y Solicitud de reposición Disponible</t>
  </si>
  <si>
    <t>MV18222TM170824</t>
  </si>
  <si>
    <t>W. Etienne</t>
  </si>
  <si>
    <t>El detector de Metales durante el monitoreo de PCC no detectó el patrón No Ferroso</t>
  </si>
  <si>
    <t>Perdida de la Calibración del Detector de Metales (Detector de L5)</t>
  </si>
  <si>
    <t>Bloqueo de Producto Involucrado, se avisa a mantención para intervención</t>
  </si>
  <si>
    <t>Calibración del Detector por parte de Mantención. Reproceso del Producto Involucrado</t>
  </si>
  <si>
    <t>Tipo de Evento</t>
  </si>
  <si>
    <t>S_Mantencion</t>
  </si>
  <si>
    <t>Tipo EE</t>
  </si>
  <si>
    <r>
      <t>Tamaños EE(cm</t>
    </r>
    <r>
      <rPr>
        <vertAlign val="superscript"/>
        <sz val="11"/>
        <color theme="1"/>
        <rFont val="Calibri"/>
        <family val="2"/>
        <scheme val="minor"/>
      </rPr>
      <t>2</t>
    </r>
    <r>
      <rPr>
        <sz val="11"/>
        <color theme="1"/>
        <rFont val="Calibri"/>
        <family val="2"/>
        <scheme val="minor"/>
      </rPr>
      <t>)</t>
    </r>
  </si>
  <si>
    <t>Origen EE</t>
  </si>
  <si>
    <t>Informe de Bloqueo</t>
  </si>
  <si>
    <t>Descripción del Evento</t>
  </si>
  <si>
    <t>Sector</t>
  </si>
  <si>
    <t>Supervisor de Área</t>
  </si>
  <si>
    <t>RUT Proveedor</t>
  </si>
  <si>
    <t>Material (PT/SE/MP/ME)</t>
  </si>
  <si>
    <t>SAP Material</t>
  </si>
  <si>
    <t>Lote del Material</t>
  </si>
  <si>
    <t>Motivo</t>
  </si>
  <si>
    <t>Tipo de Peligro</t>
  </si>
  <si>
    <t>Analisis de Causa Raiz</t>
  </si>
  <si>
    <t xml:space="preserve">Destino Inicial </t>
  </si>
  <si>
    <t xml:space="preserve">Destino final </t>
  </si>
  <si>
    <t>Reporte Bloqueados P2</t>
  </si>
  <si>
    <t xml:space="preserve">Este reporte hace referencia a los Los productos bloqueados, que corresponden a productos terminados y materias primas que por temas de seguridad alimentaria, calidad y/o legalidad se bloquean, posterior a un analisis de causas se destinan a reproceso, devolución,liberación o merma  </t>
  </si>
  <si>
    <t>Eventos</t>
  </si>
  <si>
    <t>Cantidad(kg)</t>
  </si>
  <si>
    <t>Cantidad(CLP)</t>
  </si>
  <si>
    <t>Resumen</t>
  </si>
  <si>
    <t>Cumplimiento</t>
  </si>
  <si>
    <t>Total  acumulado de Producción (kg)</t>
  </si>
  <si>
    <t xml:space="preserve">Total </t>
  </si>
  <si>
    <t>Personal Encargado de Producción</t>
  </si>
  <si>
    <t>Encargado</t>
  </si>
  <si>
    <t>Total</t>
  </si>
  <si>
    <t>Tipos de Eventos</t>
  </si>
  <si>
    <t>Destino</t>
  </si>
  <si>
    <t>PT/SE/MP/ME</t>
  </si>
  <si>
    <t>Línea/Área</t>
  </si>
  <si>
    <t xml:space="preserve"> Cantidad(kg)</t>
  </si>
  <si>
    <t>Tipo de evento</t>
  </si>
  <si>
    <t>Total general</t>
  </si>
  <si>
    <t>Semanas</t>
  </si>
  <si>
    <t>Total Acumulado (kg)</t>
  </si>
  <si>
    <t>Indicador</t>
  </si>
  <si>
    <t>18-23</t>
  </si>
  <si>
    <t>23-27</t>
  </si>
  <si>
    <t>27-31</t>
  </si>
  <si>
    <t>31-36</t>
  </si>
  <si>
    <t>36-40</t>
  </si>
  <si>
    <t>40-45</t>
  </si>
  <si>
    <t>45-49</t>
  </si>
  <si>
    <t>49-53</t>
  </si>
  <si>
    <t>01-06</t>
  </si>
  <si>
    <t>06-10</t>
  </si>
  <si>
    <t>10-14</t>
  </si>
  <si>
    <t>15-18</t>
  </si>
  <si>
    <t>32-36</t>
  </si>
  <si>
    <t>40-44</t>
  </si>
  <si>
    <t>44-49</t>
  </si>
  <si>
    <t>1-5</t>
  </si>
  <si>
    <t>6-9</t>
  </si>
  <si>
    <t>9-13</t>
  </si>
  <si>
    <t>14-18</t>
  </si>
  <si>
    <t>18-22</t>
  </si>
  <si>
    <t>Elegir Mes:</t>
  </si>
  <si>
    <t>Cantidad CLP</t>
  </si>
  <si>
    <t>de</t>
  </si>
  <si>
    <t>Formato (kg/UMV)</t>
  </si>
  <si>
    <t>Error de Etiquetado</t>
  </si>
  <si>
    <t>Falla Equipo</t>
  </si>
  <si>
    <t xml:space="preserve">Durante seguimiento de producto se detecta desvio en paràmetro de gases Oxigeno por sobre el parámetro establecido y CO2 por debajo de  parámetro establecido. </t>
  </si>
  <si>
    <t xml:space="preserve">Se identifica y bloquea producto involucrado es desvío, se ajusta parámetros en multivac 2 y se valida cumplimiento de parámetros establecidos. </t>
  </si>
  <si>
    <t xml:space="preserve">Ajustes de parámetros en equipo se realiza al límite </t>
  </si>
  <si>
    <t xml:space="preserve">Se identifca y bloquea producto involucrado en desvío, se separa para realizar reproceso. </t>
  </si>
  <si>
    <t>YR19724TM113735</t>
  </si>
  <si>
    <t>MM19824TM123227</t>
  </si>
  <si>
    <t>En recorrido por linea se detecta desviación de temperatura de enfriamiento encontrandose el producto en 0.5 ºC siendo max 0ºC por lo que se procede a dar aviso a supervisor de producción y mantencion. Se procede a bloquear producto desde el ultimo control en cumplimento 09:20. Se envia producto a camara de -20 ºC para dar golpe de frio. Mantencion indica que colocara gas 507 a ambas anacondas.</t>
  </si>
  <si>
    <t>Falta de gas 507 en Anaconda 5 y 3. Se estima Microfuga de Gas.</t>
  </si>
  <si>
    <t xml:space="preserve">Identificación y Bloqueo de producto desde ultimo control en cumplimiento incluyendo producto de la anaconda. </t>
  </si>
  <si>
    <t>Considerar realizar levantar revisión de microfuga para atacar causa raiz de origen. Verificar Temperatura de producto posterior al golpe de frio ( se verifica 2 pallets queda pendiente verificar el resto de producto bloqueado)@SandraVargas indicar cantidad bloqueada</t>
  </si>
  <si>
    <t>CF26722TT150657</t>
  </si>
  <si>
    <t>22-26</t>
  </si>
  <si>
    <t>Pack Empanada NOTPINO 2 Uds</t>
  </si>
  <si>
    <t>Falla de Comunicación entre Personal de Empaque y Elaboración para avisar el cambio de Formato</t>
  </si>
  <si>
    <t>Deterioro de Infraestructura  y/o Equipo</t>
  </si>
  <si>
    <t xml:space="preserve">Durante verificación de registros se observó incumplimiento de la frecuencia de monitoreo en Sala de envasado  Bollería Rac 168 Control de Gramaje, RAC 20 Control de sellado, RAC 112 PC04 Control de trazabilidad y rotulación Inkject/ etiquetado manual, PCCNro. 4 Enfriamiento P2 desde las 08:25 am hasta las 11:18 am. </t>
  </si>
  <si>
    <t>D. Alarcón</t>
  </si>
  <si>
    <t xml:space="preserve">Se avisa a supervisor de turno del desvio encontrado, se identifica y bloquea pallets involucrados en desvío. </t>
  </si>
  <si>
    <t xml:space="preserve">Operadora responsable de control y monitoreo indico que presento problemas con envasadoras M2 Y M3 con sellado, por ende esto impidió que pudiera realizar sus tareas de monitoreo y control.  </t>
  </si>
  <si>
    <t xml:space="preserve">Se realizan acciones correctivas de los controles mencionados por norma chilena NCH44, excepto PCCNro. 4 Enfriamiento P2, ya que se solicito curva de temperatura a mantención y estos indican que sensores se encuentran con problemas para lograr verificarlo. </t>
  </si>
  <si>
    <t>YR20124TM144018</t>
  </si>
  <si>
    <t>Se informa que durante producción de pizza Salame lote:204, materia prima salsa de tambor proveedor Langer presenta defecto por espesor (consistencia), como se informa en FT no se tiene un mínimo valor, solo un máximo por consistencia, sin embargo, como me informa TPM Cristopher Abello la dosificación hacia línea se esta viendo afectado ya que se obstruyen las boquillas que va hacia los platos que dosifican la masa</t>
  </si>
  <si>
    <t>Cristopher Abello</t>
  </si>
  <si>
    <t>Se deben bloquear los lotes asociados a la fecha de elaboración y fecha de vencimiento.</t>
  </si>
  <si>
    <t>De acuerdo a lo que se informa en FT solo se encuentra el valor maximo en consistencia, el valor mínimo no esta validado en FT.</t>
  </si>
  <si>
    <t xml:space="preserve">Comunicarse con proveedor Langer, para que se inicie mejoras en la cosistencia de la salsa de tomates para no afectar la dosificación </t>
  </si>
  <si>
    <t>CV20424TM140551</t>
  </si>
  <si>
    <t>637,2</t>
  </si>
  <si>
    <t xml:space="preserve">Durante seguimiento de producto se visualizo que fecha de vencimiento de producto se encontraba errada en una de las injeck. </t>
  </si>
  <si>
    <t>Se avisa a operadora de sector envasado para identificar producto  involucrado en desvío. se separa pallet y se avisa a supervisor de turno</t>
  </si>
  <si>
    <t xml:space="preserve">Operadora realiza cambio de lote y fecha posterior a las 00:00 am y selecciona errada la fecha de vencimiento en una de las injectk </t>
  </si>
  <si>
    <t xml:space="preserve">Se corrige fecha en inject, se separa producto con error de trazabilidad y se merma por cambio de formato. </t>
  </si>
  <si>
    <t>YR20524TN034926</t>
  </si>
  <si>
    <t>Se detecta en terreno durante la verificación del libro de empaque línea 2 que información de etiqueta de Marraqueta granel (P), no concuerda con información en sato.</t>
  </si>
  <si>
    <t>Se procede a verificar y bloquear 4 pallets de Marraqueta granel (P) lote 206.</t>
  </si>
  <si>
    <t>Personal de Turno mañana deja los sato que no correspondían a la etiqueta de Marraqueta granel y personal de Turno tarde no se percató del error.</t>
  </si>
  <si>
    <t xml:space="preserve">Se corrige errores en satos, se realiza capacitación y posteriormente se reetiqueta productos con mal rotulación. </t>
  </si>
  <si>
    <t>FB20624TT180102</t>
  </si>
  <si>
    <t>Distancia entre taca y taca</t>
  </si>
  <si>
    <t>A las 22:50 se tiene 33% de incumplimiento de espesor en marraqueta piloto L2, se solicita acciones correctivas y se vuelve a tomar la muestra a las 01:38 observándose incremento del incumplimiento a 46,7%. Así mismo, se observa que lado de la marraqueta presenta bajo espesor más notorio que el otro lado incumpliendo con la forma del producto.</t>
  </si>
  <si>
    <t xml:space="preserve">Bloqueo del producto, </t>
  </si>
  <si>
    <t>Se regula la velocidad de troquel de 3.2 a 3.3, se sube la cocción de 300 a 310 y se baja porcentaje de frio de amasadora 2 de 50 a 30%</t>
  </si>
  <si>
    <t>LS20724TN042746</t>
  </si>
  <si>
    <t>Durante el turno noche se visualizo alerta de desviación de frecuencia de monitoreo en empauqe de panadería línea 4 dejando de registrar el control y monitoreo en RAC-33 PCC6 Control de Detección de Metales,  RAC-31 PCC4 Control de Temperatura de Enfriamiento, R-ITAC-13-01 Verificación de Lavado de Manos, R-ITAC17-15 Control de Piezas Moviles Envasadoras L4</t>
  </si>
  <si>
    <t xml:space="preserve">D. Luna </t>
  </si>
  <si>
    <t xml:space="preserve">Se avisa a supervisor de turno noche del desvío observado, se revisa registro físico con la finalidad de verificar si se registro control y monitoreo en libro y no se visualizo controles en el libro. Se identifica producto involucrado en desvío en el período de tiempo desde las 16:26 pm hasta las 19:56 pm y se procede a bloquear. </t>
  </si>
  <si>
    <t xml:space="preserve">Se debe revisar con supervisor de turno para revisar con operador de turno tarde por que dejo de realizar los controles en la frecuencia establecida. </t>
  </si>
  <si>
    <t xml:space="preserve">Cómo acción correctiva se debe realizar paso del producto con desvío nuevamente por detector de metales y solicitar curva de temperatura de enfriamiento a personal de mantención durante el período de desvio. </t>
  </si>
  <si>
    <t>YR20724TN044030</t>
  </si>
  <si>
    <t>Durante seguimiento se detectó envases de pizza napolitana sba con bajo peso. Peso neto de producto corresponde a 450 gr.</t>
  </si>
  <si>
    <t xml:space="preserve">Se aviso a supervisor de turno, Se identifico y bloqueo producto involucrado en desvío.  Se avisa a operadora de alimec para que realice mejora en la dosificación del queso. </t>
  </si>
  <si>
    <t xml:space="preserve">Se veirfico en zona de alimec pizza y falla se debe a la dosificación del queso este era molido y por estar tan blanco se dificulta se despege de rodillo con facilidad. </t>
  </si>
  <si>
    <t xml:space="preserve">Se ajusta dosificación de queso en módulo  2 en alimec pizza y se realiza pesaje del producto involucrado en desvío separando producto bajo peso para su reproceso antes del cambio de formato. </t>
  </si>
  <si>
    <t>YR20724TN061821</t>
  </si>
  <si>
    <t>Durante seguimiento se detectó unidades  de pizza pollo champiñon  sba con bajo peso. Peso neto de producto corresponde a 490 gr.</t>
  </si>
  <si>
    <t xml:space="preserve">Se avisa al supervisor de turno de bajo peso y se identifica y bloquea producto involucrado en desvío, no se realiza ajuste en zona de alimec por ya haber finalizado producción con este formato. </t>
  </si>
  <si>
    <t xml:space="preserve">Se realiza investigación con colaboradora Francisca Castro y se determinó que este incumplimiento pudo deberse a la dosificación manual del pollo y el champiñon y se corroboro por producto a salida de anaconda sin la dosificación del champiñon. </t>
  </si>
  <si>
    <t xml:space="preserve">Se realizara pesaje del 100 % del producto para separar los productos en incumplimiento y proceder a dejar bloqueado ya que no se puede reprocesar, </t>
  </si>
  <si>
    <t>YR20824TN022600</t>
  </si>
  <si>
    <t>Nivelación de cortadora</t>
  </si>
  <si>
    <t xml:space="preserve">Durante recorrido de líneas se pudo observar desvío en frecuencia de monitoreo en el control de  PCN°05 HORNEADO P2. en el horario de 12:00Pm a 14:42 no se habìa generado el control. </t>
  </si>
  <si>
    <t>F. Durandal</t>
  </si>
  <si>
    <t xml:space="preserve">Se avisa a supervisor de turno, se solicita realizar control de manera inmediata y se verficica cumplimiento de curva de temperatura. </t>
  </si>
  <si>
    <t xml:space="preserve">Personal responsable de control y monitoreo sale a la colación y no avisa a TPM respondable de línea que no realizo el control respectivo en la frecuencia establecida.  </t>
  </si>
  <si>
    <t xml:space="preserve">Se revisa curvas de temperatura del horno durante el periodo sin monitoreo, se verifico cumplimiento, se da capacitaciòn a operador responsable con la finalidad que no se incurra nuevamente en desvío. </t>
  </si>
  <si>
    <t>YR21124TT200747</t>
  </si>
  <si>
    <t xml:space="preserve">Se debe al tropiezo entre pallets o cuando el gruero intentó agarrar dicho pallet </t>
  </si>
  <si>
    <t>YR21224TT161415</t>
  </si>
  <si>
    <t xml:space="preserve">Durante recorrido de líneas se pudo observar desvío en frecuencia de monitoreo en el control de  PCN°05 HORNEADO P2. en el horario de 12:00Pm a 14:42 no se había generado el control. </t>
  </si>
  <si>
    <t xml:space="preserve">Personal responsable de control y monitoreo sale a la colación y no avisa a TPM responsable de línea que no realizo el control respectivo en la frecuencia establecida.  </t>
  </si>
  <si>
    <t xml:space="preserve">Se avisa a supervisor de turno, se solicita realizar control de manera inmediata y se verifica cumplimiento de curva de temperatura. </t>
  </si>
  <si>
    <t xml:space="preserve">Se revisa curvas de temperatura del horno durante el periodo sin monitoreo, se verifico cumplimiento, se da capacitación a operador responsable con la finalidad que no se incurra nuevamente en desvío. </t>
  </si>
  <si>
    <t>YR21224TT162033</t>
  </si>
  <si>
    <t xml:space="preserve">Durante verificación de registros se observó incumplimiento de la frecuencia de monitoreo empaque panadería Línea 2, Rac 168 Control de Gramaje, RAC 20 Control de sellado, RAC 112 PC04 Control de trazabilidad y rotulación Inkject/ etiquetado manual, PCCNro. 4 enfriamiento. PCC N°6 Detección de metales P2  desde las 13:15 pm a las 17:06 para detector de metales, y en el resto de los registros entre las 14:45 a las 17:06 pm. </t>
  </si>
  <si>
    <t>Operadora responsable del control y monitoreo se retrasa en realizar los controles por fallas en las máquinas envasadoras de manga.</t>
  </si>
  <si>
    <t xml:space="preserve">Se avisa a supervisor de turno y se bloquea producto desde último control en cumplimiento. </t>
  </si>
  <si>
    <t xml:space="preserve">Se reprocesa producto a granel por detector de metales de línea 5 con receta generada para marraqueta piloto, se completa registro de control de reproceso. el producto en manga se reprocesa por detector de metal de B2 de manga. se realizan controles de peso, sellado y trazabilidad estando en cumplimiento. Temperatura de enfriamiento se verifica cumplimiento de esta en zona de despacho. </t>
  </si>
  <si>
    <t>YR21224TT170102</t>
  </si>
  <si>
    <t xml:space="preserve">Durante recorrido de línea se pudo observar que en el registro RAC 20 Control de sellado, se pudo observar que en los controles correspondientes a las 11:25 am, 12:25 pm y 13:25 pm les falta firma de operadora responsable del turno mañana y al ver detalladamente la letra corresponde a operadora de turno tarde benina Juste. Se nota incumplimiento de procedimiento ya que si los registros no estan realizados corresponde a incumplimiento de frecuencia y se debe generar aviso a calidad para tomar las acciones correctivas necesarias. </t>
  </si>
  <si>
    <t xml:space="preserve">Operadora responsable de turno tarde incumple procedimiento completando registros que corresponden a turno mañana, sin aviso a calidad del incumplimiento. </t>
  </si>
  <si>
    <t xml:space="preserve">Se avisa a supervisor senior de la falta observada, y se procede a consultar para realizar bloqueo de producto y este ya había sido enviado a despacho. </t>
  </si>
  <si>
    <t xml:space="preserve">Capacitación a operadora Benina Juste explicando el procedimiento correcto y no se logra revisar producto por que ya se despacho, al no generar un riesgo de inocuidad no es alto el riesgo, pero se debe revisar con personal el cumplimiento de los monitoreos en los tiempos establecidos. </t>
  </si>
  <si>
    <t>1,44</t>
  </si>
  <si>
    <t>Incumplimiento de frecuencia de monitoreo operadora Melina Ramirez no cumple con el monitoreo y control de PCC 5 Control ATM durante el turno Noche (06:15)</t>
  </si>
  <si>
    <t xml:space="preserve">Se avisa a TPM y al supervisor de turno, se identifica y bloquea producto involucrado en desvío.  </t>
  </si>
  <si>
    <t xml:space="preserve">Se solicita al supervisor  el reenvasado de los pallets involucrados en el incumplimiento del monitoreo  como lo establece el SOP- 20 . </t>
  </si>
  <si>
    <t>MS21424TM123941</t>
  </si>
  <si>
    <t>En proceso de corte de queso reggianito se observa hifas de hongo en interior de piezas de queso.</t>
  </si>
  <si>
    <t>Johnny Goméz</t>
  </si>
  <si>
    <t>765684/194</t>
  </si>
  <si>
    <t>Definir por proveedor de MMPP</t>
  </si>
  <si>
    <t>LS21424TT201515</t>
  </si>
  <si>
    <t>Bloqueo. Se envía a zona de producto No conforme de bodega seco</t>
  </si>
  <si>
    <t>.Devolución y envío de reclamo a proveedor.</t>
  </si>
  <si>
    <t>Desviación de temperatura enfriamiento de Marraqueta Piloto lote 216, desde las 00:00 hasta las 02:00 horas</t>
  </si>
  <si>
    <t>Se envía a despacho para golpe de frío con las bolsas abiertas de bandejas para evitar que producto se humedezca y genere hongos.</t>
  </si>
  <si>
    <t>Apagado sección 1 extractor de aire de anaconda 1 ambiente, TPM Luis Yucra me informa que mantención le da aviso de esta falla.</t>
  </si>
  <si>
    <t>Se realiza a las 04:22 tomando temperaturas a cada palets, cantidad total 14 palets, encontrandose en cumplimiento, bajo los 20°C.</t>
  </si>
  <si>
    <t>CV21624TN043056</t>
  </si>
  <si>
    <t xml:space="preserve">Durante recorrido de líneas operadora Rosa Reyes comunica que controló la temperatura de enfriamiento y detecta desviación, 22,7 °C. </t>
  </si>
  <si>
    <t xml:space="preserve">Se procede a envasar el producto dejando bolsas abiertas  y se aplica golpe de frío.  </t>
  </si>
  <si>
    <t xml:space="preserve">Se avisa a mantención y al verificar parámetros de anaconda detectan que esta falla es operacional debido a que el personal de producción olvido encender frío posterior a deshielo. </t>
  </si>
  <si>
    <t>Se verifica temperatura de producto involucrado en desvío posterior a las 2 horas, encontrándose en cumplimiento, por debajo los 20°C.</t>
  </si>
  <si>
    <t>YR21624TT174225</t>
  </si>
  <si>
    <t>Incumplimiento de frecuencia de monitoreo en PCC 6 "detcetor de metales; además PCC4. "enfriamiento", y R-ITAC-13-01</t>
  </si>
  <si>
    <t>Hector Cruz</t>
  </si>
  <si>
    <t>Aviso a supervisor y bloqueo de 8 pallets.</t>
  </si>
  <si>
    <t xml:space="preserve">Investigación pendiente a realizar a maquinista de turno noche </t>
  </si>
  <si>
    <t>Reproceso pendiente, repaso por detector de metales.</t>
  </si>
  <si>
    <t>LS21924TM123621</t>
  </si>
  <si>
    <t>Presencia de hongos en materia prima queso Reggianito</t>
  </si>
  <si>
    <t xml:space="preserve"> 765685/194 </t>
  </si>
  <si>
    <t>Se bloquea materia prima queso Reggianito lote 765685/194 fecha de vencimiento 12-05-2025. Quedando con cinta amarilla y tarja identificatoria por motivo del bloqueo</t>
  </si>
  <si>
    <t>Proveedor debe enviar investigación por desviación microbiologica en MMPP</t>
  </si>
  <si>
    <t>Se debe generar reclamo a proveedor Colun por presencia de hongos en queso Reggianito, con 5 dias habiles para envío de respuesta.</t>
  </si>
  <si>
    <t>CV22024TT174120</t>
  </si>
  <si>
    <t xml:space="preserve">Se recibe Turno con desviación de temperatura por presentarse problemas en la anaconda. </t>
  </si>
  <si>
    <t xml:space="preserve">Se le informa a personal de mantención para su acción correctiva en anaconda y se procede a envasar el producto dejando bolsas abiertas para luego aplicarle golpe de frío. </t>
  </si>
  <si>
    <t xml:space="preserve">Problemas en la anaconda, uno de los equipos del celenoide no le estaba llegando corriente </t>
  </si>
  <si>
    <t>FB22124TN045912</t>
  </si>
  <si>
    <t xml:space="preserve">Durante el recorrido  se observa que  la producción de doblada correspondiente del turno tarde  no cumple con las características producto como la textura sabor y espesor. </t>
  </si>
  <si>
    <t>Roder Arrigada</t>
  </si>
  <si>
    <t xml:space="preserve">Se identifica y se bloquea producto 3 pallets de dobladas del turno tarde. </t>
  </si>
  <si>
    <t>MS22124TN052618</t>
  </si>
  <si>
    <t>Se informa al supervisor y se revisa los ingredientes utilizados en la producciòn en turno noche , sin embargo el producto bloqueado corresponde a la producción del turno tarde y cuando se procede a revisar la trazabilidad del producto involucrado no se encuentra el registro  debido a que no fue realizada durante el turno.</t>
  </si>
  <si>
    <t xml:space="preserve">Durante seguimiento se detectó unidades de pizza pollo española Líder con bajo peso. Peso neto de producto corresponde a 480 gr. Tambien se pudo visualizar pizzas con peso superior al establecido lo que esta generando sobre consumo en las materias primas.  </t>
  </si>
  <si>
    <t xml:space="preserve">Se identifica y bloquea producto desde último control en cumplimiento. En alimec se realiza control en el peso del queso ya en el formato siguiente debido a cambio de producto. Se verifican pesos estando en cumplimiento. </t>
  </si>
  <si>
    <t xml:space="preserve">Se revisa con personal de alimec pizza y el modulo presenta gran variabilidad en la dosificación del queso. El queso al estar almacenado posterior a su rallado tiende a compactarse dificultando dosificación. </t>
  </si>
  <si>
    <t xml:space="preserve">Se realiza pesaje del producto involucrado en desvío y se detectan solo dos pizzas bajo peso màs dos del control de peso. Se separan  y se merman. </t>
  </si>
  <si>
    <t>YR22124TM125530</t>
  </si>
  <si>
    <t>Mientras cortaba queso reggianito operador encuentra unidades con hongo.</t>
  </si>
  <si>
    <t>Se bloquea MMPP queso reggianito colun lote 765684/194</t>
  </si>
  <si>
    <t>Procedente de proveedor, Hongo no era superficial sino incrustado</t>
  </si>
  <si>
    <t>AC22224TN034219</t>
  </si>
  <si>
    <t xml:space="preserve">Incumplimiento de frecuencia de monitoreo en el RAC-20 PC6 Control de Sellado, en el período de 8:43 am a 10:55 am, teniendo un desvío de 72 minutos segùn lo informado en alerta de desvío. </t>
  </si>
  <si>
    <t xml:space="preserve">Se avisa a supervisor de turno, se identifica y bloquea producto involucrado en desvío y se procede a realizar muestreo por Nch44. </t>
  </si>
  <si>
    <t xml:space="preserve">Operadora Responsable Valentina Chade indico que olvido registrar este control y salio a realizar una consulta a recursos humanos dejando sin realizar control y monitoreo en este periodo de tiempo. </t>
  </si>
  <si>
    <t xml:space="preserve">Se realizo evaluación de sellado correcto de las bolsas mangas estando en cumplimiento junto con supervisor de turno Luis Villalón. </t>
  </si>
  <si>
    <t>YR22224TM142629</t>
  </si>
  <si>
    <t>Durante la verificación en terreno se puso observar producto Marraqueta Piloto lote 223 con alteraciones organolépticas (olor, color, sabor y textura).</t>
  </si>
  <si>
    <t>Se le informa a personal de mantención para su acción correctiva en horno y se procede a bloquear producto involucrado.</t>
  </si>
  <si>
    <t xml:space="preserve">Peronal de manteción informa que se debió a bloqueo de quemador de horno </t>
  </si>
  <si>
    <t>Se revisa horno quedando en funcionamiento para su producción.</t>
  </si>
  <si>
    <t>FB22324TN033832</t>
  </si>
  <si>
    <t>Incumplimiento de frecuencia de monitoreo en el RAC-20 PC6 Control de Sellado, en el período de 6:03 am a 7:40 am, teniendo un desvío de 37 minutos según lo informado en alerta de desvío.</t>
  </si>
  <si>
    <t xml:space="preserve">Se avisa a supervisor de turno, se identifica y bloquea producto involucrado en desvío y se procede a realizar muestreo por NCh44. </t>
  </si>
  <si>
    <t xml:space="preserve">Operadora Responsable Valentina Chade indico que se presentó falla en línea de producción panadería a la salida del horno y debió acudir a ayudar dejando de completar este solo registro en este perìodo de tiempo. </t>
  </si>
  <si>
    <t xml:space="preserve">Se realizo evaluación de sellado correcto de las bolsas mangas según NCh44, estando en cumplimiento. </t>
  </si>
  <si>
    <t>YR22324TM145604</t>
  </si>
  <si>
    <t xml:space="preserve">Al inicio de turno se recibe aviso de analista de turno tarde que se requiere realizar investigación en terreno debido a la identificación de un elemento extraño que proviene de polvero número 2 de producciòn panadería Línea 1, la pieza identificada es el multipin del enchufe.  </t>
  </si>
  <si>
    <t xml:space="preserve">Aviso a jefatura con la finalidad que se revisará la situación y se realizo  bloqueo de producto involucrado en el período de tiempo del hallazgo. Producción separa en 3 zonas despacho el producto y este queda identificado con cinta amarilla. </t>
  </si>
  <si>
    <t xml:space="preserve">, se revisa con mantención y el personal explico que se puede presumir que el tornillo de ajuste del enchufe estaba suelto , lo que permitió que este se desprendiera debido a las vibraciones constantes del polvero. </t>
  </si>
  <si>
    <t xml:space="preserve">Revisar plan de mantenimiento preventivo para incluir inspecciones periódicas  de los tornillos y otros elementos de fijación en equipos sujetos a vibraciones. </t>
  </si>
  <si>
    <t>YR22624TN060208</t>
  </si>
  <si>
    <t>Se informa que a las 16:32Hrs Supervisor Carlos Parada notifica que el filtro tamiz debe ser revisado conjunto con personal de mantención y sala de control por presentarse fallas y generando así desprendimientos de hilos plásticos. Durante la investigación se pudo saber que la falla producida por el filtro tamiz Nº2 y Nº3 se venía presentando alrededor de las 10:55Hrs, por tal motivo se procedió a bloquear 10 pallets de Hallulla Intense (ATM) del Turno Mañana, 17 pallets más 18 bandejas de Hallulla Fermaid del Turno Tarde y Marraqueta piloto del turno mañana y tarde aún por definir cantidades.</t>
  </si>
  <si>
    <t>Se detiene línea, se merma masa que está en línea en ese momento, se bloquea producto por seguridad desde las 10:00 hasta la detección del elemento extraño (hasta resultados de investigación) y se procede a la limpieza general de líneas que posteriormente es liberada por calidad.</t>
  </si>
  <si>
    <t>Desprendimiento de hilos plásticos proveniente de filtro tamiz Nº2 y Nº3.</t>
  </si>
  <si>
    <t>Se realiza corte sanitario en amasadoras, monopan y cintas de Línea 1 y Línea 2 e igualmente personal de mantención realiza inspecciones en filtro tamiz Nº2 y Nº3, Mixes y Sinfin de balanzas dinámicas.</t>
  </si>
  <si>
    <t>FB22924TT201630</t>
  </si>
  <si>
    <t>FB22924TT205140</t>
  </si>
  <si>
    <t xml:space="preserve">Carlos Meza </t>
  </si>
  <si>
    <t>FB22924TT210413</t>
  </si>
  <si>
    <t>183 y 184</t>
  </si>
  <si>
    <t>206 y 207</t>
  </si>
  <si>
    <t>RAC-20(Frecuencia de Monitoreo)</t>
  </si>
  <si>
    <t>Incumplimiento del procedimiento establecido</t>
  </si>
  <si>
    <t xml:space="preserve">Durante recorrido de lìneas se procede a realizar control de verificación de cumplimiento de detector de metales de empaque empanadas y al realizar la verificación del patron No ferroso este no fue reconocido. </t>
  </si>
  <si>
    <t>L. Ramirez</t>
  </si>
  <si>
    <t>Se avisa a supervisor de turno, se identifica y bloquea el producto desde el último control en cumplimiento.</t>
  </si>
  <si>
    <t xml:space="preserve">Se revisa con personal de mantención quienes observan que existe acumulación de materia organica en cinta y estructura del detector e indican que esto puede estar interfiriendo con el reconocimiento de los patrones y por ende afectando la sensibilidad,  además indican que el tiempo de detección es tardío por lo que realizan los ajustes pertinentes. </t>
  </si>
  <si>
    <t xml:space="preserve">Mantención  realiza ajuste del tiempo de rechazo en detector de metales y ajuste del umbral, se verifica  cumplimiento correcto con cada uno de los patrones, y se corrige desvío. Se realiza reproceso de producto en detector de metales de empaque empanada para el producto en granel y en empaque empanada mutivac 2 se reproceso el producto en pack con creaciòn de receta y verificación de cumplimiento en este detector. </t>
  </si>
  <si>
    <t>YR23324TT192731</t>
  </si>
  <si>
    <t>PÑ23324TT202633</t>
  </si>
  <si>
    <t>contaminacion por elemento extraño proveniente de rodamiento de cinta en balanza dinamica.</t>
  </si>
  <si>
    <t xml:space="preserve">fatiga de material </t>
  </si>
  <si>
    <t>se merma masa comprometida y se deja identificado producto terminado comprometido.</t>
  </si>
  <si>
    <t>se reparan rodamientos dañados.</t>
  </si>
  <si>
    <t>Durante seguimiento de producto se evidencia 2 unidades con bajo peso debido a unidades incompletas en pack en vez de 20 unid tenía 19.</t>
  </si>
  <si>
    <t>Antonia Rodriguez</t>
  </si>
  <si>
    <t xml:space="preserve">bloqueo de pallet, revisión de todas los pack </t>
  </si>
  <si>
    <t>Falta de destreza en operaria al colocar unidades de hallullita en envase</t>
  </si>
  <si>
    <t>se reprocesa pack con unid faltantes.</t>
  </si>
  <si>
    <t>LS23524TT202145</t>
  </si>
  <si>
    <t>Al conectar huevo liquido totem operador detecta fuga de liquido, que se estaba esparciendo por el piso de Bodega frio. Lo cual puede comprometer inocuidad de resto de materias primas.</t>
  </si>
  <si>
    <t>Se bloquea MMPP</t>
  </si>
  <si>
    <t>Recipiente Totem se observa con mal soldado y visible oxidado, proveniente de proveedor.</t>
  </si>
  <si>
    <t xml:space="preserve">Realizar reclamo a proveedor </t>
  </si>
  <si>
    <t>AC23724TM125015</t>
  </si>
  <si>
    <t xml:space="preserve">Se procede a envasar el producto dejando bolsas abiertas, se aplica golpe de frío.  </t>
  </si>
  <si>
    <t>Mientras cortaba queso reggianito operador encuentra unidades con hongo. Luego mientras en Bodega seco sacaban unidades de cajas de otro lote 766307/199 tambien se encuentran unidades con hongo por lo que se bloquea ese lote tambien</t>
  </si>
  <si>
    <t>766274/199; 766307/199</t>
  </si>
  <si>
    <t>Se bloquea MMPP queso reggianito colun lote 766274/199 y lote 766307/199</t>
  </si>
  <si>
    <t>Procedente de proveedor, Hongo no era superficial sino incrustado. E cajas recien abiertas</t>
  </si>
  <si>
    <t>@Ana Contrera (Chile), @Edson Orozco (Chile) estimados por favor realizar reclamo a proveedor</t>
  </si>
  <si>
    <t>AC24024TN041114</t>
  </si>
  <si>
    <t>Desviación de PCC 04. "Enfriamiento", temperatura  29,1°C a las 18:25  y  24,9°C a las 20.25.</t>
  </si>
  <si>
    <t>D. Valencia</t>
  </si>
  <si>
    <t>Se realiza golpe de frio de producto en bandejas con bolsas abiertas. Se llama a mantención para revisión de sistema de frio en anaconda.</t>
  </si>
  <si>
    <t>Válvula solenoide en malas condiciones</t>
  </si>
  <si>
    <t>Se limpia válvula solenoide como medida provisoria, se solicitará cambio.</t>
  </si>
  <si>
    <t>LS24024TT142425</t>
  </si>
  <si>
    <t xml:space="preserve">Durante recorrido de líneas se pudo observar desvío en frecuencia de monitoreo en el control de  PCN°05 HORNEADO P2. en el horario de 06:00Am a 08:37 am no se había generado el control. </t>
  </si>
  <si>
    <t xml:space="preserve">F. Durandal </t>
  </si>
  <si>
    <t>Se avisa a supervisor de turno, se solicita realizar control de manera inmediata y se verifica cumplimiento de curva de temperatura</t>
  </si>
  <si>
    <t xml:space="preserve">Se revisa con TPM y el operador responsable olvido realizar control en la frecuencia establecida. </t>
  </si>
  <si>
    <t xml:space="preserve">Se revisa curvas de temperatura del horno durante el periodo sin monitoreo, se verifico cumplimiento. </t>
  </si>
  <si>
    <t>YR24024TM143717</t>
  </si>
  <si>
    <t xml:space="preserve">Se realiza seguimiento de Hallulla Integral en la se observa que no cumple con la forma establecida en ficha Tècnica (Circular). El producto tiene  forma ovalada. </t>
  </si>
  <si>
    <t>Gonzalo Lepiqueo</t>
  </si>
  <si>
    <t>Hallulla Integral</t>
  </si>
  <si>
    <t xml:space="preserve">Se avisa al supervisor para la Acciòn correctiva, Se identifica y se bloquea  8 pallets de hallulla integral. </t>
  </si>
  <si>
    <t>MS24124TN050558</t>
  </si>
  <si>
    <t>Incumplimiento en especificaciones de FT</t>
  </si>
  <si>
    <t xml:space="preserve">TPM Daniela Valencia informa que controló la temperatura de enfriamiento a la salida de anaconda en producción panadería Línea 2 a las 10:26 am y detecta desviación, temperatura de producto 20,3 °C. </t>
  </si>
  <si>
    <t xml:space="preserve">Se revisa con mantención motivo del desvío y estos indican que están trabajando en la recarga del refrigerante   en esta línea lo que ocasiono el desvío </t>
  </si>
  <si>
    <t>YR24124TM152051</t>
  </si>
  <si>
    <t xml:space="preserve">En revision de registro RAC-33 PCC Nº 6 Detecciòn de metales de L4 se observa incumplimiento de frecuencia de monitoreo desde las 08:32 hasta las 11:46 para los tres dectectores A,B,C. Se revisa registro fisico y se observa reporte de PCC ver evidencias. De acuerdo con lo anterior se da aviso a supervisor bloqueandose 15 pallets contentivos de productos hallulla 2 ban y hallulla manga para ser reprocesados en detectores de metales </t>
  </si>
  <si>
    <t>Lissette Lizama</t>
  </si>
  <si>
    <t xml:space="preserve">Bloqueo de 15 pallets </t>
  </si>
  <si>
    <t xml:space="preserve">Analista de turno mañana investigar la causa con TPM </t>
  </si>
  <si>
    <t>En turno noche o en cambio de formato realizar el reproceso de los 15 pallets. @Rober.arana informar cantidad total del bloqueo</t>
  </si>
  <si>
    <t>MM24124TT175538</t>
  </si>
  <si>
    <t>Se detecta MMPP Queso mozzarela Granulado con Hongos</t>
  </si>
  <si>
    <t>Posible Perdida de cadena de frio</t>
  </si>
  <si>
    <t>AC24224TN042715</t>
  </si>
  <si>
    <t xml:space="preserve">Durante recorrido de líneas se procede a verificar correcto funcionamiento de detector de metales con monitoreo a las 8:40 am y se presentó desvío por  no reconocimiento de patrones de acero inoxidable y ferroso. </t>
  </si>
  <si>
    <t xml:space="preserve">Se detiene Línea, se avisa a supervisor de turno y se llama a personal de mantención para revisión de detector de metales, se bloquea producto involucrado en desvío. </t>
  </si>
  <si>
    <t xml:space="preserve">Se reviso con mantención e indican que el reconocimiento del patrón de acero inoxidable lo hacía sin producto y el de ferroso lo reconoció correctamente y que desconocen que pudo ocasionar esta inconsistencia. </t>
  </si>
  <si>
    <t xml:space="preserve">Se realiza nuevo aprendizaje para el producto Marraqueta ATM cómo acción correctiva y se valida cumplimiento de sistema de rechazo con paso de los tres patrones. posterior a esto se da inicio a reproceso de producto involucrado en desvío desde último control en cumplimiento y se realiza control y monitoreo al final del reproceso con adecuada activación de sistema de rechazo. Se libera producto en cumplimiento y se continúa envasado.  </t>
  </si>
  <si>
    <t>YR24224TM160138</t>
  </si>
  <si>
    <t>En seguimiento en linea se procede a bloquear 1 pallet de Marraqueta Manga lote 242 con etiquetado manual por fiestas patrias para congelado debido a que el personal se queda sin satos para etiquetar las mangas</t>
  </si>
  <si>
    <t>se identifica y bloquea pallet con unidades afectadas</t>
  </si>
  <si>
    <t xml:space="preserve">Termino de satos </t>
  </si>
  <si>
    <t>MM24224TT185922</t>
  </si>
  <si>
    <t>Se Bloquea Lote, se realiza aseo de tolva</t>
  </si>
  <si>
    <t>AC24324TN001628</t>
  </si>
  <si>
    <t>Durante turno noche operadora que agregaba el pino detecta que dentro de bolsa de la materia prima se encontraba un pedazo de plástico (ojo materia prima es pino coctel carne de arte alimentos que no se podia seleccionar )</t>
  </si>
  <si>
    <t xml:space="preserve">Se cambia de Lote, se realiza reclamo </t>
  </si>
  <si>
    <t>218-2</t>
  </si>
  <si>
    <t xml:space="preserve">Durante recorrido de línea se visualiza que se realizo envasado de dos formatos de producto en la Multivac 1 y se incumple procedimiento de frecuencia establecido. Se parte con envasado de hallullita ATM y se cambia de formato para pedido de 28 bandejas a las 9:10 am sin realizar control y monitoreo a este formato, luego al cambio nuevamente de marraqueta ATM a Hallullita no se realiza control de cambio de formato realizando control de PCC detector de metales a las 10:35 am y línea incio a las 10:10 am </t>
  </si>
  <si>
    <t>M. Rojas</t>
  </si>
  <si>
    <t xml:space="preserve">Se avisa a supervisor de turno, se identifica y bloquea el producto involucrado en desvío. </t>
  </si>
  <si>
    <t xml:space="preserve">operador asignado por producción para realizar controles y monitoreos no tiene capacitación y TPM Mariela Rojas  responsable en Línea no realizo explicación clara a este colaborador y además T`PM no se aseguro del correcto control y monitoreo de los controles en línea. </t>
  </si>
  <si>
    <t xml:space="preserve">Se debe realizar capacitación a operadores de remplazo en caso de que vuelva a ocurrir la ausencia de operadores ya capacitados y evaluados. Se debe pasar producto bloqueado nuevamente por detector de metales. </t>
  </si>
  <si>
    <t>YR24324TM152058</t>
  </si>
  <si>
    <t>Se valida en terreno revisando cumplimiento de etiquetado de las mangas</t>
  </si>
  <si>
    <t>Se informa que durante la verificación de los check list en el área de Detector de metales de Pizza, se observa incumplimiento de frecuencia establecida en el registro PCC 6 desde las 21:24 hrs hasta las 23:40 hrs a cargo de la Operadora Melina Ramirez.</t>
  </si>
  <si>
    <t>Pre pizza</t>
  </si>
  <si>
    <t>Se avisa a supervisor de turno Ricardo Gálvez, se identifican y bloquean 3 pallets involucrados.</t>
  </si>
  <si>
    <t>Operadora Melina Ramirez informa que se le olvido realizar control en la zona de detector de metales por estar sola en la línea.</t>
  </si>
  <si>
    <t xml:space="preserve">Se identifican y bloquean con cinta amarilla los productos desde el ultimo monitoreo en cumplimiento, para pasar nuevamente por el detector de metales todos los productos PT. </t>
  </si>
  <si>
    <t>FB24424TN051303</t>
  </si>
  <si>
    <t>PÑ24424TM142500</t>
  </si>
  <si>
    <t>peligro fisico por hallazgo de elemento extraño</t>
  </si>
  <si>
    <t>rotura de filtro tamiz numero 3</t>
  </si>
  <si>
    <t>identificacion y bloqueo de producto involucrado</t>
  </si>
  <si>
    <t>revision y limpieza de todos los filtros tamiz.</t>
  </si>
  <si>
    <t>PÑ24424TM143128</t>
  </si>
  <si>
    <t>hallazgo elemento extraño en linea productiva</t>
  </si>
  <si>
    <t>rotura de filtro tamiz debido a fatiga de material</t>
  </si>
  <si>
    <t xml:space="preserve">identificacion de producto comprometido </t>
  </si>
  <si>
    <t>revision y limpieza de filtro tamiz.</t>
  </si>
  <si>
    <t xml:space="preserve">Falta de control en table de empaque L4 durante turno noche a las 3:00 am. Notificación de incumplimiento de frecuencia de control informa que  desviación ocurrió desde 02:14 hasta 05:00. </t>
  </si>
  <si>
    <t>Bloqueo de pallets 24; 25; 26; 27 y 28 dentro de esa hora.</t>
  </si>
  <si>
    <t>LS24424TM145348</t>
  </si>
  <si>
    <t xml:space="preserve">Se informa que durante el recorrido y la verificaciòn del check list en el àrea de empaque Bolleria se observa que el detector de metales tiene la receta de magdalena vainilla y el producto que se estaba elaborando es magdalena tres leches. Operadora encargada de la linea Shery Cherly indica que estaba asi desde el turno mañana. </t>
  </si>
  <si>
    <t>Sherly Chery</t>
  </si>
  <si>
    <t xml:space="preserve">Se identifica y se bloquea producto involucrado turno tarde (2 pallets). Pallets del turno mañana se despacharon. </t>
  </si>
  <si>
    <t xml:space="preserve">Descuido de la operadora de chequear la receta en el detector de metales. </t>
  </si>
  <si>
    <t xml:space="preserve">Se reprocesa producto y se realiza capacitaciòn de reforzamiento a la colaboradora Sherly Chery y al TPM de la Lìnea Jaime Ulloa. </t>
  </si>
  <si>
    <t>MS24624TT183736</t>
  </si>
  <si>
    <t>Se informa que durante la liberación de aseo post mantención de una pieza, se pudo observar que masa saliente de equipo TBP se encontraba adherido un pedazo de plástico que provenía del empaque de manteca, la cual se procede a merma toda la masa involucrada que dejo el turno de mañana.</t>
  </si>
  <si>
    <t>Se avisa a supervisor de turno Carlos Parada sobre el hallazgo y se detiene la línea para su investigación.</t>
  </si>
  <si>
    <t xml:space="preserve">Mala practica por apertura de envase de operador del Turno mañana por favor @marileny capacitar al personal </t>
  </si>
  <si>
    <t>Se procede a identificar y bloquear PT de doblada Lote 246 y se merma masa involucrada ya que no se puede asegurar que no estén más plásticos dentro del mismo así como no se puede ser identificado por el detector de metales y por ultimo se realiza aseo superficial en línea.</t>
  </si>
  <si>
    <t>FB24624TT185354</t>
  </si>
  <si>
    <t xml:space="preserve">Durante recorrido de líneas se pudo visualizar que se realizo control de PCC 6: Control de detector de metales y PCC 4 Control de enfriamiento a las 22:20 y el último control de gramaje fue registrado a las 21:10 teniendo incumplimiento en frecuencia de monitoreo. </t>
  </si>
  <si>
    <t>L. Ramírez</t>
  </si>
  <si>
    <t xml:space="preserve">Se avisa a supervisor de turno y se identifica y bloquea producto involucrado en desvío. </t>
  </si>
  <si>
    <t xml:space="preserve">Operadora Luzmary Ramírez olvido realizar control correspondiente y línea se detuvo a las 22:20 finalizando producción. </t>
  </si>
  <si>
    <t xml:space="preserve">Se realiza control de gramaje según Nch 44 y estos se encontraban en cumplimiento. </t>
  </si>
  <si>
    <t>YR24724TN053216</t>
  </si>
  <si>
    <t xml:space="preserve">Se recibe instruccioòn de  Analista Senior Maria Josè Vivar que se debe Bloquear el lote 086 de empanada horno Pino </t>
  </si>
  <si>
    <t>Ricardo Galvez</t>
  </si>
  <si>
    <t xml:space="preserve">Se da aviso a supervisor, se identifica y se bloquea producto involucrado. </t>
  </si>
  <si>
    <t>Calidad de relleno</t>
  </si>
  <si>
    <t>250,8</t>
  </si>
  <si>
    <t>MS24724TT192128</t>
  </si>
  <si>
    <t>Fallas en internet</t>
  </si>
  <si>
    <t>Se abrió mangas y se paso producto a granel</t>
  </si>
  <si>
    <t>Se informa del área de operaciones que tienen problemas con un lote específico del material al momento de sellar, ya que no permite adjutar correctamente el film sobre el envase</t>
  </si>
  <si>
    <t>V. Zuñíga</t>
  </si>
  <si>
    <t>Se informa a producción y bodega para que realicen identificación y bloqueo del Film involucrado</t>
  </si>
  <si>
    <t>Al revisar el film se observó que el film tiene una desviación por deficit de  1 mm en la distancia entre tacas respecto al plano mécanido del material de envase</t>
  </si>
  <si>
    <t>Se envía reclamo al proveedor con nota de crédito</t>
  </si>
  <si>
    <t>EO24824TM165808</t>
  </si>
  <si>
    <t xml:space="preserve">Supervisor de Turno Carlos Parada informa sobre criticidad encontraba sobre masa de producto doblada lote 248, donde el personal al realizar el doblez se percata que en la masa se encontraba adherida trozos grandes de plásticos gruesos no utilizados en preparación con materia prima </t>
  </si>
  <si>
    <t xml:space="preserve">Gonzalo Lepiqueo </t>
  </si>
  <si>
    <t>Se avisa a personal de mantención y supervisor Carlos parada sobre el hallazgo y se detiene la línea para su investigación.</t>
  </si>
  <si>
    <t>Sin determinar, ya que se realizó verificación en materias primas utilizadas en producción línea 3 no encontrando nada semejante a la criticidad.</t>
  </si>
  <si>
    <t>Se procede a identificar y bloquear PT de doblada Lote 248 (4 pallets de 30 bandejas y 1 pallet de 25 bandejas) se merma masa involucrada ya que no se puede asegurar que no estén más plásticos dentro del mismo, así como no puede ser identificado por el detector de metales y por último se realiza aseo superficial en línea.</t>
  </si>
  <si>
    <t>FB24824TT202926</t>
  </si>
  <si>
    <t>Harina con levadura en cambio de formato</t>
  </si>
  <si>
    <t>Durante el turno personal de empaque empanada solicito liberación de etiqueta de producto coctel queso lote 233 con fecha de descongelación del día 01/09/2024 dónde se esta superando el tiempo establecido de envasado posterior al refresh que es de 24 horas. Además se verifica temperatura de producto estando sobre el límite establecido 6,8 °C</t>
  </si>
  <si>
    <t xml:space="preserve">Se informa a supervsior de turno que se incumple procedimiento y se bloquea producto involucrado en desvío. </t>
  </si>
  <si>
    <t xml:space="preserve">Se inicia deshielo y no se realiza sellado en los lapsos establecidos. </t>
  </si>
  <si>
    <t xml:space="preserve">Se bloquea producto involucrado en desvío en zona de despacho </t>
  </si>
  <si>
    <t>YR25024TN061054</t>
  </si>
  <si>
    <t xml:space="preserve">Durante recorrido de línea se visualizo que se encontraba registradas temperatura de desvio en control PCC N°4 Enfriamiento P2 temperatura registrada 22,2 °C. </t>
  </si>
  <si>
    <t xml:space="preserve">Se consulto a mantención e indica que se presume inicio de deshielo, operadora Rosa Reyes no dio aviso oportuno a personal de mantención para la revisión. </t>
  </si>
  <si>
    <t>YR25324TT191911</t>
  </si>
  <si>
    <t xml:space="preserve">En recorrido por linea se observa que turno tarde a las 20 :25 no reporta temperatura de salida del horno del producto Not Co lote 253 por lo que se procede a bloquear 39 bandejas desde el ultimo control en cumplimiento </t>
  </si>
  <si>
    <t>David Lucero</t>
  </si>
  <si>
    <t>EMPANADA Not Pino</t>
  </si>
  <si>
    <t xml:space="preserve">Se bloquea e identifica el producto desde el ultimo control en cumplimiento. Se solicita curva de termperatura a personal de automatizacion en el horario del incumplimiento observandose que la temperatura de horneo esta en cumplimiento. Se libera producto posterior a verificacion de curva de temperatura y observar coccion del producto final bloqueado. se deja evidencia de curva en registro </t>
  </si>
  <si>
    <t>Por definir @Raul consultar con personal de turno tarde causa raiz de no reporte de temperatura</t>
  </si>
  <si>
    <t>355,68</t>
  </si>
  <si>
    <t>MM25424TN053108</t>
  </si>
  <si>
    <t xml:space="preserve">En recorrido por linea se observa incumplimiento en reporte de gramaje del producto del turno tarde de las 20:55. se bloquea pallet y se verifican pesos por NCh verificandose cumplimiento de gramaje en el producto por lo que se libera pallet bloqueado </t>
  </si>
  <si>
    <t>EMPANADA Not Co</t>
  </si>
  <si>
    <t xml:space="preserve">se identifica y se bloquea pallet. se verifican pesos segun Nch verificando cumplimiento de gramaje en el producto </t>
  </si>
  <si>
    <t>@Raul consultar con personal del turno causa raiz del incumplimiento de reporte de control de gramaje</t>
  </si>
  <si>
    <t>364,8</t>
  </si>
  <si>
    <t>MM25424TN055145</t>
  </si>
  <si>
    <t>La falla ocurre por la velocidad de la cinta que deforma la masa, esto es intermitente</t>
  </si>
  <si>
    <t xml:space="preserve">Mientras operador realizaba corte de queso reggianito encuentra unidades con hongo. </t>
  </si>
  <si>
    <t>J. Gomez</t>
  </si>
  <si>
    <t>Se bloquea MMPP queso reggianito colun lote 768989 fecha de vencimiento 08/08/2025</t>
  </si>
  <si>
    <t xml:space="preserve">Procedente de proveedor, Hongo no era superficial sino incrustado. </t>
  </si>
  <si>
    <t>Se realiza bloqueo de lote involucrado en desvío. @Ana Contrera (Chile) @Edson Orozco (Chile) estimados por favor realizar reclamo a proveedor</t>
  </si>
  <si>
    <t>YR25424TT201500</t>
  </si>
  <si>
    <t xml:space="preserve">J. Villagra </t>
  </si>
  <si>
    <t xml:space="preserve">Proverdo entragar esta causa raiz por contamiancion microbiologica </t>
  </si>
  <si>
    <t xml:space="preserve">Se informa que durante la produccion de pizza Napolitana Lider lote 255 , operador en produccion  pizza abre  materia prima salsa detomate (tambor) proveedor Langer y se encuentra con presencia de hongo en su envoltura interior y en suspension. </t>
  </si>
  <si>
    <t xml:space="preserve">Se bloquea MMPP. y se revisan los otros tambores que se encontraban en sala con el mismo lote (5 tambores revisados ) para descartar contaminación en los demás. </t>
  </si>
  <si>
    <t xml:space="preserve">Durante seguimiento de producto línea 02 en salida de anaconda se observa el 100% de incumplimiento en espesor entre 3,4cm y 4 cm con abolladura lateral.  Al inicio de turno TPM ya había realizado mejoras; por lo tanto, se remuestrea a las 17:22 observándose 100% de incumplimiento de espesor entre 3,6cm a 4,3cm. A las 18:15 se vuelve a remuestrear, encontrándose mejoras con un 40% de incumplimiento. </t>
  </si>
  <si>
    <t>Bloqueo de producción turno tarde hasta las 18:30.</t>
  </si>
  <si>
    <t>Se baja temperatura de frio de amasadora de 100% a 20%. Se sube temperatura a fermentadora de 35°C a 40°C y se estabiliza a 36°C. Se sube temperatura de horno de 310 a 320°C, se ajusta templadores de horno de 3 a 9 y finalmente se cambia de silo de harina de Heredia a San Cristobal.</t>
  </si>
  <si>
    <t>LS25624TT195324</t>
  </si>
  <si>
    <t xml:space="preserve">Analista de turno tarde informa que siendo las 20:50 se dirije a Empaque Bolleria y detecta desviacion de temperatura de empanada Coctel Queso en RAC 112 encontrandose en 12,1 ºC cuya temperatura es tomada de bandeja con empandas colocadas a granel. De acuerdo con las imagenes tomadas de lo detectado se observan bandejas con empaques mal sellados por lo que se presume que ocurrio un mal procedimiento de reproceso durante el proceso de sellado quedando por mas tiempo el producto sin ser reprocesado lo cual afecto la temperatura del producto. Por otra parte analista indica que procedio a revisar temperatura del producto desde el ultimo control en cumplimiento encontrando desviacion de la temperatura del producto en 7,8 ºC,  8 ºC, 9,2 ºC por lo que deja bloqueado fisicamente 2 pallets mas 23 bandejas se coloca identificacion del bloqueo </t>
  </si>
  <si>
    <t xml:space="preserve">Identificacion y bloqueo del producto desde el ultimo control en cumplimiento </t>
  </si>
  <si>
    <t xml:space="preserve">Falta de reproceso a tiempo para evitar desvios de temperatura del producto y control de temperatura del producto en la frecuencia establecida en registro,Falta de verificacion por parte de calidad del proceso excepcional en el turno tarde </t>
  </si>
  <si>
    <t xml:space="preserve">@Raul indicar destino final del producto. Realizar capacitacion al personal sobre como se debe realizar el sellado excepcional en area Envasado Bolleria </t>
  </si>
  <si>
    <t>463,5</t>
  </si>
  <si>
    <t>MM25724TT030239</t>
  </si>
  <si>
    <t xml:space="preserve">Siendo las 04:10 se bloquea pallet con 36 bandejas de Coctel Queso por perdida de cadena de frio encontrandose en 6,3 ºC en Empaque Bolleria. Se bloqueo producto debido a que Supervisor Harold no siguio las recomendaciones de calidad de enviar pallet a camara mientras personal se encontraba en colacion para evitar perdida de cadena de frio ya que el producto en dicho momento se encontraba en 4,9 ºC. Este proceso de sellado excepcional se debe ejecutar en el area en el menor tiempo posible y hacer caso omiso a dichas recomendaciones afectan la validacion de dicho proceso </t>
  </si>
  <si>
    <t xml:space="preserve">Identificacion y bloqueo de producto afectado </t>
  </si>
  <si>
    <t xml:space="preserve">perdida de cadena de frio </t>
  </si>
  <si>
    <t>MM25724TN041607</t>
  </si>
  <si>
    <t xml:space="preserve">Durante la verificaciòn de los registros se observa desviaciòn de PCC5  de atmosfera modificada  (CO2) el àrea de la multivac 1. </t>
  </si>
  <si>
    <t>Maria Medel</t>
  </si>
  <si>
    <t xml:space="preserve">Se informa al supervisor y TPM del àrea se procede a identificar y se bloquea el producto involucrado. </t>
  </si>
  <si>
    <t>Por informar.</t>
  </si>
  <si>
    <t>Se reprocesa producto bloqueado</t>
  </si>
  <si>
    <t>MS25724TM125516</t>
  </si>
  <si>
    <t>Durante el seguimiento del pan Baguette 250g se observa presencia de gorgojos adherida a la corteza del pan en una de las muestras.</t>
  </si>
  <si>
    <t>Se informa al supervisor del hallazgo, se procede a identifiacar y bloquear el producto involucrado. Se solicita detenciòn de linea para revisiòn.</t>
  </si>
  <si>
    <t xml:space="preserve">Se solicita revisiòn de linea por empresa de plaga. </t>
  </si>
  <si>
    <t>MS25724TM133729</t>
  </si>
  <si>
    <t xml:space="preserve">TPM de producciòn empanadas informa que en el momento de iniciar la producciòn con coctel jamòn el queso Mozarella Granulado se observa con  presencia de hongos. </t>
  </si>
  <si>
    <t>241008G</t>
  </si>
  <si>
    <t xml:space="preserve">Se identifica y se bloquea el producto involucrado </t>
  </si>
  <si>
    <t>MS26724TT193944</t>
  </si>
  <si>
    <t xml:space="preserve">Se visualizo inkject de producto de envasadora M2 con fecha de vencimiento errada. </t>
  </si>
  <si>
    <t>W. Flores</t>
  </si>
  <si>
    <t xml:space="preserve">Se realiza aviso inmediato a supervisor de turno para que avise a operadora y corrija el error, se separa el producto con error de fecha y se reenvasa. </t>
  </si>
  <si>
    <t>Operadora Lisbeth Zuñiga realiza el cambio de fecha en envadora sin percatarse que la inkject reflejaba vencimiento  12/09/2024</t>
  </si>
  <si>
    <t xml:space="preserve">Se realiza bloqueo de producto involucrado en desvío, se separa unidades con error y se envían a sala de envasado para su reenvasado. </t>
  </si>
  <si>
    <t>YR26824TN055642</t>
  </si>
  <si>
    <t>PP25624TN41406</t>
  </si>
  <si>
    <t>TPM Daniela Valencia informa que controló la temperatura de enfriamiento a la salida de anaconda en producción panadería Línea 2 a las 10:26 am y detecta desviación, temperatura de producto 20,3 °C.</t>
  </si>
  <si>
    <t>Se procede a envasar el producto dejando bolsas abiertas, se aplica golpe de frío.</t>
  </si>
  <si>
    <t>Se revisa con mantención motivo del desvío y estos indican que están trabajando en la recarga del refrigerante   en esta línea lo que ocasiono el desvío</t>
  </si>
  <si>
    <t>encontrándose en cumplimiento, por debajo los 20°C.</t>
  </si>
  <si>
    <t>Etiquetado incompleto</t>
  </si>
  <si>
    <t>31-35</t>
  </si>
  <si>
    <t>Baguette 250 con peso neto de bandeja bajo parámetros en gramaje incumpliendo FT que corresponde a 7,5 kilos</t>
  </si>
  <si>
    <t>No se realizaron ya que pertenece a producción turno de noche</t>
  </si>
  <si>
    <t>Favor turno noche capacitar a personal involucrado en este incumplimiento legal.</t>
  </si>
  <si>
    <t>CV26924TM112419</t>
  </si>
  <si>
    <t xml:space="preserve">Personal de producción informa que esta realizando bloqueo de producto marraqueta Líder con destino  a envasado ATM por incumplimiento de largo, esta se encuentra por debajo de 16 cm, el largo aceptable para envasado es superior a los 16 cm. </t>
  </si>
  <si>
    <t>268/269</t>
  </si>
  <si>
    <t xml:space="preserve">Se identifica y bloquea producto involucrado en desvío. </t>
  </si>
  <si>
    <t xml:space="preserve">Se desconoce se debe revisar con TPM de turno tarde. </t>
  </si>
  <si>
    <t xml:space="preserve">Bloqueo de producto, operaciones debe evaluar destino, ya que no es factible envasarlo y por procedimiento establece merma. </t>
  </si>
  <si>
    <t>5438,4</t>
  </si>
  <si>
    <t>YR26924TN220527</t>
  </si>
  <si>
    <t xml:space="preserve">Durante inicio de turno personal de empaque informo que pan  a la salida de la anaconda presento contaminación con partículas  negros. </t>
  </si>
  <si>
    <t>D. Díaz</t>
  </si>
  <si>
    <t xml:space="preserve">Se realiza detención de línea en sala de producción se merma masa con contaminación de particulas negras, se avisa a mantención. </t>
  </si>
  <si>
    <t xml:space="preserve">Sucio proveniente de manga de aire en sala de producción panadería. </t>
  </si>
  <si>
    <t xml:space="preserve">Mantención realiza limpieza de manga, se realiza corte sanitario en línea, se revisa y valida aseo quedando liberada para inicio de producción nuevamente, se merma producto terminado. </t>
  </si>
  <si>
    <t>YR27024TN053137</t>
  </si>
  <si>
    <t xml:space="preserve">Durante recorrido de línea se visualizo incumplimiento de frecuencia de monitoreo no se realizo control a las 23:20 y se realizo a las 00:00, ademas al proceder a realizar reproceso a las 4:40 se visualizo incumplimiento de frecuencia nuevamente. </t>
  </si>
  <si>
    <t xml:space="preserve">Se identifica y bloquea producto involucrado en desvío. Se avisa a supervisora de turno. </t>
  </si>
  <si>
    <t xml:space="preserve">Operdora Mariela Rojas se apoya en línea con TPM de producción panadería línea 5 y no realizan los controles dentro de la frecuencia establecida. </t>
  </si>
  <si>
    <t xml:space="preserve">Se reprocesa producto pasando nuevamente por detectot de metales. </t>
  </si>
  <si>
    <t>YR27024TN061707</t>
  </si>
  <si>
    <t>El error se originó por una equivocación de la operadora Estefany Arancibia, quien al transcribir los datos registró 7,05 kg en lugar de 7,5 kg. Debido a este error, los pesos en los controles posteriores también La operadora indica que el peso en las bandejas era correcto, aunque no puedo confirmarlo, ya que el reproceso se llevó a cabo en el turno de la tarde. No obstante, los registros de los pesos en los horarios de control y monitoreo son erróneos.</t>
  </si>
  <si>
    <t>3.382,5</t>
  </si>
  <si>
    <t xml:space="preserve">E. Bastias </t>
  </si>
  <si>
    <t xml:space="preserve">Se bloquea  producto </t>
  </si>
  <si>
    <t xml:space="preserve">Se le olvida a el operador llenar este registro. </t>
  </si>
  <si>
    <t xml:space="preserve">Se realiza revison del producto por norma chilena y se libera producto estando en cumplimiento el sellado </t>
  </si>
  <si>
    <t>PP27124TM120651 p. m.</t>
  </si>
  <si>
    <t>Durante revision de linea se observa el incumplimiento de frecuencia en el registro Rac -20 , ultimo control fue a las 9:55 y este es con una frecuancia de una hora ( 1 palet)</t>
  </si>
  <si>
    <t>Calidad de Harina, pues se mejoró el espesor al cambiar de silo de Heredia a San Cristobal.</t>
  </si>
  <si>
    <t>Se bloquea producto con cinta amrilla, se debe generar reclamo a proveedor  ( proveedor se lleva contenedor )</t>
  </si>
  <si>
    <t xml:space="preserve">Informan a analista de calidad que tiene problema con la ancaonda , tenian problema con la temperatura y deshielo de la misma , por ende el producto sale mojado y sin asegurar que las condiciones de temperatura del producto cumplieran </t>
  </si>
  <si>
    <t xml:space="preserve">K. Aguilera </t>
  </si>
  <si>
    <t xml:space="preserve">Paran produccion , separan producto saliente de la anaconda hasta que cumpliera con las condiciones de calidad e inocuidad. </t>
  </si>
  <si>
    <t xml:space="preserve">Deshielo en la anaconda , causando problemas con la temperatura y humedad en el producto </t>
  </si>
  <si>
    <t xml:space="preserve">Se bloquea producto y revisan las condicones de la anaconda. </t>
  </si>
  <si>
    <t>LS27224TN124111 p. m.</t>
  </si>
  <si>
    <t>Deficiencia de aseo</t>
  </si>
  <si>
    <t>Reclamo y Devoluciòn al proveedor</t>
  </si>
  <si>
    <t>De origen de proveedor</t>
  </si>
  <si>
    <t>Descripción de la NC</t>
  </si>
  <si>
    <t>N NNNNN</t>
  </si>
  <si>
    <t>Causa</t>
  </si>
  <si>
    <t>EO27524TM112928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</si>
</sst>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44" formatCode="_-&quot;XDR&quot;* #,##0.00_-;\-&quot;XDR&quot;* #,##0.00_-;_-&quot;XDR&quot;* &quot;-&quot;??_-;_-@_-"/>
    <numFmt numFmtId="43" formatCode="_-* #,##0.00_-;\-* #,##0.00_-;_-* &quot;-&quot;??_-;_-@_-"/>
    <numFmt numFmtId="164" formatCode="[$-C0A]mmm\-yy;@"/>
    <numFmt numFmtId="165" formatCode="dd\-mm\-yy;@"/>
    <numFmt numFmtId="166" formatCode="#,##0.00\ _€"/>
    <numFmt numFmtId="167" formatCode="#,##0.0"/>
    <numFmt numFmtId="168" formatCode="_-* #,##0.00\ _€_-;\-* #,##0.00\ _€_-;_-* &quot;-&quot;??\ _€_-;_-@_-"/>
    <numFmt numFmtId="169" formatCode="#,##0.00\ _€;\-#,##0.00\ _€"/>
    <numFmt numFmtId="170" formatCode="dd/mm/yy;@"/>
    <numFmt numFmtId="171" formatCode="#,##0.000"/>
    <numFmt numFmtId="172" formatCode="_-* #,##0_-;\-* #,##0_-;_-* &quot;-&quot;??_-;_-@_-"/>
    <numFmt numFmtId="173" formatCode="[$-F400]h:mm:ss\ AM/PM"/>
    <numFmt numFmtId="174" formatCode="_-[$$-409]* #,##0.00_ ;_-[$$-409]* \-#,##0.00\ ;_-[$$-409]* &quot;-&quot;??_ ;_-@_ "/>
    <numFmt numFmtId="175" formatCode="d\-m\-yyyy;@"/>
  </numFmts>
  <fonts count="39">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0"/>
      <color theme="0"/>
      <name val="Calibri"/>
      <family val="2"/>
      <scheme val="minor"/>
    </font>
    <font>
      <sz val="10"/>
      <color theme="1"/>
      <name val="Calibri"/>
      <family val="2"/>
      <scheme val="minor"/>
    </font>
    <font>
      <sz val="10"/>
      <color rgb="FF000000"/>
      <name val="Calibri"/>
      <family val="2"/>
      <scheme val="minor"/>
    </font>
    <font>
      <sz val="11"/>
      <color rgb="FF000000"/>
      <name val="Calibri"/>
      <family val="2"/>
      <scheme val="minor"/>
    </font>
    <font>
      <sz val="11"/>
      <name val="Calibri"/>
      <family val="2"/>
      <scheme val="minor"/>
    </font>
    <font>
      <sz val="8"/>
      <name val="Calibri"/>
      <family val="2"/>
      <scheme val="minor"/>
    </font>
    <font>
      <b/>
      <sz val="10"/>
      <color theme="1"/>
      <name val="Arial"/>
      <family val="2"/>
    </font>
    <font>
      <sz val="10"/>
      <name val="Arial"/>
      <family val="2"/>
    </font>
    <font>
      <sz val="10"/>
      <color theme="1"/>
      <name val="Arial"/>
      <family val="2"/>
    </font>
    <font>
      <vertAlign val="superscript"/>
      <sz val="11"/>
      <color theme="1"/>
      <name val="Calibri"/>
      <family val="2"/>
      <scheme val="minor"/>
    </font>
    <font>
      <sz val="12"/>
      <color theme="1"/>
      <name val="Arial"/>
      <family val="2"/>
    </font>
    <font>
      <b/>
      <sz val="12"/>
      <color theme="1"/>
      <name val="Arial"/>
      <family val="2"/>
    </font>
    <font>
      <b/>
      <sz val="14"/>
      <color theme="1"/>
      <name val="Arial"/>
      <family val="2"/>
    </font>
    <font>
      <b/>
      <sz val="22"/>
      <color rgb="FFFFFF00"/>
      <name val="Calibri"/>
      <family val="2"/>
      <scheme val="minor"/>
    </font>
    <font>
      <sz val="11"/>
      <color theme="0"/>
      <name val="Calibri"/>
      <family val="2"/>
      <scheme val="minor"/>
    </font>
    <font>
      <b/>
      <sz val="16"/>
      <color theme="1"/>
      <name val="Arial"/>
      <family val="2"/>
    </font>
    <font>
      <sz val="28"/>
      <color rgb="FF000000"/>
      <name val="Berlin Sans FB Demi"/>
      <family val="2"/>
    </font>
    <font>
      <sz val="15.7"/>
      <color rgb="FF000000"/>
      <name val="Calibri"/>
      <family val="2"/>
      <scheme val="minor"/>
    </font>
    <font>
      <sz val="15.7"/>
      <color rgb="FF000000"/>
      <name val="Arial Black"/>
      <family val="2"/>
    </font>
    <font>
      <b/>
      <sz val="20"/>
      <color rgb="FF000000"/>
      <name val="Arial"/>
      <family val="2"/>
    </font>
    <font>
      <sz val="11"/>
      <color theme="1"/>
      <name val="Arial"/>
      <family val="2"/>
    </font>
    <font>
      <b/>
      <sz val="11"/>
      <name val="Calibri"/>
      <family val="2"/>
      <scheme val="minor"/>
    </font>
    <font>
      <b/>
      <sz val="10"/>
      <name val="Arial"/>
      <family val="2"/>
    </font>
    <font>
      <u/>
      <sz val="11"/>
      <color theme="1"/>
      <name val="Calibri"/>
      <family val="2"/>
      <scheme val="minor"/>
    </font>
    <font>
      <sz val="11"/>
      <color rgb="FF1F497D"/>
      <name val="Calibri"/>
      <family val="2"/>
      <scheme val="minor"/>
    </font>
    <font>
      <sz val="11"/>
      <color rgb="FF000000"/>
      <name val="Calibri"/>
      <family val="2"/>
    </font>
    <font>
      <sz val="12"/>
      <color rgb="FF000000"/>
      <name val="Aptos"/>
      <family val="2"/>
    </font>
    <font>
      <sz val="11"/>
      <name val="Times New Roman"/>
      <family val="1"/>
    </font>
    <font>
      <b/>
      <sz val="12"/>
      <name val="Arial"/>
      <family val="2"/>
    </font>
    <font>
      <b/>
      <sz val="12"/>
      <name val="Calibri"/>
      <family val="2"/>
      <scheme val="minor"/>
    </font>
    <font>
      <b/>
      <sz val="12"/>
      <color theme="1"/>
      <name val="Calibri"/>
      <family val="2"/>
      <scheme val="minor"/>
    </font>
    <font>
      <sz val="12"/>
      <color indexed="8"/>
      <name val="Calibri"/>
      <family val="2"/>
    </font>
    <font>
      <sz val="12"/>
      <color theme="1"/>
      <name val="Calibri"/>
      <family val="2"/>
      <scheme val="minor"/>
    </font>
    <font>
      <sz val="20"/>
      <color rgb="FF000000"/>
      <name val="Calibri"/>
      <family val="2"/>
    </font>
    <font>
      <sz val="9"/>
      <color rgb="FF000000"/>
      <name val="Calibri"/>
      <family val="2"/>
    </font>
  </fonts>
  <fills count="20">
    <fill>
      <patternFill patternType="none"/>
    </fill>
    <fill>
      <patternFill patternType="gray125"/>
    </fill>
    <fill>
      <patternFill patternType="solid">
        <fgColor theme="5" tint="0.39997558519241921"/>
        <bgColor indexed="64"/>
      </patternFill>
    </fill>
    <fill>
      <patternFill patternType="solid">
        <fgColor theme="4" tint="0.79998168889431442"/>
        <bgColor theme="4" tint="0.79998168889431442"/>
      </patternFill>
    </fill>
    <fill>
      <patternFill patternType="solid">
        <fgColor rgb="FFFFC000"/>
        <bgColor theme="4" tint="0.79998168889431442"/>
      </patternFill>
    </fill>
    <fill>
      <patternFill patternType="solid">
        <fgColor rgb="FFFFC000"/>
        <bgColor indexed="64"/>
      </patternFill>
    </fill>
    <fill>
      <patternFill patternType="solid">
        <fgColor rgb="FF1188FF"/>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F5DE7D"/>
        <bgColor rgb="FF000000"/>
      </patternFill>
    </fill>
    <fill>
      <patternFill patternType="solid">
        <fgColor rgb="FFFFFF00"/>
        <bgColor indexed="64"/>
      </patternFill>
    </fill>
    <fill>
      <patternFill patternType="solid">
        <fgColor theme="4" tint="0.79998168889431442"/>
        <bgColor indexed="65"/>
      </patternFill>
    </fill>
    <fill>
      <patternFill patternType="solid">
        <fgColor theme="9" tint="0.59999389629810485"/>
        <bgColor indexed="64"/>
      </patternFill>
    </fill>
    <fill>
      <patternFill patternType="solid">
        <fgColor theme="4"/>
        <bgColor theme="4"/>
      </patternFill>
    </fill>
    <fill>
      <patternFill patternType="solid">
        <fgColor rgb="FFFFFF00"/>
        <bgColor theme="4" tint="0.79998168889431442"/>
      </patternFill>
    </fill>
    <fill>
      <patternFill patternType="solid">
        <fgColor rgb="FFFFFF00"/>
      </patternFill>
    </fill>
    <fill>
      <patternFill patternType="solid">
        <fgColor theme="7" tint="0.79998168889431442"/>
        <bgColor indexed="64"/>
      </patternFill>
    </fill>
    <fill>
      <patternFill patternType="solid">
        <fgColor theme="5"/>
        <bgColor indexed="64"/>
      </patternFill>
    </fill>
    <fill>
      <patternFill patternType="solid">
        <fgColor theme="9"/>
        <bgColor indexed="64"/>
      </patternFill>
    </fill>
    <fill>
      <patternFill patternType="solid">
        <fgColor theme="0" tint="-4.9989318521683403E-2"/>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style="thin">
        <color theme="4" tint="0.39997558519241921"/>
      </left>
      <right style="thin">
        <color theme="4" tint="0.39997558519241921"/>
      </right>
      <top style="thin">
        <color indexed="64"/>
      </top>
      <bottom style="thin">
        <color indexed="64"/>
      </bottom>
      <diagonal/>
    </border>
    <border>
      <left style="thin">
        <color theme="4" tint="0.39997558519241921"/>
      </left>
      <right style="thin">
        <color theme="4" tint="0.39997558519241921"/>
      </right>
      <top style="thin">
        <color indexed="64"/>
      </top>
      <bottom/>
      <diagonal/>
    </border>
    <border>
      <left style="thin">
        <color theme="4" tint="0.39997558519241921"/>
      </left>
      <right/>
      <top style="thin">
        <color indexed="64"/>
      </top>
      <bottom/>
      <diagonal/>
    </border>
    <border>
      <left style="thin">
        <color indexed="64"/>
      </left>
      <right style="thin">
        <color theme="4" tint="0.39997558519241921"/>
      </right>
      <top/>
      <bottom style="thin">
        <color indexed="64"/>
      </bottom>
      <diagonal/>
    </border>
    <border>
      <left/>
      <right style="thin">
        <color indexed="64"/>
      </right>
      <top/>
      <bottom/>
      <diagonal/>
    </border>
    <border>
      <left/>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indexed="64"/>
      </left>
      <right/>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theme="4" tint="0.39997558519241921"/>
      </right>
      <top style="thin">
        <color indexed="64"/>
      </top>
      <bottom style="thin">
        <color indexed="64"/>
      </bottom>
      <diagonal/>
    </border>
    <border>
      <left/>
      <right style="thin">
        <color theme="4" tint="0.39997558519241921"/>
      </right>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style="thin">
        <color rgb="FF999999"/>
      </right>
      <top style="thin">
        <color indexed="65"/>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indexed="64"/>
      </bottom>
      <diagonal/>
    </border>
    <border>
      <left style="thin">
        <color theme="4" tint="0.39997558519241921"/>
      </left>
      <right/>
      <top style="thin">
        <color theme="4" tint="0.39997558519241921"/>
      </top>
      <bottom style="thin">
        <color indexed="64"/>
      </bottom>
      <diagonal/>
    </border>
    <border>
      <left/>
      <right style="thin">
        <color theme="4" tint="0.39997558519241921"/>
      </right>
      <top style="thin">
        <color indexed="64"/>
      </top>
      <bottom/>
      <diagonal/>
    </border>
    <border>
      <left/>
      <right style="thin">
        <color theme="4" tint="0.39997558519241921"/>
      </right>
      <top/>
      <bottom style="thin">
        <color indexed="64"/>
      </bottom>
      <diagonal/>
    </border>
    <border>
      <left style="thin">
        <color theme="4" tint="0.39997558519241921"/>
      </left>
      <right/>
      <top style="medium">
        <color indexed="64"/>
      </top>
      <bottom/>
      <diagonal/>
    </border>
    <border>
      <left/>
      <right/>
      <top style="thin">
        <color indexed="64"/>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medium">
        <color rgb="FF000000"/>
      </right>
      <top/>
      <bottom/>
      <diagonal/>
    </border>
    <border>
      <left/>
      <right style="medium">
        <color rgb="FF000000"/>
      </right>
      <top style="medium">
        <color indexed="64"/>
      </top>
      <bottom/>
      <diagonal/>
    </border>
    <border>
      <left style="thin">
        <color indexed="64"/>
      </left>
      <right/>
      <top/>
      <bottom style="thin">
        <color indexed="64"/>
      </bottom>
      <diagonal/>
    </border>
  </borders>
  <cellStyleXfs count="7">
    <xf numFmtId="0" fontId="0" fillId="0" borderId="0"/>
    <xf numFmtId="164" fontId="1" fillId="0" borderId="0"/>
    <xf numFmtId="9" fontId="1" fillId="0" borderId="0" applyFont="0" applyFill="0" applyBorder="0" applyAlignment="0" applyProtection="0"/>
    <xf numFmtId="43" fontId="1" fillId="0" borderId="0" applyFont="0" applyFill="0" applyBorder="0" applyAlignment="0" applyProtection="0"/>
    <xf numFmtId="0" fontId="1" fillId="11" borderId="0" applyNumberFormat="0" applyBorder="0" applyAlignment="0" applyProtection="0"/>
    <xf numFmtId="44" fontId="1" fillId="0" borderId="0" applyFont="0" applyFill="0" applyBorder="0" applyAlignment="0" applyProtection="0"/>
    <xf numFmtId="0" fontId="31" fillId="0" borderId="0"/>
  </cellStyleXfs>
  <cellXfs count="417">
    <xf numFmtId="0" fontId="0" fillId="0" borderId="0" xfId="0"/>
    <xf numFmtId="0" fontId="5" fillId="0" borderId="2" xfId="0" applyFont="1" applyBorder="1"/>
    <xf numFmtId="0" fontId="5" fillId="0" borderId="0" xfId="0" applyFont="1"/>
    <xf numFmtId="0" fontId="4" fillId="2" borderId="8" xfId="0" applyFont="1" applyFill="1" applyBorder="1" applyAlignment="1">
      <alignment horizontal="center" vertical="center" wrapText="1"/>
    </xf>
    <xf numFmtId="0" fontId="2" fillId="2" borderId="8" xfId="0" applyFont="1" applyFill="1" applyBorder="1" applyAlignment="1">
      <alignment horizontal="center" vertical="center" wrapText="1"/>
    </xf>
    <xf numFmtId="0" fontId="5" fillId="0" borderId="5" xfId="0" applyFont="1" applyBorder="1"/>
    <xf numFmtId="0" fontId="5" fillId="0" borderId="1" xfId="0" applyFont="1" applyBorder="1"/>
    <xf numFmtId="0" fontId="5" fillId="0" borderId="6" xfId="0" applyFont="1" applyBorder="1"/>
    <xf numFmtId="0" fontId="5" fillId="0" borderId="10" xfId="0" applyFont="1" applyBorder="1"/>
    <xf numFmtId="0" fontId="0" fillId="0" borderId="6" xfId="0" applyBorder="1" applyAlignment="1">
      <alignment horizontal="center" vertical="center"/>
    </xf>
    <xf numFmtId="0" fontId="0" fillId="0" borderId="6" xfId="0" applyBorder="1" applyAlignment="1">
      <alignment horizontal="center"/>
    </xf>
    <xf numFmtId="0" fontId="5" fillId="0" borderId="11" xfId="0" applyFont="1" applyBorder="1"/>
    <xf numFmtId="0" fontId="0" fillId="0" borderId="10" xfId="0" applyBorder="1" applyAlignment="1">
      <alignment horizontal="center"/>
    </xf>
    <xf numFmtId="0" fontId="0" fillId="0" borderId="10" xfId="0" applyBorder="1" applyAlignment="1">
      <alignment horizontal="center" vertical="center"/>
    </xf>
    <xf numFmtId="0" fontId="5" fillId="0" borderId="8" xfId="0" applyFont="1" applyBorder="1"/>
    <xf numFmtId="0" fontId="5" fillId="3" borderId="13" xfId="0" applyFont="1" applyFill="1" applyBorder="1"/>
    <xf numFmtId="0" fontId="5" fillId="3" borderId="14" xfId="0" applyFont="1" applyFill="1" applyBorder="1"/>
    <xf numFmtId="0" fontId="5" fillId="0" borderId="14" xfId="0" applyFont="1" applyBorder="1"/>
    <xf numFmtId="0" fontId="4" fillId="2" borderId="15" xfId="0" applyFont="1" applyFill="1" applyBorder="1" applyAlignment="1">
      <alignment horizontal="center" vertical="center" wrapText="1"/>
    </xf>
    <xf numFmtId="0" fontId="5" fillId="0" borderId="12" xfId="0" applyFont="1" applyBorder="1"/>
    <xf numFmtId="0" fontId="0" fillId="0" borderId="1" xfId="0" applyBorder="1" applyAlignment="1">
      <alignment horizontal="center"/>
    </xf>
    <xf numFmtId="0" fontId="0" fillId="0" borderId="3" xfId="0" applyBorder="1" applyAlignment="1">
      <alignment horizontal="center"/>
    </xf>
    <xf numFmtId="0" fontId="0" fillId="0" borderId="2" xfId="0" applyBorder="1" applyAlignment="1">
      <alignment horizontal="center"/>
    </xf>
    <xf numFmtId="0" fontId="4" fillId="2" borderId="8" xfId="0" applyFont="1" applyFill="1" applyBorder="1" applyAlignment="1">
      <alignment vertical="center" wrapText="1"/>
    </xf>
    <xf numFmtId="0" fontId="5" fillId="3" borderId="2" xfId="0" applyFont="1" applyFill="1" applyBorder="1"/>
    <xf numFmtId="1" fontId="7" fillId="0" borderId="6" xfId="0" applyNumberFormat="1" applyFont="1" applyBorder="1" applyAlignment="1">
      <alignment vertical="center"/>
    </xf>
    <xf numFmtId="0" fontId="5" fillId="3" borderId="4" xfId="0" applyFont="1" applyFill="1" applyBorder="1"/>
    <xf numFmtId="1" fontId="6" fillId="0" borderId="10" xfId="0" applyNumberFormat="1" applyFont="1" applyBorder="1" applyAlignment="1">
      <alignment vertical="center"/>
    </xf>
    <xf numFmtId="0" fontId="0" fillId="0" borderId="0" xfId="0" applyAlignment="1">
      <alignment vertical="top"/>
    </xf>
    <xf numFmtId="0" fontId="10" fillId="0" borderId="0" xfId="0" applyFont="1" applyAlignment="1">
      <alignment vertical="top"/>
    </xf>
    <xf numFmtId="0" fontId="8" fillId="0" borderId="0" xfId="0" applyFont="1" applyAlignment="1">
      <alignment vertical="top"/>
    </xf>
    <xf numFmtId="0" fontId="8" fillId="0" borderId="0" xfId="0" applyFont="1"/>
    <xf numFmtId="0" fontId="11" fillId="0" borderId="0" xfId="0" applyFont="1" applyAlignment="1">
      <alignment vertical="top"/>
    </xf>
    <xf numFmtId="0" fontId="11" fillId="4" borderId="17" xfId="0" applyFont="1" applyFill="1" applyBorder="1" applyAlignment="1">
      <alignment vertical="top"/>
    </xf>
    <xf numFmtId="0" fontId="11" fillId="4" borderId="17" xfId="0" applyFont="1" applyFill="1" applyBorder="1" applyAlignment="1">
      <alignment horizontal="center" vertical="center"/>
    </xf>
    <xf numFmtId="0" fontId="12" fillId="0" borderId="0" xfId="0" applyFont="1" applyAlignment="1">
      <alignment vertical="top"/>
    </xf>
    <xf numFmtId="0" fontId="8" fillId="5" borderId="0" xfId="0" applyFont="1" applyFill="1"/>
    <xf numFmtId="0" fontId="0" fillId="3" borderId="18" xfId="0" applyFill="1" applyBorder="1"/>
    <xf numFmtId="0" fontId="0" fillId="3" borderId="20" xfId="0" applyFill="1" applyBorder="1"/>
    <xf numFmtId="0" fontId="0" fillId="0" borderId="18" xfId="0" applyBorder="1"/>
    <xf numFmtId="0" fontId="0" fillId="0" borderId="20" xfId="0" applyBorder="1"/>
    <xf numFmtId="0" fontId="8" fillId="3" borderId="18" xfId="0" applyFont="1" applyFill="1" applyBorder="1"/>
    <xf numFmtId="0" fontId="8" fillId="3" borderId="20" xfId="0" applyFont="1" applyFill="1" applyBorder="1"/>
    <xf numFmtId="0" fontId="8" fillId="0" borderId="18" xfId="0" applyFont="1" applyBorder="1"/>
    <xf numFmtId="0" fontId="8" fillId="0" borderId="20" xfId="0" applyFont="1" applyBorder="1"/>
    <xf numFmtId="0" fontId="8" fillId="3" borderId="22" xfId="0" applyFont="1" applyFill="1" applyBorder="1"/>
    <xf numFmtId="0" fontId="8" fillId="3" borderId="23" xfId="0" applyFont="1" applyFill="1" applyBorder="1"/>
    <xf numFmtId="0" fontId="0" fillId="3" borderId="22" xfId="0" applyFill="1" applyBorder="1"/>
    <xf numFmtId="0" fontId="0" fillId="3" borderId="23" xfId="0" applyFill="1" applyBorder="1"/>
    <xf numFmtId="0" fontId="12" fillId="3" borderId="18" xfId="0" applyFont="1" applyFill="1" applyBorder="1" applyAlignment="1">
      <alignment vertical="top"/>
    </xf>
    <xf numFmtId="0" fontId="0" fillId="3" borderId="20" xfId="0" applyFill="1" applyBorder="1" applyAlignment="1">
      <alignment vertical="top"/>
    </xf>
    <xf numFmtId="0" fontId="12" fillId="0" borderId="18" xfId="0" applyFont="1" applyBorder="1" applyAlignment="1">
      <alignment vertical="top"/>
    </xf>
    <xf numFmtId="0" fontId="0" fillId="0" borderId="20" xfId="0" applyBorder="1" applyAlignment="1">
      <alignment vertical="top"/>
    </xf>
    <xf numFmtId="0" fontId="0" fillId="0" borderId="22" xfId="0" applyBorder="1"/>
    <xf numFmtId="0" fontId="0" fillId="0" borderId="23" xfId="0" applyBorder="1"/>
    <xf numFmtId="0" fontId="12" fillId="3" borderId="22" xfId="0" applyFont="1" applyFill="1" applyBorder="1" applyAlignment="1">
      <alignment vertical="top"/>
    </xf>
    <xf numFmtId="0" fontId="5" fillId="3" borderId="21" xfId="0" applyFont="1" applyFill="1" applyBorder="1"/>
    <xf numFmtId="0" fontId="5" fillId="3" borderId="6" xfId="0" applyFont="1" applyFill="1" applyBorder="1"/>
    <xf numFmtId="0" fontId="5" fillId="3" borderId="10" xfId="0" applyFont="1" applyFill="1" applyBorder="1"/>
    <xf numFmtId="0" fontId="0" fillId="0" borderId="0" xfId="0" applyAlignment="1">
      <alignment horizontal="left"/>
    </xf>
    <xf numFmtId="0" fontId="5" fillId="0" borderId="1" xfId="0" applyFont="1" applyBorder="1" applyAlignment="1">
      <alignment horizontal="left" vertical="center"/>
    </xf>
    <xf numFmtId="164" fontId="0" fillId="0" borderId="3" xfId="1" applyFont="1" applyBorder="1" applyAlignment="1">
      <alignment horizontal="left" vertical="center"/>
    </xf>
    <xf numFmtId="1" fontId="0" fillId="0" borderId="3" xfId="1" applyNumberFormat="1" applyFont="1" applyBorder="1" applyAlignment="1">
      <alignment horizontal="left" vertical="center"/>
    </xf>
    <xf numFmtId="164" fontId="0" fillId="0" borderId="1" xfId="1" applyFont="1" applyBorder="1" applyAlignment="1">
      <alignment horizontal="left" vertical="center"/>
    </xf>
    <xf numFmtId="1" fontId="0" fillId="0" borderId="1" xfId="1" applyNumberFormat="1" applyFont="1" applyBorder="1" applyAlignment="1">
      <alignment horizontal="left" vertical="center"/>
    </xf>
    <xf numFmtId="164" fontId="1" fillId="0" borderId="3" xfId="1" applyBorder="1" applyAlignment="1">
      <alignment horizontal="left" vertical="center"/>
    </xf>
    <xf numFmtId="0" fontId="0" fillId="0" borderId="4" xfId="0" applyBorder="1" applyAlignment="1">
      <alignment horizontal="center"/>
    </xf>
    <xf numFmtId="0" fontId="5" fillId="0" borderId="19" xfId="0" applyFont="1" applyBorder="1"/>
    <xf numFmtId="0" fontId="5" fillId="0" borderId="24" xfId="0" applyFont="1" applyBorder="1"/>
    <xf numFmtId="0" fontId="0" fillId="3" borderId="21" xfId="0" applyFill="1" applyBorder="1"/>
    <xf numFmtId="0" fontId="0" fillId="0" borderId="25" xfId="0" applyBorder="1"/>
    <xf numFmtId="0" fontId="0" fillId="0" borderId="9" xfId="0" applyBorder="1" applyAlignment="1">
      <alignment horizontal="center"/>
    </xf>
    <xf numFmtId="14" fontId="0" fillId="0" borderId="0" xfId="0" applyNumberFormat="1"/>
    <xf numFmtId="0" fontId="0" fillId="0" borderId="0" xfId="0" applyAlignment="1">
      <alignment horizontal="center"/>
    </xf>
    <xf numFmtId="0" fontId="0" fillId="0" borderId="0" xfId="0" pivotButton="1"/>
    <xf numFmtId="0" fontId="0" fillId="3" borderId="1" xfId="0" applyFill="1" applyBorder="1" applyAlignment="1">
      <alignment horizontal="center"/>
    </xf>
    <xf numFmtId="0" fontId="0" fillId="0" borderId="26" xfId="0" applyBorder="1" applyAlignment="1">
      <alignment horizontal="center"/>
    </xf>
    <xf numFmtId="0" fontId="0" fillId="3" borderId="0" xfId="0" applyFill="1" applyAlignment="1">
      <alignment horizontal="center"/>
    </xf>
    <xf numFmtId="0" fontId="5" fillId="3" borderId="27" xfId="0" applyFont="1" applyFill="1" applyBorder="1"/>
    <xf numFmtId="0" fontId="5" fillId="0" borderId="27" xfId="0" applyFont="1" applyBorder="1"/>
    <xf numFmtId="0" fontId="5" fillId="3" borderId="28" xfId="0" applyFont="1" applyFill="1" applyBorder="1"/>
    <xf numFmtId="0" fontId="5" fillId="3" borderId="1" xfId="0" applyFont="1" applyFill="1" applyBorder="1"/>
    <xf numFmtId="0" fontId="5" fillId="0" borderId="16" xfId="0" applyFont="1" applyBorder="1"/>
    <xf numFmtId="0" fontId="5" fillId="3" borderId="16" xfId="0" applyFont="1" applyFill="1" applyBorder="1"/>
    <xf numFmtId="0" fontId="5" fillId="0" borderId="3" xfId="0" applyFont="1" applyBorder="1"/>
    <xf numFmtId="0" fontId="5" fillId="0" borderId="29" xfId="0" applyFont="1" applyBorder="1"/>
    <xf numFmtId="0" fontId="5" fillId="3" borderId="29" xfId="0" applyFont="1" applyFill="1" applyBorder="1"/>
    <xf numFmtId="0" fontId="5" fillId="3" borderId="30" xfId="0" applyFont="1" applyFill="1" applyBorder="1"/>
    <xf numFmtId="0" fontId="5" fillId="3" borderId="3" xfId="0" applyFont="1" applyFill="1" applyBorder="1"/>
    <xf numFmtId="0" fontId="15" fillId="6" borderId="40" xfId="0" applyFont="1" applyFill="1" applyBorder="1" applyAlignment="1">
      <alignment horizontal="right" vertical="center" wrapText="1"/>
    </xf>
    <xf numFmtId="0" fontId="15" fillId="6" borderId="44" xfId="0" applyFont="1" applyFill="1" applyBorder="1" applyAlignment="1">
      <alignment horizontal="right" vertical="center" wrapText="1"/>
    </xf>
    <xf numFmtId="0" fontId="15" fillId="6" borderId="43" xfId="0" applyFont="1" applyFill="1" applyBorder="1" applyAlignment="1">
      <alignment horizontal="right" vertical="center"/>
    </xf>
    <xf numFmtId="0" fontId="15" fillId="6" borderId="44" xfId="0" applyFont="1" applyFill="1" applyBorder="1" applyAlignment="1">
      <alignment horizontal="right" vertical="center"/>
    </xf>
    <xf numFmtId="0" fontId="15" fillId="6" borderId="40" xfId="0" applyFont="1" applyFill="1" applyBorder="1" applyAlignment="1">
      <alignment horizontal="right" vertical="center"/>
    </xf>
    <xf numFmtId="0" fontId="15" fillId="6" borderId="40" xfId="0" applyFont="1" applyFill="1" applyBorder="1" applyAlignment="1">
      <alignment horizontal="right"/>
    </xf>
    <xf numFmtId="0" fontId="15" fillId="6" borderId="43" xfId="0" applyFont="1" applyFill="1" applyBorder="1" applyAlignment="1">
      <alignment horizontal="right"/>
    </xf>
    <xf numFmtId="0" fontId="15" fillId="6" borderId="44" xfId="0" applyFont="1" applyFill="1" applyBorder="1" applyAlignment="1">
      <alignment horizontal="right"/>
    </xf>
    <xf numFmtId="0" fontId="0" fillId="0" borderId="0" xfId="0" applyAlignment="1">
      <alignment horizontal="left" vertical="center"/>
    </xf>
    <xf numFmtId="0" fontId="0" fillId="0" borderId="0" xfId="0" applyAlignment="1">
      <alignment horizontal="left" vertical="center" wrapText="1"/>
    </xf>
    <xf numFmtId="0" fontId="0" fillId="0" borderId="42" xfId="0" applyBorder="1" applyAlignment="1">
      <alignment horizontal="center" vertical="center"/>
    </xf>
    <xf numFmtId="0" fontId="0" fillId="0" borderId="34" xfId="0" applyBorder="1" applyAlignment="1">
      <alignment horizontal="center" vertical="center"/>
    </xf>
    <xf numFmtId="0" fontId="3" fillId="0" borderId="40" xfId="0" applyFont="1" applyBorder="1"/>
    <xf numFmtId="0" fontId="3" fillId="0" borderId="43" xfId="0" applyFont="1" applyBorder="1"/>
    <xf numFmtId="0" fontId="3" fillId="0" borderId="44" xfId="0" applyFont="1" applyBorder="1"/>
    <xf numFmtId="0" fontId="15" fillId="6" borderId="31" xfId="0" applyFont="1" applyFill="1" applyBorder="1" applyAlignment="1">
      <alignment horizontal="right" vertical="center" wrapText="1"/>
    </xf>
    <xf numFmtId="0" fontId="5" fillId="7" borderId="0" xfId="0" applyFont="1" applyFill="1" applyAlignment="1">
      <alignment vertical="center" wrapText="1"/>
    </xf>
    <xf numFmtId="0" fontId="0" fillId="7" borderId="0" xfId="0" applyFill="1"/>
    <xf numFmtId="0" fontId="15" fillId="7" borderId="0" xfId="0" applyFont="1" applyFill="1" applyAlignment="1">
      <alignment horizontal="center" vertical="center" wrapText="1"/>
    </xf>
    <xf numFmtId="0" fontId="14" fillId="7" borderId="0" xfId="0" applyFont="1" applyFill="1" applyAlignment="1">
      <alignment horizontal="right" vertical="center" wrapText="1"/>
    </xf>
    <xf numFmtId="0" fontId="0" fillId="7" borderId="0" xfId="0" applyFill="1" applyAlignment="1">
      <alignment horizontal="right"/>
    </xf>
    <xf numFmtId="0" fontId="14" fillId="7" borderId="0" xfId="0" applyFont="1" applyFill="1" applyAlignment="1">
      <alignment horizontal="right"/>
    </xf>
    <xf numFmtId="0" fontId="15" fillId="6" borderId="38" xfId="0" applyFont="1" applyFill="1" applyBorder="1" applyAlignment="1">
      <alignment horizontal="right"/>
    </xf>
    <xf numFmtId="0" fontId="15" fillId="6" borderId="37" xfId="0" applyFont="1" applyFill="1" applyBorder="1" applyAlignment="1">
      <alignment horizontal="right" vertical="center" wrapText="1"/>
    </xf>
    <xf numFmtId="0" fontId="15" fillId="6" borderId="35" xfId="0" applyFont="1" applyFill="1" applyBorder="1" applyAlignment="1">
      <alignment horizontal="right" vertical="center" wrapText="1"/>
    </xf>
    <xf numFmtId="0" fontId="15" fillId="6" borderId="35" xfId="0" applyFont="1" applyFill="1" applyBorder="1" applyAlignment="1">
      <alignment horizontal="right" vertical="center"/>
    </xf>
    <xf numFmtId="0" fontId="15" fillId="6" borderId="33" xfId="0" applyFont="1" applyFill="1" applyBorder="1" applyAlignment="1">
      <alignment horizontal="right" vertical="center"/>
    </xf>
    <xf numFmtId="0" fontId="15" fillId="6" borderId="37" xfId="0" applyFont="1" applyFill="1" applyBorder="1" applyAlignment="1">
      <alignment horizontal="right" vertical="center"/>
    </xf>
    <xf numFmtId="0" fontId="14" fillId="7" borderId="0" xfId="0" applyFont="1" applyFill="1" applyAlignment="1">
      <alignment horizontal="right" vertical="center"/>
    </xf>
    <xf numFmtId="0" fontId="3" fillId="6" borderId="38" xfId="0" applyFont="1" applyFill="1" applyBorder="1" applyAlignment="1">
      <alignment horizontal="right"/>
    </xf>
    <xf numFmtId="0" fontId="14" fillId="0" borderId="0" xfId="0" applyFont="1" applyAlignment="1">
      <alignment wrapText="1"/>
    </xf>
    <xf numFmtId="0" fontId="14" fillId="0" borderId="0" xfId="0" applyFont="1" applyAlignment="1">
      <alignment horizontal="right" wrapText="1"/>
    </xf>
    <xf numFmtId="0" fontId="21" fillId="0" borderId="0" xfId="0" applyFont="1" applyAlignment="1">
      <alignment horizontal="center" wrapText="1"/>
    </xf>
    <xf numFmtId="0" fontId="21" fillId="0" borderId="0" xfId="0" applyFont="1" applyAlignment="1">
      <alignment wrapText="1"/>
    </xf>
    <xf numFmtId="0" fontId="22" fillId="0" borderId="0" xfId="0" applyFont="1" applyAlignment="1">
      <alignment horizontal="center" wrapText="1"/>
    </xf>
    <xf numFmtId="14" fontId="23" fillId="0" borderId="0" xfId="0" applyNumberFormat="1" applyFont="1" applyAlignment="1">
      <alignment horizontal="center" wrapText="1"/>
    </xf>
    <xf numFmtId="164" fontId="1" fillId="0" borderId="0" xfId="1"/>
    <xf numFmtId="0" fontId="0" fillId="0" borderId="18" xfId="0" applyBorder="1" applyAlignment="1">
      <alignment vertical="top"/>
    </xf>
    <xf numFmtId="0" fontId="14" fillId="0" borderId="0" xfId="0" applyFont="1" applyAlignment="1">
      <alignment horizontal="left" wrapText="1"/>
    </xf>
    <xf numFmtId="14" fontId="0" fillId="0" borderId="36" xfId="0" applyNumberFormat="1" applyBorder="1" applyAlignment="1">
      <alignment horizontal="center" vertical="center"/>
    </xf>
    <xf numFmtId="10" fontId="20" fillId="9" borderId="1" xfId="2" applyNumberFormat="1" applyFont="1" applyFill="1" applyBorder="1" applyAlignment="1">
      <alignment vertical="center"/>
    </xf>
    <xf numFmtId="3" fontId="19" fillId="8" borderId="1" xfId="0" applyNumberFormat="1" applyFont="1" applyFill="1" applyBorder="1" applyAlignment="1">
      <alignment wrapText="1"/>
    </xf>
    <xf numFmtId="0" fontId="0" fillId="0" borderId="0" xfId="0" applyProtection="1">
      <protection locked="0"/>
    </xf>
    <xf numFmtId="0" fontId="5" fillId="0" borderId="7" xfId="0" applyFont="1" applyBorder="1"/>
    <xf numFmtId="0" fontId="24" fillId="0" borderId="0" xfId="0" pivotButton="1" applyFont="1" applyAlignment="1">
      <alignment wrapText="1"/>
    </xf>
    <xf numFmtId="0" fontId="24" fillId="0" borderId="0" xfId="0" applyFont="1" applyAlignment="1">
      <alignment horizontal="right" wrapText="1"/>
    </xf>
    <xf numFmtId="49" fontId="0" fillId="0" borderId="0" xfId="0" applyNumberFormat="1"/>
    <xf numFmtId="167" fontId="14" fillId="0" borderId="0" xfId="0" applyNumberFormat="1" applyFont="1" applyAlignment="1">
      <alignment wrapText="1"/>
    </xf>
    <xf numFmtId="0" fontId="14" fillId="0" borderId="0" xfId="0" pivotButton="1" applyFont="1" applyAlignment="1">
      <alignment horizontal="left" wrapText="1"/>
    </xf>
    <xf numFmtId="167" fontId="14" fillId="0" borderId="0" xfId="0" applyNumberFormat="1" applyFont="1" applyAlignment="1">
      <alignment horizontal="right" wrapText="1"/>
    </xf>
    <xf numFmtId="165" fontId="18" fillId="0" borderId="0" xfId="0" applyNumberFormat="1" applyFont="1" applyAlignment="1">
      <alignment horizontal="left"/>
    </xf>
    <xf numFmtId="43" fontId="0" fillId="0" borderId="0" xfId="0" applyNumberFormat="1"/>
    <xf numFmtId="43" fontId="14" fillId="0" borderId="0" xfId="0" applyNumberFormat="1" applyFont="1" applyAlignment="1">
      <alignment wrapText="1"/>
    </xf>
    <xf numFmtId="0" fontId="19" fillId="8" borderId="0" xfId="0" applyFont="1" applyFill="1" applyAlignment="1">
      <alignment horizontal="center" wrapText="1"/>
    </xf>
    <xf numFmtId="168" fontId="24" fillId="0" borderId="0" xfId="0" applyNumberFormat="1" applyFont="1" applyAlignment="1">
      <alignment horizontal="right" wrapText="1"/>
    </xf>
    <xf numFmtId="168" fontId="14" fillId="0" borderId="0" xfId="0" applyNumberFormat="1" applyFont="1" applyAlignment="1">
      <alignment wrapText="1"/>
    </xf>
    <xf numFmtId="0" fontId="0" fillId="0" borderId="46" xfId="0" pivotButton="1" applyBorder="1"/>
    <xf numFmtId="0" fontId="0" fillId="0" borderId="47" xfId="0" applyBorder="1"/>
    <xf numFmtId="0" fontId="0" fillId="0" borderId="46" xfId="0" applyBorder="1" applyAlignment="1">
      <alignment horizontal="left"/>
    </xf>
    <xf numFmtId="0" fontId="0" fillId="0" borderId="48" xfId="0" applyBorder="1" applyAlignment="1">
      <alignment horizontal="left"/>
    </xf>
    <xf numFmtId="0" fontId="0" fillId="0" borderId="50" xfId="0" applyBorder="1" applyAlignment="1">
      <alignment horizontal="left"/>
    </xf>
    <xf numFmtId="170" fontId="0" fillId="0" borderId="0" xfId="0" applyNumberFormat="1"/>
    <xf numFmtId="0" fontId="0" fillId="3" borderId="18" xfId="0" applyFill="1" applyBorder="1" applyAlignment="1">
      <alignment vertical="top"/>
    </xf>
    <xf numFmtId="0" fontId="0" fillId="0" borderId="8" xfId="0" applyBorder="1"/>
    <xf numFmtId="0" fontId="0" fillId="0" borderId="45" xfId="0" applyBorder="1"/>
    <xf numFmtId="0" fontId="3" fillId="0" borderId="0" xfId="0" applyFont="1"/>
    <xf numFmtId="167" fontId="0" fillId="0" borderId="0" xfId="0" applyNumberFormat="1"/>
    <xf numFmtId="168" fontId="0" fillId="0" borderId="0" xfId="0" applyNumberFormat="1"/>
    <xf numFmtId="0" fontId="14" fillId="0" borderId="0" xfId="0" pivotButton="1" applyFont="1" applyAlignment="1">
      <alignment wrapText="1"/>
    </xf>
    <xf numFmtId="3" fontId="0" fillId="0" borderId="0" xfId="0" applyNumberFormat="1"/>
    <xf numFmtId="169" fontId="14" fillId="0" borderId="0" xfId="0" applyNumberFormat="1" applyFont="1" applyAlignment="1">
      <alignment wrapText="1"/>
    </xf>
    <xf numFmtId="169" fontId="0" fillId="0" borderId="0" xfId="0" applyNumberFormat="1"/>
    <xf numFmtId="0" fontId="0" fillId="0" borderId="51" xfId="0" applyBorder="1"/>
    <xf numFmtId="0" fontId="0" fillId="0" borderId="49" xfId="0" applyBorder="1"/>
    <xf numFmtId="3" fontId="14" fillId="0" borderId="0" xfId="0" applyNumberFormat="1" applyFont="1" applyAlignment="1">
      <alignment wrapText="1"/>
    </xf>
    <xf numFmtId="43" fontId="14" fillId="0" borderId="0" xfId="0" applyNumberFormat="1" applyFont="1" applyAlignment="1">
      <alignment horizontal="right" wrapText="1"/>
    </xf>
    <xf numFmtId="43" fontId="0" fillId="0" borderId="0" xfId="0" applyNumberFormat="1" applyAlignment="1">
      <alignment horizontal="right"/>
    </xf>
    <xf numFmtId="0" fontId="0" fillId="0" borderId="0" xfId="0" applyAlignment="1">
      <alignment horizontal="right"/>
    </xf>
    <xf numFmtId="167" fontId="25" fillId="11" borderId="22" xfId="0" applyNumberFormat="1" applyFont="1" applyFill="1" applyBorder="1" applyAlignment="1">
      <alignment horizontal="center" vertical="center" wrapText="1"/>
    </xf>
    <xf numFmtId="167" fontId="25" fillId="11" borderId="53" xfId="0" applyNumberFormat="1" applyFont="1" applyFill="1" applyBorder="1" applyAlignment="1">
      <alignment horizontal="center" vertical="center" wrapText="1"/>
    </xf>
    <xf numFmtId="167" fontId="25" fillId="11" borderId="23" xfId="0" applyNumberFormat="1" applyFont="1" applyFill="1" applyBorder="1" applyAlignment="1">
      <alignment horizontal="center" vertical="center" wrapText="1"/>
    </xf>
    <xf numFmtId="167" fontId="25" fillId="11" borderId="0" xfId="0" applyNumberFormat="1" applyFont="1" applyFill="1" applyAlignment="1">
      <alignment horizontal="center" vertical="center" wrapText="1"/>
    </xf>
    <xf numFmtId="167" fontId="25" fillId="11" borderId="55" xfId="4" applyNumberFormat="1" applyFont="1" applyBorder="1" applyAlignment="1">
      <alignment horizontal="center" vertical="center"/>
    </xf>
    <xf numFmtId="167" fontId="25" fillId="11" borderId="54" xfId="4" applyNumberFormat="1" applyFont="1" applyBorder="1" applyAlignment="1">
      <alignment horizontal="center" vertical="center"/>
    </xf>
    <xf numFmtId="20" fontId="0" fillId="0" borderId="0" xfId="0" applyNumberFormat="1"/>
    <xf numFmtId="20" fontId="0" fillId="0" borderId="45" xfId="0" applyNumberFormat="1" applyBorder="1"/>
    <xf numFmtId="0" fontId="3" fillId="0" borderId="45" xfId="0" applyFont="1" applyBorder="1"/>
    <xf numFmtId="166" fontId="0" fillId="0" borderId="0" xfId="0" applyNumberFormat="1"/>
    <xf numFmtId="166" fontId="0" fillId="0" borderId="45" xfId="0" applyNumberFormat="1" applyBorder="1"/>
    <xf numFmtId="4" fontId="0" fillId="0" borderId="0" xfId="0" applyNumberFormat="1"/>
    <xf numFmtId="167" fontId="25" fillId="11" borderId="0" xfId="0" applyNumberFormat="1" applyFont="1" applyFill="1" applyAlignment="1">
      <alignment horizontal="center" vertical="center"/>
    </xf>
    <xf numFmtId="167" fontId="25" fillId="11" borderId="0" xfId="4" applyNumberFormat="1" applyFont="1" applyBorder="1" applyAlignment="1">
      <alignment horizontal="center" vertical="center"/>
    </xf>
    <xf numFmtId="167" fontId="25" fillId="11" borderId="0" xfId="4" applyNumberFormat="1" applyFont="1" applyAlignment="1">
      <alignment horizontal="center" vertical="center"/>
    </xf>
    <xf numFmtId="0" fontId="0" fillId="0" borderId="10" xfId="0" applyBorder="1"/>
    <xf numFmtId="0" fontId="0" fillId="0" borderId="56" xfId="0" applyBorder="1"/>
    <xf numFmtId="20" fontId="0" fillId="0" borderId="10" xfId="0" applyNumberFormat="1" applyBorder="1"/>
    <xf numFmtId="0" fontId="3" fillId="0" borderId="10" xfId="0" applyFont="1" applyBorder="1"/>
    <xf numFmtId="166" fontId="0" fillId="0" borderId="10" xfId="0" applyNumberFormat="1" applyBorder="1"/>
    <xf numFmtId="167" fontId="25" fillId="11" borderId="10" xfId="4" applyNumberFormat="1" applyFont="1" applyBorder="1" applyAlignment="1">
      <alignment horizontal="center" vertical="center"/>
    </xf>
    <xf numFmtId="167" fontId="25" fillId="11" borderId="22" xfId="4" applyNumberFormat="1" applyFont="1" applyBorder="1" applyAlignment="1">
      <alignment horizontal="center" vertical="center"/>
    </xf>
    <xf numFmtId="167" fontId="25" fillId="11" borderId="53" xfId="4" applyNumberFormat="1" applyFont="1" applyBorder="1" applyAlignment="1">
      <alignment horizontal="center" vertical="center"/>
    </xf>
    <xf numFmtId="167" fontId="25" fillId="11" borderId="14" xfId="4" applyNumberFormat="1" applyFont="1" applyBorder="1" applyAlignment="1">
      <alignment horizontal="center" vertical="center"/>
    </xf>
    <xf numFmtId="0" fontId="0" fillId="10" borderId="0" xfId="0" applyFill="1"/>
    <xf numFmtId="0" fontId="27" fillId="0" borderId="0" xfId="0" applyFont="1"/>
    <xf numFmtId="0" fontId="0" fillId="0" borderId="57" xfId="0" applyBorder="1"/>
    <xf numFmtId="20" fontId="0" fillId="0" borderId="8" xfId="0" applyNumberFormat="1" applyBorder="1"/>
    <xf numFmtId="0" fontId="3" fillId="0" borderId="8" xfId="0" applyFont="1" applyBorder="1"/>
    <xf numFmtId="2" fontId="0" fillId="0" borderId="0" xfId="0" applyNumberFormat="1" applyAlignment="1">
      <alignment horizontal="center" vertical="center"/>
    </xf>
    <xf numFmtId="171" fontId="26" fillId="12" borderId="22" xfId="0" applyNumberFormat="1" applyFont="1" applyFill="1" applyBorder="1" applyAlignment="1">
      <alignment horizontal="center" vertical="center"/>
    </xf>
    <xf numFmtId="167" fontId="26" fillId="12" borderId="53" xfId="0" applyNumberFormat="1" applyFont="1" applyFill="1" applyBorder="1" applyAlignment="1">
      <alignment horizontal="center" vertical="center"/>
    </xf>
    <xf numFmtId="167" fontId="8" fillId="3" borderId="0" xfId="0" applyNumberFormat="1" applyFont="1" applyFill="1" applyAlignment="1">
      <alignment horizontal="center" vertical="center"/>
    </xf>
    <xf numFmtId="167" fontId="25" fillId="11" borderId="21" xfId="4" applyNumberFormat="1" applyFont="1" applyBorder="1" applyAlignment="1">
      <alignment horizontal="center" vertical="center"/>
    </xf>
    <xf numFmtId="0" fontId="2" fillId="13" borderId="18" xfId="0" applyFont="1" applyFill="1" applyBorder="1"/>
    <xf numFmtId="0" fontId="2" fillId="13" borderId="52" xfId="0" applyFont="1" applyFill="1" applyBorder="1"/>
    <xf numFmtId="167" fontId="25" fillId="11" borderId="52" xfId="0" applyNumberFormat="1" applyFont="1" applyFill="1" applyBorder="1" applyAlignment="1">
      <alignment horizontal="center" vertical="center" wrapText="1"/>
    </xf>
    <xf numFmtId="167" fontId="25" fillId="11" borderId="20" xfId="0" applyNumberFormat="1" applyFont="1" applyFill="1" applyBorder="1" applyAlignment="1">
      <alignment horizontal="center" vertical="center" wrapText="1"/>
    </xf>
    <xf numFmtId="3" fontId="25" fillId="11" borderId="53" xfId="0" applyNumberFormat="1" applyFont="1" applyFill="1" applyBorder="1" applyAlignment="1">
      <alignment horizontal="center" vertical="center" wrapText="1"/>
    </xf>
    <xf numFmtId="172" fontId="0" fillId="0" borderId="0" xfId="3" applyNumberFormat="1" applyFont="1" applyAlignment="1">
      <alignment horizontal="center"/>
    </xf>
    <xf numFmtId="0" fontId="0" fillId="0" borderId="1" xfId="0" applyBorder="1" applyAlignment="1">
      <alignment wrapText="1"/>
    </xf>
    <xf numFmtId="0" fontId="0" fillId="0" borderId="1" xfId="0" applyBorder="1" applyAlignment="1">
      <alignment horizontal="left" wrapText="1"/>
    </xf>
    <xf numFmtId="43" fontId="0" fillId="0" borderId="1" xfId="3" applyFont="1" applyBorder="1" applyAlignment="1">
      <alignment vertical="top" wrapText="1"/>
    </xf>
    <xf numFmtId="167" fontId="25" fillId="11" borderId="17" xfId="0" applyNumberFormat="1" applyFont="1" applyFill="1" applyBorder="1" applyAlignment="1">
      <alignment horizontal="center" vertical="center" wrapText="1"/>
    </xf>
    <xf numFmtId="0" fontId="0" fillId="0" borderId="9" xfId="0" applyBorder="1" applyAlignment="1">
      <alignment horizontal="left" wrapText="1"/>
    </xf>
    <xf numFmtId="20" fontId="0" fillId="10" borderId="0" xfId="0" applyNumberFormat="1" applyFill="1"/>
    <xf numFmtId="0" fontId="3" fillId="10" borderId="0" xfId="0" applyFont="1" applyFill="1"/>
    <xf numFmtId="166" fontId="0" fillId="10" borderId="0" xfId="0" applyNumberFormat="1" applyFill="1"/>
    <xf numFmtId="167" fontId="25" fillId="15" borderId="0" xfId="4" applyNumberFormat="1" applyFont="1" applyFill="1" applyBorder="1" applyAlignment="1">
      <alignment horizontal="center" vertical="center"/>
    </xf>
    <xf numFmtId="167" fontId="25" fillId="15" borderId="0" xfId="0" applyNumberFormat="1" applyFont="1" applyFill="1" applyAlignment="1">
      <alignment horizontal="center" vertical="center"/>
    </xf>
    <xf numFmtId="14" fontId="0" fillId="0" borderId="1" xfId="0" applyNumberFormat="1" applyBorder="1" applyAlignment="1">
      <alignment wrapText="1"/>
    </xf>
    <xf numFmtId="173" fontId="0" fillId="0" borderId="1" xfId="0" applyNumberFormat="1" applyBorder="1" applyAlignment="1">
      <alignment wrapText="1"/>
    </xf>
    <xf numFmtId="2" fontId="0" fillId="0" borderId="1" xfId="0" applyNumberFormat="1" applyBorder="1" applyAlignment="1">
      <alignment wrapText="1"/>
    </xf>
    <xf numFmtId="0" fontId="0" fillId="3" borderId="52" xfId="0" applyFill="1" applyBorder="1"/>
    <xf numFmtId="0" fontId="0" fillId="0" borderId="52" xfId="0" applyBorder="1"/>
    <xf numFmtId="0" fontId="27" fillId="3" borderId="52" xfId="0" applyFont="1" applyFill="1" applyBorder="1"/>
    <xf numFmtId="0" fontId="0" fillId="3" borderId="59" xfId="0" applyFill="1" applyBorder="1"/>
    <xf numFmtId="0" fontId="0" fillId="0" borderId="59" xfId="0" applyBorder="1"/>
    <xf numFmtId="49" fontId="0" fillId="3" borderId="52" xfId="0" applyNumberFormat="1" applyFill="1" applyBorder="1"/>
    <xf numFmtId="167" fontId="25" fillId="11" borderId="20" xfId="0" applyNumberFormat="1" applyFont="1" applyFill="1" applyBorder="1" applyAlignment="1">
      <alignment vertical="center" wrapText="1"/>
    </xf>
    <xf numFmtId="167" fontId="25" fillId="11" borderId="60" xfId="4" applyNumberFormat="1" applyFont="1" applyBorder="1" applyAlignment="1">
      <alignment vertical="center"/>
    </xf>
    <xf numFmtId="167" fontId="25" fillId="11" borderId="20" xfId="4" applyNumberFormat="1" applyFont="1" applyBorder="1" applyAlignment="1">
      <alignment vertical="center"/>
    </xf>
    <xf numFmtId="2" fontId="0" fillId="0" borderId="0" xfId="0" applyNumberFormat="1"/>
    <xf numFmtId="2" fontId="7" fillId="0" borderId="0" xfId="0" applyNumberFormat="1" applyFont="1" applyAlignment="1">
      <alignment horizontal="right"/>
    </xf>
    <xf numFmtId="2" fontId="0" fillId="10" borderId="0" xfId="0" applyNumberFormat="1" applyFill="1"/>
    <xf numFmtId="2" fontId="0" fillId="0" borderId="0" xfId="0" applyNumberFormat="1" applyAlignment="1">
      <alignment horizontal="right"/>
    </xf>
    <xf numFmtId="2" fontId="0" fillId="0" borderId="10" xfId="0" applyNumberFormat="1" applyBorder="1"/>
    <xf numFmtId="2" fontId="0" fillId="0" borderId="8" xfId="0" applyNumberFormat="1" applyBorder="1"/>
    <xf numFmtId="2" fontId="0" fillId="0" borderId="45" xfId="0" applyNumberFormat="1" applyBorder="1"/>
    <xf numFmtId="43" fontId="0" fillId="0" borderId="0" xfId="3" applyFont="1"/>
    <xf numFmtId="0" fontId="0" fillId="3" borderId="0" xfId="0" applyFill="1"/>
    <xf numFmtId="49" fontId="0" fillId="0" borderId="45" xfId="0" applyNumberFormat="1" applyBorder="1"/>
    <xf numFmtId="0" fontId="8" fillId="0" borderId="22" xfId="0" applyFont="1" applyBorder="1"/>
    <xf numFmtId="49" fontId="8" fillId="3" borderId="22" xfId="0" applyNumberFormat="1" applyFont="1" applyFill="1" applyBorder="1"/>
    <xf numFmtId="49" fontId="8" fillId="0" borderId="22" xfId="0" applyNumberFormat="1" applyFont="1" applyBorder="1"/>
    <xf numFmtId="0" fontId="8" fillId="3" borderId="58" xfId="0" applyFont="1" applyFill="1" applyBorder="1"/>
    <xf numFmtId="167" fontId="8" fillId="14" borderId="0" xfId="0" applyNumberFormat="1" applyFont="1" applyFill="1" applyAlignment="1">
      <alignment horizontal="center" vertical="center"/>
    </xf>
    <xf numFmtId="0" fontId="8" fillId="0" borderId="53" xfId="0" applyFont="1" applyBorder="1"/>
    <xf numFmtId="0" fontId="8" fillId="3" borderId="53" xfId="0" applyFont="1" applyFill="1" applyBorder="1"/>
    <xf numFmtId="0" fontId="8" fillId="3" borderId="41" xfId="0" applyFont="1" applyFill="1" applyBorder="1"/>
    <xf numFmtId="167" fontId="26" fillId="12" borderId="0" xfId="0" applyNumberFormat="1" applyFont="1" applyFill="1" applyAlignment="1">
      <alignment horizontal="center" vertical="center"/>
    </xf>
    <xf numFmtId="0" fontId="0" fillId="0" borderId="53" xfId="0" applyBorder="1"/>
    <xf numFmtId="167" fontId="25" fillId="11" borderId="52" xfId="4" applyNumberFormat="1" applyFont="1" applyBorder="1" applyAlignment="1">
      <alignment horizontal="center" vertical="center"/>
    </xf>
    <xf numFmtId="167" fontId="25" fillId="11" borderId="21" xfId="0" applyNumberFormat="1" applyFont="1" applyFill="1" applyBorder="1" applyAlignment="1">
      <alignment horizontal="center" vertical="center"/>
    </xf>
    <xf numFmtId="167" fontId="25" fillId="15" borderId="21" xfId="0" applyNumberFormat="1" applyFont="1" applyFill="1" applyBorder="1" applyAlignment="1">
      <alignment horizontal="center" vertical="center"/>
    </xf>
    <xf numFmtId="0" fontId="2" fillId="13" borderId="52" xfId="0" applyFont="1" applyFill="1" applyBorder="1" applyAlignment="1">
      <alignment horizontal="left" vertical="center"/>
    </xf>
    <xf numFmtId="167" fontId="25" fillId="11" borderId="1" xfId="0" applyNumberFormat="1" applyFont="1" applyFill="1" applyBorder="1" applyAlignment="1">
      <alignment horizontal="center" vertical="center" wrapText="1"/>
    </xf>
    <xf numFmtId="0" fontId="0" fillId="0" borderId="3" xfId="0" applyBorder="1" applyAlignment="1">
      <alignment horizontal="center" wrapText="1"/>
    </xf>
    <xf numFmtId="0" fontId="3" fillId="16" borderId="1" xfId="0" applyFont="1" applyFill="1" applyBorder="1" applyAlignment="1">
      <alignment wrapText="1"/>
    </xf>
    <xf numFmtId="0" fontId="3" fillId="3" borderId="52" xfId="0" applyFont="1" applyFill="1" applyBorder="1"/>
    <xf numFmtId="167" fontId="25" fillId="16" borderId="18" xfId="0" applyNumberFormat="1" applyFont="1" applyFill="1" applyBorder="1" applyAlignment="1">
      <alignment horizontal="center" vertical="center" wrapText="1"/>
    </xf>
    <xf numFmtId="0" fontId="28" fillId="0" borderId="0" xfId="0" applyFont="1" applyAlignment="1">
      <alignment vertical="center"/>
    </xf>
    <xf numFmtId="0" fontId="8" fillId="0" borderId="1" xfId="0" applyFont="1" applyBorder="1" applyAlignment="1">
      <alignment horizontal="center"/>
    </xf>
    <xf numFmtId="2" fontId="8" fillId="0" borderId="1" xfId="1" applyNumberFormat="1" applyFont="1" applyBorder="1" applyAlignment="1">
      <alignment horizontal="center"/>
    </xf>
    <xf numFmtId="0" fontId="29" fillId="0" borderId="61" xfId="0" applyFont="1" applyBorder="1" applyAlignment="1">
      <alignment horizontal="left" vertical="center" wrapText="1"/>
    </xf>
    <xf numFmtId="0" fontId="25" fillId="6" borderId="0" xfId="0" applyFont="1" applyFill="1" applyAlignment="1">
      <alignment horizontal="center" vertical="center"/>
    </xf>
    <xf numFmtId="0" fontId="25" fillId="6" borderId="0" xfId="0" applyFont="1" applyFill="1"/>
    <xf numFmtId="0" fontId="7" fillId="0" borderId="0" xfId="0" applyFont="1"/>
    <xf numFmtId="0" fontId="0" fillId="18" borderId="0" xfId="0" applyFill="1"/>
    <xf numFmtId="0" fontId="0" fillId="0" borderId="1" xfId="0" applyBorder="1"/>
    <xf numFmtId="174" fontId="0" fillId="0" borderId="0" xfId="5" applyNumberFormat="1" applyFont="1"/>
    <xf numFmtId="0" fontId="0" fillId="0" borderId="1" xfId="0" applyBorder="1" applyAlignment="1">
      <alignment vertical="top"/>
    </xf>
    <xf numFmtId="0" fontId="0" fillId="17" borderId="0" xfId="0" applyFill="1"/>
    <xf numFmtId="49" fontId="0" fillId="0" borderId="0" xfId="0" applyNumberFormat="1" applyAlignment="1">
      <alignment horizontal="right"/>
    </xf>
    <xf numFmtId="0" fontId="0" fillId="16" borderId="0" xfId="0" applyFill="1"/>
    <xf numFmtId="0" fontId="8" fillId="16" borderId="1" xfId="0" applyFont="1" applyFill="1" applyBorder="1" applyAlignment="1">
      <alignment horizontal="center"/>
    </xf>
    <xf numFmtId="0" fontId="0" fillId="0" borderId="30" xfId="0" applyBorder="1" applyAlignment="1">
      <alignment horizontal="center"/>
    </xf>
    <xf numFmtId="0" fontId="0" fillId="0" borderId="0" xfId="0" applyAlignment="1">
      <alignment horizontal="right" vertical="center"/>
    </xf>
    <xf numFmtId="0" fontId="30" fillId="0" borderId="0" xfId="0" applyFont="1" applyAlignment="1">
      <alignment horizontal="right" vertical="center"/>
    </xf>
    <xf numFmtId="2" fontId="8" fillId="0" borderId="1" xfId="0" applyNumberFormat="1" applyFont="1" applyBorder="1" applyAlignment="1">
      <alignment horizontal="center"/>
    </xf>
    <xf numFmtId="0" fontId="29" fillId="0" borderId="0" xfId="0" applyFont="1" applyAlignment="1">
      <alignment horizontal="center" vertical="center"/>
    </xf>
    <xf numFmtId="0" fontId="0" fillId="0" borderId="61" xfId="0" applyBorder="1"/>
    <xf numFmtId="0" fontId="0" fillId="0" borderId="62" xfId="0" applyBorder="1"/>
    <xf numFmtId="0" fontId="8" fillId="3" borderId="0" xfId="0" applyFont="1" applyFill="1"/>
    <xf numFmtId="0" fontId="8" fillId="0" borderId="21" xfId="0" applyFont="1" applyBorder="1"/>
    <xf numFmtId="0" fontId="8" fillId="0" borderId="58" xfId="0" applyFont="1" applyBorder="1"/>
    <xf numFmtId="0" fontId="8" fillId="3" borderId="10" xfId="0" applyFont="1" applyFill="1" applyBorder="1"/>
    <xf numFmtId="0" fontId="8" fillId="0" borderId="41" xfId="0" applyFont="1" applyBorder="1"/>
    <xf numFmtId="0" fontId="8" fillId="3" borderId="52" xfId="0" applyFont="1" applyFill="1" applyBorder="1"/>
    <xf numFmtId="0" fontId="31" fillId="0" borderId="0" xfId="6"/>
    <xf numFmtId="0" fontId="34" fillId="0" borderId="19" xfId="6" applyFont="1" applyBorder="1" applyAlignment="1">
      <alignment vertical="top" wrapText="1"/>
    </xf>
    <xf numFmtId="0" fontId="34" fillId="0" borderId="0" xfId="6" applyFont="1" applyAlignment="1">
      <alignment vertical="top" wrapText="1"/>
    </xf>
    <xf numFmtId="0" fontId="34" fillId="0" borderId="16" xfId="6" applyFont="1" applyBorder="1" applyAlignment="1">
      <alignment vertical="top" wrapText="1"/>
    </xf>
    <xf numFmtId="0" fontId="36" fillId="0" borderId="19" xfId="6" applyFont="1" applyBorder="1" applyAlignment="1">
      <alignment vertical="top"/>
    </xf>
    <xf numFmtId="0" fontId="36" fillId="0" borderId="0" xfId="6" applyFont="1" applyAlignment="1">
      <alignment vertical="top"/>
    </xf>
    <xf numFmtId="0" fontId="36" fillId="0" borderId="16" xfId="6" applyFont="1" applyBorder="1" applyAlignment="1">
      <alignment vertical="top"/>
    </xf>
    <xf numFmtId="0" fontId="36" fillId="0" borderId="63" xfId="6" applyFont="1" applyBorder="1" applyAlignment="1">
      <alignment vertical="top" wrapText="1"/>
    </xf>
    <xf numFmtId="0" fontId="36" fillId="0" borderId="8" xfId="6" applyFont="1" applyBorder="1" applyAlignment="1">
      <alignment vertical="top" wrapText="1"/>
    </xf>
    <xf numFmtId="0" fontId="36" fillId="0" borderId="7" xfId="6" applyFont="1" applyBorder="1" applyAlignment="1">
      <alignment vertical="top" wrapText="1"/>
    </xf>
    <xf numFmtId="0" fontId="34" fillId="0" borderId="63" xfId="6" applyFont="1" applyBorder="1" applyAlignment="1">
      <alignment vertical="top" wrapText="1"/>
    </xf>
    <xf numFmtId="0" fontId="34" fillId="0" borderId="8" xfId="6" applyFont="1" applyBorder="1" applyAlignment="1">
      <alignment vertical="top" wrapText="1"/>
    </xf>
    <xf numFmtId="0" fontId="34" fillId="0" borderId="7" xfId="6" applyFont="1" applyBorder="1" applyAlignment="1">
      <alignment vertical="top" wrapText="1"/>
    </xf>
    <xf numFmtId="0" fontId="36" fillId="0" borderId="63" xfId="6" applyFont="1" applyBorder="1" applyAlignment="1">
      <alignment vertical="top"/>
    </xf>
    <xf numFmtId="0" fontId="36" fillId="0" borderId="8" xfId="6" applyFont="1" applyBorder="1" applyAlignment="1">
      <alignment vertical="top"/>
    </xf>
    <xf numFmtId="0" fontId="36" fillId="0" borderId="7" xfId="6" applyFont="1" applyBorder="1" applyAlignment="1">
      <alignment vertical="top"/>
    </xf>
    <xf numFmtId="4" fontId="0" fillId="0" borderId="25" xfId="0" applyNumberFormat="1" applyBorder="1"/>
    <xf numFmtId="171" fontId="26" fillId="12" borderId="58" xfId="0" applyNumberFormat="1" applyFont="1" applyFill="1" applyBorder="1" applyAlignment="1">
      <alignment horizontal="center" vertical="center"/>
    </xf>
    <xf numFmtId="167" fontId="26" fillId="12" borderId="41" xfId="0" applyNumberFormat="1" applyFont="1" applyFill="1" applyBorder="1" applyAlignment="1">
      <alignment horizontal="center" vertical="center"/>
    </xf>
    <xf numFmtId="0" fontId="8" fillId="3" borderId="0" xfId="0" applyFont="1" applyFill="1" applyAlignment="1">
      <alignment horizontal="center" vertical="center"/>
    </xf>
    <xf numFmtId="0" fontId="25" fillId="11" borderId="0" xfId="0" applyFont="1" applyFill="1" applyAlignment="1">
      <alignment horizontal="center" vertical="center"/>
    </xf>
    <xf numFmtId="167" fontId="0" fillId="0" borderId="1" xfId="0" applyNumberFormat="1" applyBorder="1" applyAlignment="1">
      <alignment horizontal="center" vertical="top" wrapText="1"/>
    </xf>
    <xf numFmtId="14" fontId="5" fillId="0" borderId="0" xfId="0" applyNumberFormat="1" applyFont="1" applyAlignment="1">
      <alignment horizontal="center" vertical="center"/>
    </xf>
    <xf numFmtId="4" fontId="8" fillId="0" borderId="21" xfId="0" applyNumberFormat="1" applyFont="1" applyBorder="1"/>
    <xf numFmtId="0" fontId="0" fillId="0" borderId="21" xfId="0" applyBorder="1"/>
    <xf numFmtId="171" fontId="26" fillId="12" borderId="21" xfId="0" applyNumberFormat="1" applyFont="1" applyFill="1" applyBorder="1" applyAlignment="1">
      <alignment horizontal="center" vertical="center"/>
    </xf>
    <xf numFmtId="171" fontId="26" fillId="12" borderId="10" xfId="0" applyNumberFormat="1" applyFont="1" applyFill="1" applyBorder="1" applyAlignment="1">
      <alignment horizontal="center" vertical="center"/>
    </xf>
    <xf numFmtId="167" fontId="26" fillId="12" borderId="10" xfId="0" applyNumberFormat="1" applyFont="1" applyFill="1" applyBorder="1" applyAlignment="1">
      <alignment horizontal="center" vertical="center"/>
    </xf>
    <xf numFmtId="167" fontId="25" fillId="15" borderId="21" xfId="4" applyNumberFormat="1" applyFont="1" applyFill="1" applyBorder="1" applyAlignment="1">
      <alignment horizontal="center" vertical="center"/>
    </xf>
    <xf numFmtId="171" fontId="26" fillId="12" borderId="0" xfId="0" applyNumberFormat="1" applyFont="1" applyFill="1" applyAlignment="1">
      <alignment horizontal="center" vertical="center"/>
    </xf>
    <xf numFmtId="14" fontId="5" fillId="0" borderId="0" xfId="0" applyNumberFormat="1" applyFont="1" applyAlignment="1">
      <alignment horizontal="center" vertical="center"/>
    </xf>
    <xf numFmtId="20" fontId="0" fillId="0" borderId="0" xfId="0" applyNumberFormat="1"/>
    <xf numFmtId="0" fontId="33" fillId="0" borderId="11" xfId="6" applyFont="1" applyBorder="1" applyAlignment="1">
      <alignment horizontal="left" vertical="top" wrapText="1"/>
    </xf>
    <xf numFmtId="0" fontId="33" fillId="0" borderId="10" xfId="6" applyFont="1" applyBorder="1" applyAlignment="1">
      <alignment horizontal="left" vertical="top" wrapText="1"/>
    </xf>
    <xf numFmtId="0" fontId="33" fillId="0" borderId="4" xfId="6" applyFont="1" applyBorder="1" applyAlignment="1">
      <alignment horizontal="left" vertical="top" wrapText="1"/>
    </xf>
    <xf numFmtId="0" fontId="32" fillId="0" borderId="11" xfId="6" applyFont="1" applyBorder="1" applyAlignment="1">
      <alignment horizontal="center" vertical="center" wrapText="1"/>
    </xf>
    <xf numFmtId="0" fontId="32" fillId="0" borderId="10" xfId="6" applyFont="1" applyBorder="1" applyAlignment="1">
      <alignment horizontal="center" vertical="center" wrapText="1"/>
    </xf>
    <xf numFmtId="0" fontId="32" fillId="0" borderId="4" xfId="6" applyFont="1" applyBorder="1" applyAlignment="1">
      <alignment horizontal="center" vertical="center" wrapText="1"/>
    </xf>
    <xf numFmtId="0" fontId="32" fillId="0" borderId="19" xfId="6" applyFont="1" applyBorder="1" applyAlignment="1">
      <alignment horizontal="center" vertical="center" wrapText="1"/>
    </xf>
    <xf numFmtId="0" fontId="32" fillId="0" borderId="0" xfId="6" applyFont="1" applyAlignment="1">
      <alignment horizontal="center" vertical="center" wrapText="1"/>
    </xf>
    <xf numFmtId="0" fontId="32" fillId="0" borderId="16" xfId="6" applyFont="1" applyBorder="1" applyAlignment="1">
      <alignment horizontal="center" vertical="center" wrapText="1"/>
    </xf>
    <xf numFmtId="0" fontId="32" fillId="0" borderId="63" xfId="6" applyFont="1" applyBorder="1" applyAlignment="1">
      <alignment horizontal="center" vertical="center" wrapText="1"/>
    </xf>
    <xf numFmtId="0" fontId="32" fillId="0" borderId="8" xfId="6" applyFont="1" applyBorder="1" applyAlignment="1">
      <alignment horizontal="center" vertical="center" wrapText="1"/>
    </xf>
    <xf numFmtId="0" fontId="32" fillId="0" borderId="7" xfId="6" applyFont="1" applyBorder="1" applyAlignment="1">
      <alignment horizontal="center" vertical="center" wrapText="1"/>
    </xf>
    <xf numFmtId="0" fontId="32" fillId="0" borderId="5" xfId="6" applyFont="1" applyBorder="1" applyAlignment="1">
      <alignment horizontal="center" vertical="center" wrapText="1"/>
    </xf>
    <xf numFmtId="0" fontId="32" fillId="0" borderId="2" xfId="6" applyFont="1" applyBorder="1" applyAlignment="1">
      <alignment horizontal="center" vertical="center" wrapText="1"/>
    </xf>
    <xf numFmtId="14" fontId="32" fillId="0" borderId="5" xfId="6" applyNumberFormat="1" applyFont="1" applyBorder="1" applyAlignment="1">
      <alignment horizontal="center" vertical="center" wrapText="1"/>
    </xf>
    <xf numFmtId="14" fontId="32" fillId="0" borderId="2" xfId="6" applyNumberFormat="1" applyFont="1" applyBorder="1" applyAlignment="1">
      <alignment horizontal="center" vertical="center" wrapText="1"/>
    </xf>
    <xf numFmtId="0" fontId="34" fillId="0" borderId="11" xfId="6" applyFont="1" applyBorder="1" applyAlignment="1">
      <alignment horizontal="left" vertical="top" wrapText="1"/>
    </xf>
    <xf numFmtId="0" fontId="34" fillId="0" borderId="10" xfId="6" applyFont="1" applyBorder="1" applyAlignment="1">
      <alignment horizontal="left" vertical="top" wrapText="1"/>
    </xf>
    <xf numFmtId="0" fontId="34" fillId="0" borderId="4" xfId="6" applyFont="1" applyBorder="1" applyAlignment="1">
      <alignment horizontal="left" vertical="top" wrapText="1"/>
    </xf>
    <xf numFmtId="0" fontId="34" fillId="0" borderId="11" xfId="6" applyFont="1" applyBorder="1" applyAlignment="1">
      <alignment horizontal="left" vertical="top"/>
    </xf>
    <xf numFmtId="0" fontId="34" fillId="0" borderId="10" xfId="6" applyFont="1" applyBorder="1" applyAlignment="1">
      <alignment horizontal="left" vertical="top"/>
    </xf>
    <xf numFmtId="0" fontId="34" fillId="0" borderId="4" xfId="6" applyFont="1" applyBorder="1" applyAlignment="1">
      <alignment horizontal="left" vertical="top"/>
    </xf>
    <xf numFmtId="0" fontId="36" fillId="0" borderId="19" xfId="6" applyFont="1" applyBorder="1" applyAlignment="1">
      <alignment horizontal="left" vertical="top" wrapText="1"/>
    </xf>
    <xf numFmtId="0" fontId="36" fillId="0" borderId="0" xfId="6" applyFont="1" applyAlignment="1">
      <alignment horizontal="left" vertical="top" wrapText="1"/>
    </xf>
    <xf numFmtId="0" fontId="36" fillId="0" borderId="16" xfId="6" applyFont="1" applyBorder="1" applyAlignment="1">
      <alignment horizontal="left" vertical="top" wrapText="1"/>
    </xf>
    <xf numFmtId="0" fontId="36" fillId="0" borderId="19" xfId="6" applyFont="1" applyBorder="1" applyAlignment="1">
      <alignment horizontal="left" vertical="top"/>
    </xf>
    <xf numFmtId="0" fontId="36" fillId="0" borderId="0" xfId="6" applyFont="1" applyAlignment="1">
      <alignment horizontal="left" vertical="top"/>
    </xf>
    <xf numFmtId="0" fontId="36" fillId="0" borderId="16" xfId="6" applyFont="1" applyBorder="1" applyAlignment="1">
      <alignment horizontal="left" vertical="top"/>
    </xf>
    <xf numFmtId="0" fontId="3" fillId="0" borderId="5" xfId="6" applyFont="1" applyBorder="1" applyAlignment="1">
      <alignment horizontal="center" vertical="center"/>
    </xf>
    <xf numFmtId="0" fontId="3" fillId="0" borderId="6" xfId="6" applyFont="1" applyBorder="1" applyAlignment="1">
      <alignment horizontal="center" vertical="center"/>
    </xf>
    <xf numFmtId="0" fontId="3" fillId="0" borderId="2" xfId="6" applyFont="1" applyBorder="1" applyAlignment="1">
      <alignment horizontal="center" vertical="center"/>
    </xf>
    <xf numFmtId="175" fontId="3" fillId="0" borderId="5" xfId="6" applyNumberFormat="1" applyFont="1" applyBorder="1" applyAlignment="1">
      <alignment horizontal="center" vertical="center"/>
    </xf>
    <xf numFmtId="175" fontId="3" fillId="0" borderId="6" xfId="6" applyNumberFormat="1" applyFont="1" applyBorder="1" applyAlignment="1">
      <alignment horizontal="center" vertical="center"/>
    </xf>
    <xf numFmtId="175" fontId="3" fillId="0" borderId="2" xfId="6" applyNumberFormat="1" applyFont="1" applyBorder="1" applyAlignment="1">
      <alignment horizontal="center" vertical="center"/>
    </xf>
    <xf numFmtId="0" fontId="3" fillId="19" borderId="5" xfId="6" applyFont="1" applyFill="1" applyBorder="1" applyAlignment="1">
      <alignment horizontal="center" vertical="center"/>
    </xf>
    <xf numFmtId="0" fontId="3" fillId="19" borderId="6" xfId="6" applyFont="1" applyFill="1" applyBorder="1" applyAlignment="1">
      <alignment horizontal="center" vertical="center"/>
    </xf>
    <xf numFmtId="0" fontId="3" fillId="19" borderId="2" xfId="6" applyFont="1" applyFill="1" applyBorder="1" applyAlignment="1">
      <alignment horizontal="center" vertical="center"/>
    </xf>
    <xf numFmtId="0" fontId="3" fillId="0" borderId="5" xfId="6" applyFont="1" applyBorder="1" applyAlignment="1">
      <alignment horizontal="center" vertical="center" wrapText="1"/>
    </xf>
    <xf numFmtId="0" fontId="3" fillId="0" borderId="6" xfId="6" applyFont="1" applyBorder="1" applyAlignment="1">
      <alignment horizontal="center" vertical="center" wrapText="1"/>
    </xf>
    <xf numFmtId="0" fontId="3" fillId="0" borderId="2" xfId="6" applyFont="1" applyBorder="1" applyAlignment="1">
      <alignment horizontal="center" vertical="center" wrapText="1"/>
    </xf>
    <xf numFmtId="0" fontId="3" fillId="0" borderId="0" xfId="0" applyFont="1" applyAlignment="1">
      <alignment horizontal="center" vertical="center" wrapText="1"/>
    </xf>
    <xf numFmtId="0" fontId="17" fillId="6" borderId="37" xfId="0" applyFont="1" applyFill="1" applyBorder="1" applyAlignment="1">
      <alignment horizontal="center" vertical="center" wrapText="1"/>
    </xf>
    <xf numFmtId="0" fontId="17" fillId="6" borderId="35" xfId="0" applyFont="1" applyFill="1" applyBorder="1" applyAlignment="1">
      <alignment horizontal="center" vertical="center" wrapText="1"/>
    </xf>
    <xf numFmtId="0" fontId="17" fillId="6" borderId="33" xfId="0" applyFont="1" applyFill="1" applyBorder="1" applyAlignment="1">
      <alignment horizontal="center" vertical="center" wrapText="1"/>
    </xf>
    <xf numFmtId="0" fontId="16" fillId="0" borderId="41" xfId="0" applyFont="1" applyBorder="1" applyAlignment="1">
      <alignment horizontal="center" vertical="center" wrapText="1"/>
    </xf>
    <xf numFmtId="0" fontId="16" fillId="0" borderId="0" xfId="0" applyFont="1" applyAlignment="1">
      <alignment horizontal="center" vertical="center" wrapText="1"/>
    </xf>
    <xf numFmtId="0" fontId="16" fillId="0" borderId="45" xfId="0" applyFont="1" applyBorder="1" applyAlignment="1">
      <alignment horizontal="center" vertical="center" wrapText="1"/>
    </xf>
    <xf numFmtId="0" fontId="15" fillId="7" borderId="0" xfId="0" applyFont="1" applyFill="1" applyAlignment="1">
      <alignment horizontal="center" vertical="center" wrapText="1"/>
    </xf>
    <xf numFmtId="164" fontId="1" fillId="0" borderId="0" xfId="1"/>
    <xf numFmtId="0" fontId="0" fillId="7" borderId="0" xfId="0" applyFill="1" applyAlignment="1">
      <alignment horizontal="center"/>
    </xf>
    <xf numFmtId="0" fontId="0" fillId="0" borderId="0" xfId="0" applyAlignment="1">
      <alignment horizontal="center" vertical="center" wrapText="1"/>
    </xf>
    <xf numFmtId="0" fontId="0" fillId="0" borderId="36" xfId="0" applyBorder="1" applyAlignment="1">
      <alignment horizontal="center" vertical="center" wrapText="1"/>
    </xf>
    <xf numFmtId="0" fontId="0" fillId="0" borderId="41" xfId="0" applyBorder="1" applyAlignment="1">
      <alignment horizontal="center" vertical="center" wrapText="1"/>
    </xf>
    <xf numFmtId="0" fontId="0" fillId="0" borderId="42" xfId="0"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0" fillId="0" borderId="36" xfId="0" applyBorder="1" applyAlignment="1">
      <alignment horizontal="center" vertical="center"/>
    </xf>
    <xf numFmtId="0" fontId="0" fillId="0" borderId="45" xfId="0" applyBorder="1" applyAlignment="1">
      <alignment horizontal="center" vertical="center"/>
    </xf>
    <xf numFmtId="0" fontId="0" fillId="0" borderId="34" xfId="0" applyBorder="1" applyAlignment="1">
      <alignment horizontal="center" vertical="center"/>
    </xf>
    <xf numFmtId="0" fontId="0" fillId="0" borderId="45" xfId="0" applyBorder="1" applyAlignment="1">
      <alignment horizontal="center"/>
    </xf>
    <xf numFmtId="0" fontId="0" fillId="0" borderId="34"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5" fillId="0" borderId="38" xfId="0" applyFont="1" applyBorder="1" applyAlignment="1">
      <alignment horizontal="center" vertical="center" wrapText="1"/>
    </xf>
    <xf numFmtId="0" fontId="5" fillId="0" borderId="39" xfId="0" applyFont="1" applyBorder="1" applyAlignment="1">
      <alignment horizontal="center" vertical="center" wrapText="1"/>
    </xf>
    <xf numFmtId="0" fontId="5" fillId="0" borderId="32" xfId="0" applyFont="1" applyBorder="1" applyAlignment="1">
      <alignment horizontal="center" vertical="center" wrapText="1"/>
    </xf>
    <xf numFmtId="20" fontId="5" fillId="0" borderId="41" xfId="0" applyNumberFormat="1" applyFont="1" applyBorder="1" applyAlignment="1">
      <alignment horizontal="center" vertical="center" wrapText="1"/>
    </xf>
    <xf numFmtId="0" fontId="5" fillId="0" borderId="41" xfId="0" applyFont="1" applyBorder="1" applyAlignment="1">
      <alignment horizontal="center" vertical="center" wrapText="1"/>
    </xf>
    <xf numFmtId="0" fontId="5" fillId="0" borderId="42" xfId="0" applyFont="1" applyBorder="1" applyAlignment="1">
      <alignment horizontal="center" vertical="center" wrapText="1"/>
    </xf>
    <xf numFmtId="0" fontId="5" fillId="0" borderId="45" xfId="0" applyFont="1" applyBorder="1" applyAlignment="1">
      <alignment horizontal="center" vertical="center" wrapText="1"/>
    </xf>
    <xf numFmtId="0" fontId="5" fillId="0" borderId="34" xfId="0" applyFont="1" applyBorder="1" applyAlignment="1">
      <alignment horizontal="center" vertical="center" wrapText="1"/>
    </xf>
    <xf numFmtId="0" fontId="0" fillId="0" borderId="41" xfId="0" applyBorder="1" applyAlignment="1">
      <alignment horizontal="center" vertical="center"/>
    </xf>
    <xf numFmtId="0" fontId="0" fillId="0" borderId="42" xfId="0" applyBorder="1" applyAlignment="1">
      <alignment horizontal="center" vertical="center"/>
    </xf>
    <xf numFmtId="0" fontId="0" fillId="0" borderId="39" xfId="0" applyBorder="1" applyAlignment="1">
      <alignment horizontal="center"/>
    </xf>
    <xf numFmtId="0" fontId="0" fillId="0" borderId="32" xfId="0" applyBorder="1" applyAlignment="1">
      <alignment horizontal="center"/>
    </xf>
    <xf numFmtId="0" fontId="0" fillId="0" borderId="40" xfId="0" applyBorder="1" applyAlignment="1">
      <alignment horizontal="center"/>
    </xf>
    <xf numFmtId="0" fontId="0" fillId="0" borderId="44" xfId="0" applyBorder="1" applyAlignment="1">
      <alignment horizontal="center"/>
    </xf>
    <xf numFmtId="0" fontId="0" fillId="0" borderId="36" xfId="0" applyBorder="1" applyAlignment="1">
      <alignment horizontal="center"/>
    </xf>
    <xf numFmtId="0" fontId="0" fillId="0" borderId="45" xfId="0" applyBorder="1" applyAlignment="1">
      <alignment horizontal="center" vertical="center" wrapText="1"/>
    </xf>
    <xf numFmtId="0" fontId="0" fillId="0" borderId="34" xfId="0" applyBorder="1" applyAlignment="1">
      <alignment horizontal="center" vertical="center" wrapText="1"/>
    </xf>
    <xf numFmtId="3" fontId="0" fillId="0" borderId="45" xfId="0" applyNumberFormat="1" applyBorder="1" applyAlignment="1">
      <alignment horizontal="center"/>
    </xf>
    <xf numFmtId="0" fontId="20" fillId="9" borderId="0" xfId="0" applyFont="1" applyFill="1" applyAlignment="1">
      <alignment horizontal="center" vertical="center"/>
    </xf>
    <xf numFmtId="0" fontId="19" fillId="8" borderId="0" xfId="0" applyFont="1" applyFill="1" applyAlignment="1">
      <alignment horizontal="center" vertical="center" wrapText="1"/>
    </xf>
    <xf numFmtId="0" fontId="19" fillId="8" borderId="0" xfId="0" applyFont="1" applyFill="1" applyAlignment="1">
      <alignment horizontal="center" wrapText="1"/>
    </xf>
    <xf numFmtId="0" fontId="19" fillId="8" borderId="1" xfId="0" applyFont="1" applyFill="1" applyBorder="1" applyAlignment="1">
      <alignment horizontal="right" vertical="center"/>
    </xf>
    <xf numFmtId="0" fontId="21" fillId="0" borderId="0" xfId="0" applyFont="1" applyAlignment="1">
      <alignment horizontal="left" wrapText="1"/>
    </xf>
    <xf numFmtId="0" fontId="20" fillId="9" borderId="5" xfId="0" applyFont="1" applyFill="1" applyBorder="1" applyAlignment="1">
      <alignment horizontal="right" vertical="center"/>
    </xf>
    <xf numFmtId="0" fontId="20" fillId="9" borderId="6" xfId="0" applyFont="1" applyFill="1" applyBorder="1" applyAlignment="1">
      <alignment horizontal="right" vertical="center"/>
    </xf>
    <xf numFmtId="0" fontId="20" fillId="9" borderId="2" xfId="0" applyFont="1" applyFill="1" applyBorder="1" applyAlignment="1">
      <alignment horizontal="right" vertical="center"/>
    </xf>
    <xf numFmtId="0" fontId="0" fillId="0" borderId="0" xfId="0" applyAlignment="1"/>
    <xf numFmtId="0" fontId="0" fillId="0" borderId="0" xfId="0" applyNumberFormat="1" applyAlignment="1"/>
    <xf numFmtId="20" fontId="0" fillId="0" borderId="0" xfId="0" applyNumberFormat="1" applyAlignment="1"/>
    <xf numFmtId="0" fontId="3" fillId="0" borderId="0" xfId="0" applyFont="1" applyAlignment="1"/>
    <xf numFmtId="2" fontId="0" fillId="0" borderId="0" xfId="0" applyNumberFormat="1" applyAlignment="1"/>
    <xf numFmtId="166" fontId="0" fillId="0" borderId="0" xfId="0" applyNumberFormat="1" applyAlignment="1"/>
    <xf numFmtId="167" fontId="8" fillId="3" borderId="0" xfId="0" applyNumberFormat="1" applyFont="1" applyFill="1" applyBorder="1" applyAlignment="1">
      <alignment horizontal="center" vertical="center"/>
    </xf>
    <xf numFmtId="167" fontId="25" fillId="11" borderId="0" xfId="0" applyNumberFormat="1" applyFont="1" applyFill="1" applyBorder="1" applyAlignment="1">
      <alignment horizontal="center" vertical="center"/>
    </xf>
    <xf numFmtId="0" fontId="8" fillId="3" borderId="0" xfId="0" applyNumberFormat="1" applyFont="1" applyFill="1" applyBorder="1" applyAlignment="1">
      <alignment horizontal="center" vertical="center"/>
    </xf>
    <xf numFmtId="0" fontId="25" fillId="11" borderId="0" xfId="0" applyNumberFormat="1" applyFont="1" applyFill="1" applyBorder="1" applyAlignment="1">
      <alignment horizontal="center" vertical="center"/>
    </xf>
  </cellXfs>
  <cellStyles count="7">
    <cellStyle name="20% - Énfasis1" xfId="4" builtinId="30"/>
    <cellStyle name="Millares" xfId="3" builtinId="3"/>
    <cellStyle name="Moneda" xfId="5" builtinId="4"/>
    <cellStyle name="Normal" xfId="0" builtinId="0"/>
    <cellStyle name="Normal 2" xfId="1" xr:uid="{00000000-0005-0000-0000-000004000000}"/>
    <cellStyle name="Normal 3" xfId="6" xr:uid="{910C0849-9F8B-45C4-8186-F1B28276CE53}"/>
    <cellStyle name="Porcentaje" xfId="2" builtinId="5"/>
  </cellStyles>
  <dxfs count="306">
    <dxf>
      <font>
        <color rgb="FF9C0006"/>
      </font>
      <fill>
        <patternFill>
          <bgColor rgb="FFFFC7CE"/>
        </patternFill>
      </fill>
    </dxf>
    <dxf>
      <font>
        <color rgb="FF9C0006"/>
      </font>
      <fill>
        <patternFill>
          <bgColor rgb="FFFFC7CE"/>
        </patternFill>
      </fill>
    </dxf>
    <dxf>
      <font>
        <color theme="9"/>
      </font>
      <fill>
        <patternFill>
          <bgColor rgb="FF92D05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alignment horizontal="center" vertical="center" textRotation="0" wrapText="0" indent="0" justifyLastLine="0" shrinkToFit="0" readingOrder="0"/>
    </dxf>
    <dxf>
      <numFmt numFmtId="35" formatCode="_-* #,##0.00_-;\-* #,##0.00_-;_-* &quot;-&quot;??_-;_-@_-"/>
    </dxf>
    <dxf>
      <numFmt numFmtId="35" formatCode="_-* #,##0.00_-;\-* #,##0.00_-;_-* &quot;-&quot;??_-;_-@_-"/>
    </dxf>
    <dxf>
      <numFmt numFmtId="168" formatCode="_-* #,##0.00\ _€_-;\-* #,##0.00\ _€_-;_-* &quot;-&quot;??\ _€_-;_-@_-"/>
    </dxf>
    <dxf>
      <numFmt numFmtId="168" formatCode="_-* #,##0.00\ _€_-;\-* #,##0.00\ _€_-;_-* &quot;-&quot;??\ _€_-;_-@_-"/>
    </dxf>
    <dxf>
      <numFmt numFmtId="35" formatCode="_-* #,##0.00_-;\-* #,##0.00_-;_-* &quot;-&quot;??_-;_-@_-"/>
    </dxf>
    <dxf>
      <numFmt numFmtId="35" formatCode="_-* #,##0.00_-;\-* #,##0.00_-;_-* &quot;-&quot;??_-;_-@_-"/>
    </dxf>
    <dxf>
      <numFmt numFmtId="167" formatCode="#,##0.0"/>
    </dxf>
    <dxf>
      <font>
        <b val="0"/>
        <i val="0"/>
        <strike val="0"/>
        <condense val="0"/>
        <extend val="0"/>
        <outline val="0"/>
        <shadow val="0"/>
        <u val="none"/>
        <vertAlign val="baseline"/>
        <sz val="11"/>
        <color theme="1"/>
        <name val="Calibri"/>
        <scheme val="minor"/>
      </font>
      <numFmt numFmtId="3" formatCode="#,##0"/>
      <alignment horizontal="general" vertical="bottom" textRotation="0" wrapText="0" indent="0" justifyLastLine="0" shrinkToFit="0" readingOrder="0"/>
    </dxf>
    <dxf>
      <alignment horizontal="right"/>
    </dxf>
    <dxf>
      <font>
        <sz val="11"/>
      </font>
    </dxf>
    <dxf>
      <font>
        <sz val="11"/>
      </font>
    </dxf>
    <dxf>
      <numFmt numFmtId="3" formatCode="#,##0"/>
    </dxf>
    <dxf>
      <numFmt numFmtId="3" formatCode="#,##0"/>
    </dxf>
    <dxf>
      <alignment horizontal="right"/>
    </dxf>
    <dxf>
      <alignment horizontal="right"/>
    </dxf>
    <dxf>
      <alignment horizontal="right"/>
    </dxf>
    <dxf>
      <font>
        <sz val="12"/>
        <name val="Arial"/>
        <scheme val="none"/>
      </font>
      <alignment wrapText="1"/>
    </dxf>
    <dxf>
      <font>
        <sz val="12"/>
        <name val="Arial"/>
        <scheme val="none"/>
      </font>
      <alignment wrapText="1"/>
    </dxf>
    <dxf>
      <font>
        <sz val="12"/>
        <name val="Arial"/>
        <scheme val="none"/>
      </font>
      <alignment wrapText="1"/>
    </dxf>
    <dxf>
      <font>
        <sz val="12"/>
        <name val="Arial"/>
        <scheme val="none"/>
      </font>
      <alignment wrapText="1"/>
    </dxf>
    <dxf>
      <font>
        <sz val="12"/>
        <name val="Arial"/>
        <scheme val="none"/>
      </font>
      <alignment wrapText="1"/>
    </dxf>
    <dxf>
      <font>
        <sz val="12"/>
        <name val="Arial"/>
        <scheme val="none"/>
      </font>
      <alignment wrapText="1"/>
    </dxf>
    <dxf>
      <fill>
        <patternFill>
          <bgColor auto="1"/>
        </patternFill>
      </fill>
    </dxf>
    <dxf>
      <fill>
        <patternFill>
          <bgColor auto="1"/>
        </patternFill>
      </fill>
    </dxf>
    <dxf>
      <fill>
        <patternFill>
          <bgColor auto="1"/>
        </patternFill>
      </fill>
    </dxf>
    <dxf>
      <font>
        <color theme="0"/>
      </font>
    </dxf>
    <dxf>
      <font>
        <color theme="0"/>
      </font>
    </dxf>
    <dxf>
      <font>
        <color theme="0"/>
      </font>
    </dxf>
    <dxf>
      <numFmt numFmtId="19" formatCode="d/m/yyyy"/>
    </dxf>
    <dxf>
      <numFmt numFmtId="35" formatCode="_-* #,##0.00_-;\-* #,##0.00_-;_-* &quot;-&quot;??_-;_-@_-"/>
    </dxf>
    <dxf>
      <numFmt numFmtId="169" formatCode="#,##0.00\ _€;\-#,##0.00\ _€"/>
    </dxf>
    <dxf>
      <border>
        <left/>
        <right/>
        <top/>
        <bottom/>
      </border>
    </dxf>
    <dxf>
      <border>
        <left/>
        <right/>
        <top/>
        <bottom/>
      </border>
    </dxf>
    <dxf>
      <border>
        <left/>
        <right/>
        <top/>
        <bottom/>
      </border>
    </dxf>
    <dxf>
      <border>
        <left/>
        <right/>
        <top/>
        <bottom/>
      </border>
    </dxf>
    <dxf>
      <border>
        <left/>
        <right/>
        <top/>
        <bottom/>
      </border>
    </dxf>
    <dxf>
      <border>
        <left/>
        <right/>
        <top/>
        <bottom/>
      </border>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numFmt numFmtId="167" formatCode="#,##0.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alignment horizontal="general"/>
    </dxf>
    <dxf>
      <numFmt numFmtId="3" formatCode="#,##0"/>
    </dxf>
    <dxf>
      <numFmt numFmtId="3" formatCode="#,##0"/>
    </dxf>
    <dxf>
      <border>
        <left style="thin">
          <color rgb="FF5AB400"/>
        </left>
      </border>
    </dxf>
    <dxf>
      <border>
        <left style="thin">
          <color rgb="FF5AB400"/>
        </left>
      </border>
    </dxf>
    <dxf>
      <border>
        <bottom style="thin">
          <color rgb="FF5AB400"/>
        </bottom>
      </border>
    </dxf>
    <dxf>
      <border>
        <bottom style="thin">
          <color rgb="FF5AB400"/>
        </bottom>
      </border>
    </dxf>
    <dxf>
      <border>
        <right style="thin">
          <color rgb="FF5AB400"/>
        </right>
      </border>
    </dxf>
    <dxf>
      <font>
        <sz val="12"/>
        <name val="Arial"/>
        <scheme val="none"/>
      </font>
      <alignment wrapText="1"/>
    </dxf>
    <dxf>
      <font>
        <sz val="12"/>
        <name val="Arial"/>
        <scheme val="none"/>
      </font>
      <alignment wrapText="1"/>
    </dxf>
    <dxf>
      <font>
        <sz val="12"/>
        <name val="Arial"/>
        <scheme val="none"/>
      </font>
      <alignment wrapText="1"/>
    </dxf>
    <dxf>
      <font>
        <sz val="12"/>
        <name val="Arial"/>
        <scheme val="none"/>
      </font>
      <alignment wrapText="1"/>
    </dxf>
    <dxf>
      <font>
        <sz val="12"/>
        <name val="Arial"/>
        <scheme val="none"/>
      </font>
      <alignment wrapText="1"/>
    </dxf>
    <dxf>
      <font>
        <sz val="12"/>
        <name val="Arial"/>
        <scheme val="none"/>
      </font>
      <alignment wrapText="1"/>
    </dxf>
    <dxf>
      <numFmt numFmtId="35" formatCode="_-* #,##0.00_-;\-* #,##0.00_-;_-* &quot;-&quot;??_-;_-@_-"/>
    </dxf>
    <dxf>
      <alignment horizontal="right"/>
    </dxf>
    <dxf>
      <numFmt numFmtId="167" formatCode="#,##0.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alignment horizontal="right"/>
    </dxf>
    <dxf>
      <numFmt numFmtId="3" formatCode="#,##0"/>
    </dxf>
    <dxf>
      <alignment horizontal="right"/>
    </dxf>
    <dxf>
      <alignment horizontal="left"/>
    </dxf>
    <dxf>
      <font>
        <sz val="12"/>
        <name val="Arial"/>
        <scheme val="none"/>
      </font>
      <alignment horizontal="left" wrapText="1"/>
    </dxf>
    <dxf>
      <font>
        <sz val="12"/>
        <name val="Arial"/>
        <scheme val="none"/>
      </font>
      <alignment horizontal="left" wrapText="1"/>
    </dxf>
    <dxf>
      <font>
        <sz val="12"/>
        <name val="Arial"/>
        <scheme val="none"/>
      </font>
      <alignment horizontal="left" wrapText="1"/>
    </dxf>
    <dxf>
      <font>
        <sz val="12"/>
        <name val="Arial"/>
        <scheme val="none"/>
      </font>
      <alignment horizontal="left" wrapText="1"/>
    </dxf>
    <dxf>
      <font>
        <sz val="12"/>
        <name val="Arial"/>
        <scheme val="none"/>
      </font>
      <alignment horizontal="left" wrapText="1"/>
    </dxf>
    <dxf>
      <font>
        <sz val="12"/>
        <name val="Arial"/>
        <scheme val="none"/>
      </font>
      <alignment horizontal="left" wrapText="1"/>
    </dxf>
    <dxf>
      <font>
        <b/>
        <i val="0"/>
        <strike val="0"/>
        <condense val="0"/>
        <extend val="0"/>
        <outline val="0"/>
        <shadow val="0"/>
        <u val="none"/>
        <vertAlign val="baseline"/>
        <sz val="11"/>
        <color auto="1"/>
        <name val="Calibri"/>
        <scheme val="minor"/>
      </font>
      <numFmt numFmtId="167" formatCode="#,##0.0"/>
      <alignment horizontal="center" vertical="center" textRotation="0" wrapText="0" indent="0" justifyLastLine="0" shrinkToFit="0" readingOrder="0"/>
      <border outline="0">
        <left style="thin">
          <color theme="4" tint="0.39997558519241921"/>
        </left>
      </border>
    </dxf>
    <dxf>
      <font>
        <b/>
        <i val="0"/>
        <strike val="0"/>
        <condense val="0"/>
        <extend val="0"/>
        <outline val="0"/>
        <shadow val="0"/>
        <u val="none"/>
        <vertAlign val="baseline"/>
        <sz val="11"/>
        <color auto="1"/>
        <name val="Calibri"/>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numFmt numFmtId="167" formatCode="#,##0.0"/>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numFmt numFmtId="167" formatCode="#,##0.0"/>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numFmt numFmtId="167" formatCode="#,##0.0"/>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numFmt numFmtId="167" formatCode="#,##0.0"/>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numFmt numFmtId="167" formatCode="#,##0.0"/>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numFmt numFmtId="167" formatCode="#,##0.0"/>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166" formatCode="#,##0.00\ _€"/>
      <alignment textRotation="0" wrapText="0" indent="0" justifyLastLine="0" shrinkToFit="0" readingOrder="0"/>
    </dxf>
    <dxf>
      <numFmt numFmtId="2" formatCode="0.00"/>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font>
        <b/>
      </font>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25" formatCode="hh:mm"/>
      <alignment textRotation="0" wrapText="0" indent="0" justifyLastLine="0" shrinkToFit="0" readingOrder="0"/>
    </dxf>
    <dxf>
      <numFmt numFmtId="0" formatCode="General"/>
      <alignment textRotation="0" wrapText="0" indent="0" justifyLastLine="0" shrinkToFit="0" readingOrder="0"/>
    </dxf>
    <dxf>
      <font>
        <strike val="0"/>
        <outline val="0"/>
        <shadow val="0"/>
        <u val="none"/>
        <vertAlign val="baseline"/>
        <sz val="10"/>
        <name val="Calibri"/>
        <family val="2"/>
        <scheme val="minor"/>
      </font>
      <numFmt numFmtId="19" formatCode="d/m/yyyy"/>
      <alignment horizontal="center" vertical="center" textRotation="0" wrapText="0" indent="0" justifyLastLine="0" shrinkToFit="0" readingOrder="0"/>
    </dxf>
    <dxf>
      <alignment textRotation="0" wrapText="0" indent="0" justifyLastLine="0" shrinkToFit="0" readingOrder="0"/>
    </dxf>
    <dxf>
      <alignment textRotation="0" wrapText="0" indent="0" justifyLastLine="0" shrinkToFit="0" readingOrder="0"/>
    </dxf>
    <dxf>
      <font>
        <b/>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172" formatCode="_-* #,##0_-;\-* #,##0_-;_-* &quot;-&quot;??_-;_-@_-"/>
      <alignment horizontal="center" vertical="bottom" textRotation="0" wrapText="0" indent="0" justifyLastLine="0" shrinkToFit="0" readingOrder="0"/>
    </dxf>
    <dxf>
      <border outline="0">
        <bottom style="thin">
          <color theme="4" tint="0.39997558519241921"/>
        </bottom>
      </border>
    </dxf>
    <dxf>
      <border outline="0">
        <bottom style="thin">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theme="4" tint="0.39997558519241921"/>
        </bottom>
      </border>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style="thin">
          <color theme="4" tint="0.39997558519241921"/>
        </left>
        <right style="thin">
          <color indexed="64"/>
        </right>
        <top style="thin">
          <color indexed="64"/>
        </top>
        <bottom/>
        <vertical/>
        <horizontal/>
      </border>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left/>
        <right style="thin">
          <color theme="4" tint="0.39997558519241921"/>
        </right>
        <top/>
        <bottom/>
        <vertical/>
        <horizontal/>
      </border>
    </dxf>
    <dxf>
      <font>
        <b val="0"/>
        <i val="0"/>
        <strike val="0"/>
        <condense val="0"/>
        <extend val="0"/>
        <outline val="0"/>
        <shadow val="0"/>
        <u val="none"/>
        <vertAlign val="baseline"/>
        <sz val="10"/>
        <color theme="1"/>
        <name val="Calibri"/>
        <scheme val="minor"/>
      </font>
      <border diagonalUp="0" diagonalDown="0">
        <left/>
        <right/>
        <top style="thin">
          <color indexed="64"/>
        </top>
        <bottom style="thin">
          <color indexed="64"/>
        </bottom>
        <vertical/>
        <horizontal/>
      </border>
    </dxf>
    <dxf>
      <border outline="0">
        <top style="thin">
          <color indexed="64"/>
        </top>
      </border>
    </dxf>
    <dxf>
      <border outline="0">
        <left style="thin">
          <color indexed="64"/>
        </left>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border diagonalUp="0" diagonalDown="0">
        <left style="thin">
          <color indexed="64"/>
        </left>
        <right/>
        <top style="thin">
          <color indexed="64"/>
        </top>
        <bottom style="thin">
          <color indexed="64"/>
        </bottom>
        <vertical/>
        <horizontal/>
      </border>
    </dxf>
    <dxf>
      <border outline="0">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border diagonalUp="0" diagonalDown="0">
        <left/>
        <right/>
        <top style="thin">
          <color indexed="64"/>
        </top>
        <bottom style="thin">
          <color indexed="64"/>
        </bottom>
        <vertical/>
        <horizontal/>
      </border>
    </dxf>
    <dxf>
      <border outline="0">
        <right style="thin">
          <color indexed="64"/>
        </right>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bottom style="thin">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right/>
        <top style="thin">
          <color indexed="64"/>
        </top>
        <bottom style="thin">
          <color indexed="64"/>
        </bottom>
        <vertical/>
        <horizontal/>
      </border>
    </dxf>
    <dxf>
      <border outline="0">
        <bottom style="thin">
          <color indexed="64"/>
        </bottom>
      </border>
    </dxf>
    <dxf>
      <alignment horizontal="center" vertical="bottom" textRotation="0" wrapText="0" indent="0" justifyLastLine="0" shrinkToFit="0" readingOrder="0"/>
    </dxf>
    <dxf>
      <font>
        <b val="0"/>
        <i val="0"/>
        <strike val="0"/>
        <condense val="0"/>
        <extend val="0"/>
        <outline val="0"/>
        <shadow val="0"/>
        <u val="none"/>
        <vertAlign val="baseline"/>
        <sz val="10"/>
        <color theme="1"/>
        <name val="Calibri"/>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border diagonalUp="0" diagonalDown="0">
        <left/>
        <right/>
        <top style="thin">
          <color indexed="64"/>
        </top>
        <bottom/>
        <vertical/>
        <horizontal/>
      </border>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1"/>
        <color theme="1"/>
        <name val="Calibri"/>
        <scheme val="minor"/>
      </font>
      <numFmt numFmtId="1" formatCode="0"/>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border outline="0">
        <bottom style="thin">
          <color indexed="64"/>
        </bottom>
      </border>
    </dxf>
    <dxf>
      <alignment horizontal="left" textRotation="0" wrapText="0" indent="0" justifyLastLine="0" shrinkToFit="0" readingOrder="0"/>
    </dxf>
    <dxf>
      <alignment horizontal="left" textRotation="0" wrapText="0" indent="0" justifyLastLine="0" shrinkToFit="0" readingOrder="0"/>
    </dxf>
    <dxf>
      <font>
        <strike val="0"/>
        <outline val="0"/>
        <shadow val="0"/>
        <u val="none"/>
        <vertAlign val="baseline"/>
        <sz val="11"/>
        <color auto="1"/>
        <name val="Calibri"/>
        <scheme val="minor"/>
      </font>
      <fill>
        <patternFill patternType="solid">
          <fgColor indexed="64"/>
          <bgColor rgb="FFFFC000"/>
        </patternFill>
      </fill>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alignment horizontal="general"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strike val="0"/>
        <outline val="0"/>
        <shadow val="0"/>
        <u val="none"/>
        <vertAlign val="baseline"/>
        <sz val="11"/>
        <color auto="1"/>
        <name val="Calibri"/>
        <scheme val="minor"/>
      </font>
      <fill>
        <patternFill patternType="solid">
          <fgColor indexed="64"/>
          <bgColor rgb="FFFFC000"/>
        </patternFill>
      </fill>
    </dxf>
    <dxf>
      <font>
        <strike val="0"/>
        <outline val="0"/>
        <shadow val="0"/>
        <u val="none"/>
        <vertAlign val="baseline"/>
        <sz val="11"/>
        <color auto="1"/>
        <name val="Calibri"/>
        <scheme val="minor"/>
      </font>
      <fill>
        <patternFill patternType="solid">
          <fgColor indexed="64"/>
          <bgColor rgb="FFFFC000"/>
        </patternFill>
      </fill>
    </dxf>
    <dxf>
      <border outline="0">
        <bottom style="thin">
          <color theme="4" tint="0.39997558519241921"/>
        </bottom>
      </border>
    </dxf>
    <dxf>
      <font>
        <strike val="0"/>
        <outline val="0"/>
        <shadow val="0"/>
        <u val="none"/>
        <vertAlign val="baseline"/>
        <sz val="11"/>
        <color auto="1"/>
        <name val="Calibri"/>
        <scheme val="minor"/>
      </font>
      <fill>
        <patternFill patternType="solid">
          <fgColor indexed="64"/>
          <bgColor rgb="FFFFC000"/>
        </patternFill>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strike val="0"/>
        <outline val="0"/>
        <shadow val="0"/>
        <u val="none"/>
        <vertAlign val="baseline"/>
        <sz val="11"/>
        <color auto="1"/>
        <name val="Calibri"/>
        <scheme val="minor"/>
      </font>
      <fill>
        <patternFill patternType="solid">
          <fgColor indexed="64"/>
          <bgColor rgb="FFFFC000"/>
        </patternFill>
      </fill>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strike val="0"/>
        <outline val="0"/>
        <shadow val="0"/>
        <u val="none"/>
        <vertAlign val="baseline"/>
        <sz val="11"/>
        <color auto="1"/>
        <name val="Calibri"/>
        <scheme val="minor"/>
      </font>
      <fill>
        <patternFill>
          <fgColor indexed="64"/>
          <bgColor rgb="FFFFC000"/>
        </patternFill>
      </fill>
    </dxf>
    <dxf>
      <font>
        <strike val="0"/>
        <outline val="0"/>
        <shadow val="0"/>
        <u val="none"/>
        <vertAlign val="baseline"/>
        <sz val="11"/>
        <color auto="1"/>
        <name val="Calibri"/>
        <scheme val="minor"/>
      </font>
      <fill>
        <patternFill patternType="solid">
          <fgColor indexed="64"/>
          <bgColor rgb="FFFFC000"/>
        </patternFill>
      </fill>
    </dxf>
    <dxf>
      <font>
        <strike val="0"/>
        <outline val="0"/>
        <shadow val="0"/>
        <u val="none"/>
        <vertAlign val="baseline"/>
        <sz val="11"/>
        <color auto="1"/>
        <name val="Calibri"/>
        <scheme val="minor"/>
      </font>
      <fill>
        <patternFill patternType="solid">
          <fgColor indexed="64"/>
          <bgColor rgb="FFFFC000"/>
        </patternFill>
      </fill>
    </dxf>
    <dxf>
      <font>
        <strike val="0"/>
        <outline val="0"/>
        <shadow val="0"/>
        <u val="none"/>
        <vertAlign val="baseline"/>
        <sz val="11"/>
        <color auto="1"/>
        <name val="Calibri"/>
        <scheme val="minor"/>
      </font>
    </dxf>
    <dxf>
      <font>
        <strike val="0"/>
        <outline val="0"/>
        <shadow val="0"/>
        <u val="none"/>
        <vertAlign val="baseline"/>
        <sz val="11"/>
        <color auto="1"/>
        <name val="Calibri"/>
        <scheme val="minor"/>
      </font>
    </dxf>
    <dxf>
      <font>
        <strike val="0"/>
        <outline val="0"/>
        <shadow val="0"/>
        <u val="none"/>
        <vertAlign val="baseline"/>
        <sz val="11"/>
        <color auto="1"/>
        <name val="Calibri"/>
        <scheme val="minor"/>
      </font>
    </dxf>
    <dxf>
      <font>
        <strike val="0"/>
        <outline val="0"/>
        <shadow val="0"/>
        <u val="none"/>
        <vertAlign val="baseline"/>
        <sz val="11"/>
        <color auto="1"/>
        <name val="Calibri"/>
        <scheme val="minor"/>
      </font>
      <fill>
        <patternFill patternType="solid">
          <fgColor indexed="64"/>
          <bgColor rgb="FFFFC000"/>
        </patternFill>
      </fill>
    </dxf>
    <dxf>
      <font>
        <b val="0"/>
      </font>
      <alignment horizontal="general" vertical="top" textRotation="0" wrapText="0" indent="0" justifyLastLine="0" shrinkToFit="0" readingOrder="0"/>
    </dxf>
    <dxf>
      <font>
        <b val="0"/>
        <i val="0"/>
        <strike val="0"/>
        <condense val="0"/>
        <extend val="0"/>
        <outline val="0"/>
        <shadow val="0"/>
        <u val="none"/>
        <vertAlign val="baseline"/>
        <sz val="10"/>
        <color theme="1"/>
        <name val="Arial"/>
        <scheme val="none"/>
      </font>
      <alignment horizontal="general" vertical="top" textRotation="0" wrapText="0" indent="0" justifyLastLine="0" shrinkToFit="0" readingOrder="0"/>
    </dxf>
    <dxf>
      <font>
        <b val="0"/>
      </font>
    </dxf>
    <dxf>
      <font>
        <b val="0"/>
        <strike val="0"/>
        <outline val="0"/>
        <shadow val="0"/>
        <u val="none"/>
        <vertAlign val="baseline"/>
        <sz val="11"/>
        <color auto="1"/>
        <name val="Calibri"/>
        <scheme val="minor"/>
      </font>
      <fill>
        <patternFill patternType="solid">
          <fgColor indexed="64"/>
          <bgColor rgb="FFFFC000"/>
        </patternFill>
      </fill>
    </dxf>
    <dxf>
      <font>
        <b val="0"/>
        <strike val="0"/>
        <outline val="0"/>
        <shadow val="0"/>
        <u val="none"/>
        <vertAlign val="baseline"/>
        <color auto="1"/>
      </font>
      <alignment horizontal="general"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top" textRotation="0" wrapText="0" indent="0" justifyLastLine="0" shrinkToFit="0" readingOrder="0"/>
    </dxf>
    <dxf>
      <font>
        <b val="0"/>
        <strike val="0"/>
        <outline val="0"/>
        <shadow val="0"/>
        <u val="none"/>
        <vertAlign val="baseline"/>
        <color auto="1"/>
      </font>
    </dxf>
    <dxf>
      <border outline="0">
        <bottom style="thin">
          <color theme="4" tint="0.39997558519241921"/>
        </bottom>
      </border>
    </dxf>
    <dxf>
      <font>
        <b val="0"/>
        <i val="0"/>
        <strike val="0"/>
        <condense val="0"/>
        <extend val="0"/>
        <outline val="0"/>
        <shadow val="0"/>
        <u val="none"/>
        <vertAlign val="baseline"/>
        <sz val="10"/>
        <color auto="1"/>
        <name val="Arial"/>
        <scheme val="none"/>
      </font>
      <fill>
        <patternFill patternType="solid">
          <fgColor theme="4" tint="0.79998168889431442"/>
          <bgColor rgb="FFFFC00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top" textRotation="0" wrapText="0" indent="0" justifyLastLine="0" shrinkToFit="0" readingOrder="0"/>
    </dxf>
    <dxf>
      <font>
        <b val="0"/>
        <strike val="0"/>
        <outline val="0"/>
        <shadow val="0"/>
        <u val="none"/>
        <vertAlign val="baseline"/>
        <color auto="1"/>
      </font>
      <alignment horizontal="general" vertical="top" textRotation="0" wrapText="0" indent="0" justifyLastLine="0" shrinkToFit="0" readingOrder="0"/>
    </dxf>
    <dxf>
      <border outline="0">
        <left style="thin">
          <color indexed="64"/>
        </left>
      </border>
    </dxf>
    <dxf>
      <font>
        <b val="0"/>
        <strike val="0"/>
        <outline val="0"/>
        <shadow val="0"/>
        <u val="none"/>
        <vertAlign val="baseline"/>
        <color auto="1"/>
      </font>
    </dxf>
    <dxf>
      <border outline="0">
        <bottom style="thin">
          <color theme="4" tint="0.39997558519241921"/>
        </bottom>
      </border>
    </dxf>
    <dxf>
      <font>
        <b val="0"/>
        <i val="0"/>
        <strike val="0"/>
        <condense val="0"/>
        <extend val="0"/>
        <outline val="0"/>
        <shadow val="0"/>
        <u val="none"/>
        <vertAlign val="baseline"/>
        <sz val="10"/>
        <color auto="1"/>
        <name val="Arial"/>
        <scheme val="none"/>
      </font>
      <fill>
        <patternFill patternType="solid">
          <fgColor theme="4" tint="0.79998168889431442"/>
          <bgColor rgb="FFFFC000"/>
        </patternFill>
      </fill>
      <alignment horizontal="general" vertical="top" textRotation="0" wrapText="0" indent="0" justifyLastLine="0" shrinkToFit="0" readingOrder="0"/>
    </dxf>
    <dxf>
      <font>
        <b val="0"/>
        <i val="0"/>
        <strike val="0"/>
        <condense val="0"/>
        <extend val="0"/>
        <outline val="0"/>
        <shadow val="0"/>
        <u val="none"/>
        <vertAlign val="baseline"/>
        <sz val="10"/>
        <color theme="1"/>
        <name val="Calibri"/>
        <scheme val="minor"/>
      </font>
      <alignment horizontal="general"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alignment horizontal="general"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general" vertical="center" textRotation="0" wrapText="1"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border diagonalUp="0" diagonalDown="0">
        <left/>
        <right style="thin">
          <color indexed="64"/>
        </right>
        <top/>
        <bottom/>
        <vertical/>
        <horizontal/>
      </border>
    </dxf>
    <dxf>
      <border outline="0">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vertical/>
        <horizontal/>
      </border>
    </dxf>
    <dxf>
      <border outline="0">
        <top style="thin">
          <color indexed="64"/>
        </top>
      </border>
    </dxf>
    <dxf>
      <border outline="0">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dxf>
    <dxf>
      <border outline="0">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dxf>
    <dxf>
      <border outline="0">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dxf>
    <dxf>
      <border outline="0">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border diagonalUp="0" diagonalDown="0">
        <left/>
        <right/>
        <top style="thin">
          <color indexed="64"/>
        </top>
        <bottom style="thin">
          <color indexed="64"/>
        </bottom>
        <vertical/>
        <horizontal/>
      </border>
    </dxf>
    <dxf>
      <border outline="0">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border diagonalUp="0" diagonalDown="0">
        <left/>
        <right/>
        <top style="thin">
          <color indexed="64"/>
        </top>
        <bottom style="thin">
          <color indexed="64"/>
        </bottom>
        <vertical/>
        <horizontal/>
      </border>
    </dxf>
    <dxf>
      <border outline="0">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border diagonalUp="0" diagonalDown="0">
        <left/>
        <right/>
        <top style="thin">
          <color indexed="64"/>
        </top>
        <bottom style="thin">
          <color indexed="64"/>
        </bottom>
        <vertical/>
        <horizontal/>
      </border>
    </dxf>
    <dxf>
      <border outline="0">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border diagonalUp="0" diagonalDown="0">
        <left/>
        <right/>
        <top style="thin">
          <color indexed="64"/>
        </top>
        <bottom style="thin">
          <color indexed="64"/>
        </bottom>
        <vertical/>
        <horizontal/>
      </border>
    </dxf>
    <dxf>
      <border outline="0">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border diagonalUp="0" diagonalDown="0">
        <left/>
        <right/>
        <top style="thin">
          <color indexed="64"/>
        </top>
        <bottom style="thin">
          <color indexed="64"/>
        </bottom>
        <vertical/>
        <horizontal/>
      </border>
    </dxf>
    <dxf>
      <border outline="0">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border diagonalUp="0" diagonalDown="0">
        <left/>
        <right/>
        <top style="thin">
          <color indexed="64"/>
        </top>
        <bottom style="thin">
          <color indexed="64"/>
        </bottom>
        <vertical/>
        <horizontal/>
      </border>
    </dxf>
    <dxf>
      <border outline="0">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border diagonalUp="0" diagonalDown="0">
        <left/>
        <right/>
        <top style="thin">
          <color indexed="64"/>
        </top>
        <bottom style="thin">
          <color indexed="64"/>
        </bottom>
        <vertical/>
        <horizontal/>
      </border>
    </dxf>
    <dxf>
      <border outline="0">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border diagonalUp="0" diagonalDown="0">
        <left/>
        <right/>
        <top style="thin">
          <color indexed="64"/>
        </top>
        <bottom style="thin">
          <color indexed="64"/>
        </bottom>
        <vertical/>
        <horizontal/>
      </border>
    </dxf>
    <dxf>
      <border outline="0">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solid">
          <fgColor theme="4" tint="0.79998168889431442"/>
          <bgColor theme="4" tint="0.79998168889431442"/>
        </patternFill>
      </fill>
      <border diagonalUp="0" diagonalDown="0">
        <left style="thin">
          <color theme="4" tint="0.39997558519241921"/>
        </left>
        <right/>
        <top style="thin">
          <color indexed="64"/>
        </top>
        <bottom/>
        <vertical/>
        <horizontal/>
      </border>
    </dxf>
    <dxf>
      <border outline="0">
        <top style="thin">
          <color indexed="64"/>
        </top>
      </border>
    </dxf>
    <dxf>
      <border outline="0">
        <right style="thin">
          <color theme="4" tint="0.39997558519241921"/>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solid">
          <fgColor theme="4" tint="0.79998168889431442"/>
          <bgColor theme="4" tint="0.79998168889431442"/>
        </patternFill>
      </fill>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border diagonalUp="0" diagonalDown="0">
        <left/>
        <right/>
        <top style="thin">
          <color indexed="64"/>
        </top>
        <bottom style="thin">
          <color indexed="64"/>
        </bottom>
        <vertical/>
        <horizontal/>
      </border>
    </dxf>
    <dxf>
      <border outline="0">
        <top style="thin">
          <color indexed="64"/>
        </top>
      </border>
    </dxf>
    <dxf>
      <border outline="0">
        <left style="thin">
          <color indexed="64"/>
        </left>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theme="0"/>
        <name val="Calibri"/>
        <scheme val="minor"/>
      </font>
      <fill>
        <patternFill patternType="solid">
          <fgColor indexed="64"/>
          <bgColor theme="5" tint="0.39997558519241921"/>
        </patternFill>
      </fill>
      <alignment horizontal="center" vertical="center" textRotation="0" wrapText="1" indent="0" justifyLastLine="0" shrinkToFit="0" readingOrder="0"/>
    </dxf>
  </dxfs>
  <tableStyles count="2" defaultTableStyle="TableStyleMedium2" defaultPivotStyle="PivotStyleLight16">
    <tableStyle name="Estilo de tabla dinámica 1" table="0" count="0" xr9:uid="{00000000-0011-0000-FFFF-FFFF00000000}"/>
    <tableStyle name="Invisible" pivot="0" table="0" count="0" xr9:uid="{00000000-0011-0000-FFFF-FFFF01000000}"/>
  </tableStyles>
  <colors>
    <mruColors>
      <color rgb="FF1188FF"/>
      <color rgb="FF5A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onnections" Target="connections.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1/relationships/timelineCache" Target="timelineCaches/timelineCache1.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sharedStrings" Target="sharedStrings.xml"/><Relationship Id="rId30" Type="http://schemas.openxmlformats.org/officeDocument/2006/relationships/customXml" Target="../customXml/item1.xml"/><Relationship Id="rId35" Type="http://schemas.microsoft.com/office/2017/10/relationships/person" Target="persons/perso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[R-ISO06-01 BD Maestra Bloqueos.xlsm]Reporte!TablaDinámica3</c:name>
    <c:fmtId val="0"/>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Destinos</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44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pivotFmt>
      <c:pivotFmt>
        <c:idx val="19"/>
      </c:pivotFmt>
      <c:pivotFmt>
        <c:idx val="20"/>
      </c:pivotFmt>
    </c:pivotFmts>
    <c:plotArea>
      <c:layout/>
      <c:pieChart>
        <c:varyColors val="1"/>
        <c:ser>
          <c:idx val="0"/>
          <c:order val="0"/>
          <c:tx>
            <c:strRef>
              <c:f>Reporte!$B$46</c:f>
              <c:strCache>
                <c:ptCount val="1"/>
                <c:pt idx="0">
                  <c:v>Eventos</c:v>
                </c:pt>
              </c:strCache>
            </c:strRef>
          </c:tx>
          <c:dPt>
            <c:idx val="0"/>
            <c:bubble3D val="0"/>
            <c:explosion val="11"/>
            <c:spPr>
              <a:solidFill>
                <a:schemeClr val="accent1"/>
              </a:solidFill>
              <a:ln w="19050">
                <a:solidFill>
                  <a:schemeClr val="lt1"/>
                </a:solidFill>
              </a:ln>
              <a:effectLst/>
            </c:spPr>
            <c:extLst>
              <c:ext xmlns:c16="http://schemas.microsoft.com/office/drawing/2014/chart" uri="{C3380CC4-5D6E-409C-BE32-E72D297353CC}">
                <c16:uniqueId val="{00000001-1CD1-4B67-8B5C-A7893E5631D3}"/>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1CD1-4B67-8B5C-A7893E5631D3}"/>
              </c:ext>
            </c:extLst>
          </c:dPt>
          <c:dPt>
            <c:idx val="2"/>
            <c:bubble3D val="0"/>
            <c:explosion val="4"/>
            <c:spPr>
              <a:solidFill>
                <a:schemeClr val="accent3"/>
              </a:solidFill>
              <a:ln w="19050">
                <a:solidFill>
                  <a:schemeClr val="lt1"/>
                </a:solidFill>
              </a:ln>
              <a:effectLst/>
            </c:spPr>
            <c:extLst>
              <c:ext xmlns:c16="http://schemas.microsoft.com/office/drawing/2014/chart" uri="{C3380CC4-5D6E-409C-BE32-E72D297353CC}">
                <c16:uniqueId val="{00000005-1CD1-4B67-8B5C-A7893E5631D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14-4499-9FD1-AE7552C79C0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E98-4A78-A33C-A263979726CD}"/>
              </c:ext>
            </c:extLst>
          </c:dPt>
          <c:dLbls>
            <c:spPr>
              <a:noFill/>
              <a:ln>
                <a:noFill/>
              </a:ln>
              <a:effectLst/>
            </c:spPr>
            <c:txPr>
              <a:bodyPr rot="0" spcFirstLastPara="1" vertOverflow="ellipsis" vert="horz" wrap="square" lIns="38100" tIns="19050" rIns="38100" bIns="19050" anchor="ctr" anchorCtr="1">
                <a:spAutoFit/>
              </a:bodyPr>
              <a:lstStyle/>
              <a:p>
                <a:pPr>
                  <a:defRPr sz="44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Reporte!$A$47:$A$51</c:f>
              <c:strCache>
                <c:ptCount val="4"/>
                <c:pt idx="0">
                  <c:v>Reproceso</c:v>
                </c:pt>
                <c:pt idx="1">
                  <c:v>Liberado</c:v>
                </c:pt>
                <c:pt idx="2">
                  <c:v>Merma</c:v>
                </c:pt>
                <c:pt idx="3">
                  <c:v>Devolución</c:v>
                </c:pt>
              </c:strCache>
            </c:strRef>
          </c:cat>
          <c:val>
            <c:numRef>
              <c:f>Reporte!$B$47:$B$51</c:f>
              <c:numCache>
                <c:formatCode>General</c:formatCode>
                <c:ptCount val="4"/>
                <c:pt idx="0">
                  <c:v>4</c:v>
                </c:pt>
                <c:pt idx="1">
                  <c:v>3</c:v>
                </c:pt>
                <c:pt idx="2">
                  <c:v>3</c:v>
                </c:pt>
                <c:pt idx="3">
                  <c:v>5</c:v>
                </c:pt>
              </c:numCache>
            </c:numRef>
          </c:val>
          <c:extLst>
            <c:ext xmlns:c16="http://schemas.microsoft.com/office/drawing/2014/chart" uri="{C3380CC4-5D6E-409C-BE32-E72D297353CC}">
              <c16:uniqueId val="{00000000-B2C5-4D7A-89DE-F5D2D6177194}"/>
            </c:ext>
          </c:extLst>
        </c:ser>
        <c:ser>
          <c:idx val="1"/>
          <c:order val="1"/>
          <c:tx>
            <c:strRef>
              <c:f>Reporte!$C$46</c:f>
              <c:strCache>
                <c:ptCount val="1"/>
                <c:pt idx="0">
                  <c:v>Cantidad(kg)</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1CD1-4B67-8B5C-A7893E5631D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1CD1-4B67-8B5C-A7893E5631D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1CD1-4B67-8B5C-A7893E5631D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F-E414-4499-9FD1-AE7552C79C0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3-4E98-4A78-A33C-A263979726C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Reporte!$A$47:$A$51</c:f>
              <c:strCache>
                <c:ptCount val="4"/>
                <c:pt idx="0">
                  <c:v>Reproceso</c:v>
                </c:pt>
                <c:pt idx="1">
                  <c:v>Liberado</c:v>
                </c:pt>
                <c:pt idx="2">
                  <c:v>Merma</c:v>
                </c:pt>
                <c:pt idx="3">
                  <c:v>Devolución</c:v>
                </c:pt>
              </c:strCache>
            </c:strRef>
          </c:cat>
          <c:val>
            <c:numRef>
              <c:f>Reporte!$C$47:$C$51</c:f>
              <c:numCache>
                <c:formatCode>General</c:formatCode>
                <c:ptCount val="4"/>
                <c:pt idx="0">
                  <c:v>18222.16</c:v>
                </c:pt>
                <c:pt idx="1">
                  <c:v>12451</c:v>
                </c:pt>
                <c:pt idx="2">
                  <c:v>1210</c:v>
                </c:pt>
                <c:pt idx="3">
                  <c:v>333.52</c:v>
                </c:pt>
              </c:numCache>
            </c:numRef>
          </c:val>
          <c:extLst>
            <c:ext xmlns:c16="http://schemas.microsoft.com/office/drawing/2014/chart" uri="{C3380CC4-5D6E-409C-BE32-E72D297353CC}">
              <c16:uniqueId val="{00000001-B2C5-4D7A-89DE-F5D2D6177194}"/>
            </c:ext>
          </c:extLst>
        </c:ser>
        <c:ser>
          <c:idx val="2"/>
          <c:order val="2"/>
          <c:tx>
            <c:strRef>
              <c:f>Reporte!$D$46</c:f>
              <c:strCache>
                <c:ptCount val="1"/>
                <c:pt idx="0">
                  <c:v>Cantidad(CLP)</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1CD1-4B67-8B5C-A7893E5631D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F-1CD1-4B67-8B5C-A7893E5631D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1-1CD1-4B67-8B5C-A7893E5631D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7-E414-4499-9FD1-AE7552C79C0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D-4E98-4A78-A33C-A263979726C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Reporte!$A$47:$A$51</c:f>
              <c:strCache>
                <c:ptCount val="4"/>
                <c:pt idx="0">
                  <c:v>Reproceso</c:v>
                </c:pt>
                <c:pt idx="1">
                  <c:v>Liberado</c:v>
                </c:pt>
                <c:pt idx="2">
                  <c:v>Merma</c:v>
                </c:pt>
                <c:pt idx="3">
                  <c:v>Devolución</c:v>
                </c:pt>
              </c:strCache>
            </c:strRef>
          </c:cat>
          <c:val>
            <c:numRef>
              <c:f>Reporte!$D$47:$D$51</c:f>
              <c:numCache>
                <c:formatCode>#,##0.00\ _€;\-#,##0.00\ _€</c:formatCode>
                <c:ptCount val="4"/>
                <c:pt idx="0">
                  <c:v>684544.45600000001</c:v>
                </c:pt>
                <c:pt idx="1">
                  <c:v>0</c:v>
                </c:pt>
                <c:pt idx="2">
                  <c:v>1012980</c:v>
                </c:pt>
                <c:pt idx="3">
                  <c:v>0</c:v>
                </c:pt>
              </c:numCache>
            </c:numRef>
          </c:val>
          <c:extLst>
            <c:ext xmlns:c16="http://schemas.microsoft.com/office/drawing/2014/chart" uri="{C3380CC4-5D6E-409C-BE32-E72D297353CC}">
              <c16:uniqueId val="{00000002-B2C5-4D7A-89DE-F5D2D6177194}"/>
            </c:ext>
          </c:extLst>
        </c:ser>
        <c:dLbls>
          <c:showLegendKey val="0"/>
          <c:showVal val="0"/>
          <c:showCatName val="0"/>
          <c:showSerName val="0"/>
          <c:showPercent val="1"/>
          <c:showBubbleSize val="0"/>
          <c:showLeaderLines val="1"/>
        </c:dLbls>
        <c:firstSliceAng val="0"/>
      </c:pieChart>
      <c:spPr>
        <a:noFill/>
        <a:ln>
          <a:noFill/>
        </a:ln>
        <a:effectLst/>
      </c:spPr>
    </c:plotArea>
    <c:legend>
      <c:legendPos val="t"/>
      <c:legendEntry>
        <c:idx val="0"/>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s-ES"/>
          </a:p>
        </c:txPr>
      </c:legendEntry>
      <c:legendEntry>
        <c:idx val="1"/>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s-ES"/>
          </a:p>
        </c:txPr>
      </c:legendEntry>
      <c:legendEntry>
        <c:idx val="2"/>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s-ES"/>
          </a:p>
        </c:txPr>
      </c:legendEntry>
      <c:layout>
        <c:manualLayout>
          <c:xMode val="edge"/>
          <c:yMode val="edge"/>
          <c:x val="0.10921612031006048"/>
          <c:y val="5.8953791499674647E-2"/>
          <c:w val="0.72817880183375661"/>
          <c:h val="0.1402902090515131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[R-ISO06-01 BD Maestra Bloqueos.xlsm]Reporte!TablaDinámica10</c:name>
    <c:fmtId val="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Tipos de Eventos</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pivotFmt>
    </c:pivotFmts>
    <c:plotArea>
      <c:layout>
        <c:manualLayout>
          <c:layoutTarget val="inner"/>
          <c:xMode val="edge"/>
          <c:yMode val="edge"/>
          <c:x val="0.29224061872887769"/>
          <c:y val="0.25053660765775415"/>
          <c:w val="0.37998294910526526"/>
          <c:h val="0.65844752124081452"/>
        </c:manualLayout>
      </c:layout>
      <c:pieChart>
        <c:varyColors val="1"/>
        <c:ser>
          <c:idx val="0"/>
          <c:order val="0"/>
          <c:tx>
            <c:strRef>
              <c:f>Reporte!$B$105</c:f>
              <c:strCache>
                <c:ptCount val="1"/>
                <c:pt idx="0">
                  <c:v>Total</c:v>
                </c:pt>
              </c:strCache>
            </c:strRef>
          </c:tx>
          <c:explosion val="3"/>
          <c:dPt>
            <c:idx val="0"/>
            <c:bubble3D val="0"/>
            <c:explosion val="7"/>
            <c:spPr>
              <a:solidFill>
                <a:schemeClr val="accent1"/>
              </a:solidFill>
              <a:ln w="19050">
                <a:solidFill>
                  <a:schemeClr val="lt1"/>
                </a:solidFill>
              </a:ln>
              <a:effectLst/>
            </c:spPr>
            <c:extLst>
              <c:ext xmlns:c16="http://schemas.microsoft.com/office/drawing/2014/chart" uri="{C3380CC4-5D6E-409C-BE32-E72D297353CC}">
                <c16:uniqueId val="{00000001-FBAE-45EF-B889-9DA40700116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BAE-45EF-B889-9DA40700116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BC4-4D4F-A4CD-5C9621470E0F}"/>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Reporte!$A$106:$A$108</c:f>
              <c:strCache>
                <c:ptCount val="2"/>
                <c:pt idx="0">
                  <c:v>Bloqueo MMPP/MMEE</c:v>
                </c:pt>
                <c:pt idx="1">
                  <c:v>Bloqueo PT/SE</c:v>
                </c:pt>
              </c:strCache>
            </c:strRef>
          </c:cat>
          <c:val>
            <c:numRef>
              <c:f>Reporte!$B$106:$B$108</c:f>
              <c:numCache>
                <c:formatCode>General</c:formatCode>
                <c:ptCount val="2"/>
                <c:pt idx="0">
                  <c:v>7</c:v>
                </c:pt>
                <c:pt idx="1">
                  <c:v>8</c:v>
                </c:pt>
              </c:numCache>
            </c:numRef>
          </c:val>
          <c:extLst>
            <c:ext xmlns:c16="http://schemas.microsoft.com/office/drawing/2014/chart" uri="{C3380CC4-5D6E-409C-BE32-E72D297353CC}">
              <c16:uniqueId val="{00000001-841E-4AA9-994B-AA7E64393F34}"/>
            </c:ext>
          </c:extLst>
        </c:ser>
        <c:dLbls>
          <c:showLegendKey val="0"/>
          <c:showVal val="0"/>
          <c:showCatName val="0"/>
          <c:showSerName val="0"/>
          <c:showPercent val="1"/>
          <c:showBubbleSize val="0"/>
          <c:showLeaderLines val="1"/>
        </c:dLbls>
        <c:firstSliceAng val="0"/>
      </c:pieChart>
      <c:spPr>
        <a:noFill/>
        <a:ln>
          <a:noFill/>
        </a:ln>
        <a:effectLst/>
      </c:spPr>
    </c:plotArea>
    <c:legend>
      <c:legendPos val="t"/>
      <c:legendEntry>
        <c:idx val="0"/>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s-ES"/>
          </a:p>
        </c:txPr>
      </c:legendEntry>
      <c:legendEntry>
        <c:idx val="1"/>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s-ES"/>
          </a:p>
        </c:txPr>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Spin" dx="31" fmlaLink="$C$8" max="30000" page="10" val="9"/>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361950</xdr:colOff>
      <xdr:row>0</xdr:row>
      <xdr:rowOff>82550</xdr:rowOff>
    </xdr:from>
    <xdr:to>
      <xdr:col>2</xdr:col>
      <xdr:colOff>158750</xdr:colOff>
      <xdr:row>3</xdr:row>
      <xdr:rowOff>187325</xdr:rowOff>
    </xdr:to>
    <xdr:pic>
      <xdr:nvPicPr>
        <xdr:cNvPr id="2" name="Imagen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1950" y="85725"/>
          <a:ext cx="1320800"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1327150</xdr:colOff>
          <xdr:row>0</xdr:row>
          <xdr:rowOff>222250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900" b="0" i="0" u="none" strike="noStrike" baseline="0">
                  <a:solidFill>
                    <a:srgbClr val="000000"/>
                  </a:solidFill>
                  <a:latin typeface="Calibri"/>
                  <a:ea typeface="Calibri"/>
                  <a:cs typeface="Calibri"/>
                </a:rPr>
                <a:t>Volver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4</xdr:row>
          <xdr:rowOff>146050</xdr:rowOff>
        </xdr:from>
        <xdr:to>
          <xdr:col>5</xdr:col>
          <xdr:colOff>184150</xdr:colOff>
          <xdr:row>6</xdr:row>
          <xdr:rowOff>76200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Ingresar Nuevo Evento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336550</xdr:colOff>
          <xdr:row>4</xdr:row>
          <xdr:rowOff>146050</xdr:rowOff>
        </xdr:from>
        <xdr:to>
          <xdr:col>9</xdr:col>
          <xdr:colOff>723900</xdr:colOff>
          <xdr:row>6</xdr:row>
          <xdr:rowOff>107950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Ver Base de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3</xdr:row>
          <xdr:rowOff>184150</xdr:rowOff>
        </xdr:from>
        <xdr:to>
          <xdr:col>16</xdr:col>
          <xdr:colOff>50800</xdr:colOff>
          <xdr:row>4</xdr:row>
          <xdr:rowOff>88900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Ver Reporte (Obsoleto)</a:t>
              </a:r>
            </a:p>
          </xdr:txBody>
        </xdr:sp>
        <xdr:clientData fPrintsWithSheet="0"/>
      </xdr:twoCellAnchor>
    </mc:Choice>
    <mc:Fallback/>
  </mc:AlternateContent>
  <xdr:twoCellAnchor>
    <xdr:from>
      <xdr:col>3</xdr:col>
      <xdr:colOff>14943</xdr:colOff>
      <xdr:row>0</xdr:row>
      <xdr:rowOff>164353</xdr:rowOff>
    </xdr:from>
    <xdr:to>
      <xdr:col>9</xdr:col>
      <xdr:colOff>724648</xdr:colOff>
      <xdr:row>3</xdr:row>
      <xdr:rowOff>119531</xdr:rowOff>
    </xdr:to>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2256119" y="164353"/>
          <a:ext cx="5647764" cy="51547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1"/>
            <a:t>Base de Datos de Incedencias de Bloqueos de Productos, Semielaborados, Materias primas y Material de Envase</a:t>
          </a:r>
        </a:p>
      </xdr:txBody>
    </xdr:sp>
    <xdr:clientData/>
  </xdr:twoCellAnchor>
  <mc:AlternateContent xmlns:mc="http://schemas.openxmlformats.org/markup-compatibility/2006">
    <mc:Choice xmlns:a14="http://schemas.microsoft.com/office/drawing/2010/main" Requires="a14">
      <xdr:twoCellAnchor>
        <xdr:from>
          <xdr:col>14</xdr:col>
          <xdr:colOff>50800</xdr:colOff>
          <xdr:row>4</xdr:row>
          <xdr:rowOff>146050</xdr:rowOff>
        </xdr:from>
        <xdr:to>
          <xdr:col>16</xdr:col>
          <xdr:colOff>38100</xdr:colOff>
          <xdr:row>6</xdr:row>
          <xdr:rowOff>31750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800-00000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Gestionar</a:t>
              </a:r>
            </a:p>
          </xdr:txBody>
        </xdr:sp>
        <xdr:clientData fPrintsWithSheet="0"/>
      </xdr:twoCellAnchor>
    </mc:Choice>
    <mc:Fallback/>
  </mc:AlternateContent>
  <xdr:twoCellAnchor editAs="oneCell">
    <xdr:from>
      <xdr:col>5</xdr:col>
      <xdr:colOff>340880</xdr:colOff>
      <xdr:row>3</xdr:row>
      <xdr:rowOff>114879</xdr:rowOff>
    </xdr:from>
    <xdr:to>
      <xdr:col>7</xdr:col>
      <xdr:colOff>303068</xdr:colOff>
      <xdr:row>6</xdr:row>
      <xdr:rowOff>61242</xdr:rowOff>
    </xdr:to>
    <xdr:pic>
      <xdr:nvPicPr>
        <xdr:cNvPr id="5" name="Imagen 4">
          <a:extLst>
            <a:ext uri="{FF2B5EF4-FFF2-40B4-BE49-F238E27FC236}">
              <a16:creationId xmlns:a16="http://schemas.microsoft.com/office/drawing/2014/main" id="{FAF9F0FB-6730-48EB-B1D9-5308B67D1AC5}"/>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8087" b="39583"/>
        <a:stretch/>
      </xdr:blipFill>
      <xdr:spPr>
        <a:xfrm>
          <a:off x="4332721" y="660402"/>
          <a:ext cx="1555461" cy="66506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571500</xdr:colOff>
          <xdr:row>1</xdr:row>
          <xdr:rowOff>31750</xdr:rowOff>
        </xdr:from>
        <xdr:to>
          <xdr:col>6</xdr:col>
          <xdr:colOff>946150</xdr:colOff>
          <xdr:row>4</xdr:row>
          <xdr:rowOff>31750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000" b="0" i="0" u="none" strike="noStrike" baseline="0">
                  <a:solidFill>
                    <a:srgbClr val="000000"/>
                  </a:solidFill>
                  <a:latin typeface="Calibri"/>
                  <a:ea typeface="Calibri"/>
                  <a:cs typeface="Calibri"/>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679450</xdr:colOff>
          <xdr:row>5</xdr:row>
          <xdr:rowOff>107950</xdr:rowOff>
        </xdr:from>
        <xdr:to>
          <xdr:col>6</xdr:col>
          <xdr:colOff>946150</xdr:colOff>
          <xdr:row>5</xdr:row>
          <xdr:rowOff>527050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A00-000002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Generar pdf</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19045</xdr:colOff>
      <xdr:row>15</xdr:row>
      <xdr:rowOff>9236</xdr:rowOff>
    </xdr:from>
    <xdr:to>
      <xdr:col>10</xdr:col>
      <xdr:colOff>1857375</xdr:colOff>
      <xdr:row>41</xdr:row>
      <xdr:rowOff>181429</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66097</xdr:colOff>
      <xdr:row>7</xdr:row>
      <xdr:rowOff>57396</xdr:rowOff>
    </xdr:from>
    <xdr:to>
      <xdr:col>10</xdr:col>
      <xdr:colOff>1757343</xdr:colOff>
      <xdr:row>11</xdr:row>
      <xdr:rowOff>142303</xdr:rowOff>
    </xdr:to>
    <mc:AlternateContent xmlns:mc="http://schemas.openxmlformats.org/markup-compatibility/2006" xmlns:tsle="http://schemas.microsoft.com/office/drawing/2012/timeslicer">
      <mc:Choice Requires="tsle">
        <xdr:graphicFrame macro="">
          <xdr:nvGraphicFramePr>
            <xdr:cNvPr id="7" name="Fecha">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148327" y="1440130"/>
              <a:ext cx="5251377" cy="1212402"/>
            </a:xfrm>
            <a:prstGeom prst="rect">
              <a:avLst/>
            </a:prstGeom>
            <a:solidFill>
              <a:prstClr val="white"/>
            </a:solidFill>
            <a:ln w="1">
              <a:solidFill>
                <a:prstClr val="green"/>
              </a:solidFill>
            </a:ln>
          </xdr:spPr>
          <xdr:txBody>
            <a:bodyPr vertOverflow="clip" horzOverflow="clip"/>
            <a:lstStyle/>
            <a:p>
              <a:r>
                <a:rPr lang="es-ES" sz="1100"/>
                <a:t>Línea de tiempo: Funciona en Excel 2013 o superior. No mover ni cambiar el tamaño.</a:t>
              </a:r>
            </a:p>
          </xdr:txBody>
        </xdr:sp>
      </mc:Fallback>
    </mc:AlternateContent>
    <xdr:clientData/>
  </xdr:twoCellAnchor>
  <xdr:twoCellAnchor>
    <xdr:from>
      <xdr:col>7</xdr:col>
      <xdr:colOff>23812</xdr:colOff>
      <xdr:row>42</xdr:row>
      <xdr:rowOff>6864</xdr:rowOff>
    </xdr:from>
    <xdr:to>
      <xdr:col>10</xdr:col>
      <xdr:colOff>1836737</xdr:colOff>
      <xdr:row>58</xdr:row>
      <xdr:rowOff>146049</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11</xdr:col>
          <xdr:colOff>69850</xdr:colOff>
          <xdr:row>0</xdr:row>
          <xdr:rowOff>31750</xdr:rowOff>
        </xdr:from>
        <xdr:to>
          <xdr:col>11</xdr:col>
          <xdr:colOff>1981200</xdr:colOff>
          <xdr:row>3</xdr:row>
          <xdr:rowOff>69850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B00-0000022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000" b="0" i="0" u="none" strike="noStrike" baseline="0">
                  <a:solidFill>
                    <a:srgbClr val="000000"/>
                  </a:solidFill>
                  <a:latin typeface="Calibri"/>
                  <a:ea typeface="Calibri"/>
                  <a:cs typeface="Calibri"/>
                </a:rPr>
                <a:t>Volver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0</xdr:row>
          <xdr:rowOff>38100</xdr:rowOff>
        </xdr:from>
        <xdr:to>
          <xdr:col>3</xdr:col>
          <xdr:colOff>38100</xdr:colOff>
          <xdr:row>1</xdr:row>
          <xdr:rowOff>76200</xdr:rowOff>
        </xdr:to>
        <xdr:sp macro="" textlink="">
          <xdr:nvSpPr>
            <xdr:cNvPr id="21513" name="Button 9" hidden="1">
              <a:extLst>
                <a:ext uri="{63B3BB69-23CF-44E3-9099-C40C66FF867C}">
                  <a14:compatExt spid="_x0000_s21513"/>
                </a:ext>
                <a:ext uri="{FF2B5EF4-FFF2-40B4-BE49-F238E27FC236}">
                  <a16:creationId xmlns:a16="http://schemas.microsoft.com/office/drawing/2014/main" id="{00000000-0008-0000-0E00-000009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Buscar</a:t>
              </a:r>
            </a:p>
            <a:p>
              <a:pPr algn="ctr" rtl="0">
                <a:defRPr sz="1000"/>
              </a:pPr>
              <a:r>
                <a:rPr lang="es-ES" sz="1100" b="0" i="0" u="none" strike="noStrike" baseline="0">
                  <a:solidFill>
                    <a:srgbClr val="000000"/>
                  </a:solidFill>
                  <a:latin typeface="Calibri"/>
                  <a:ea typeface="Calibri"/>
                  <a:cs typeface="Calibri"/>
                </a:rPr>
                <a:t>Buscar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1441450</xdr:colOff>
          <xdr:row>3</xdr:row>
          <xdr:rowOff>146050</xdr:rowOff>
        </xdr:from>
        <xdr:to>
          <xdr:col>4</xdr:col>
          <xdr:colOff>1593850</xdr:colOff>
          <xdr:row>5</xdr:row>
          <xdr:rowOff>0</xdr:rowOff>
        </xdr:to>
        <xdr:sp macro="" textlink="">
          <xdr:nvSpPr>
            <xdr:cNvPr id="21521" name="Button 17" hidden="1">
              <a:extLst>
                <a:ext uri="{63B3BB69-23CF-44E3-9099-C40C66FF867C}">
                  <a14:compatExt spid="_x0000_s21521"/>
                </a:ext>
                <a:ext uri="{FF2B5EF4-FFF2-40B4-BE49-F238E27FC236}">
                  <a16:creationId xmlns:a16="http://schemas.microsoft.com/office/drawing/2014/main" id="{00000000-0008-0000-0E00-00001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Modificar</a:t>
              </a:r>
            </a:p>
            <a:p>
              <a:pPr algn="ctr" rtl="0">
                <a:defRPr sz="1000"/>
              </a:pPr>
              <a:r>
                <a:rPr lang="es-ES" sz="1100" b="0" i="0" u="none" strike="noStrike" baseline="0">
                  <a:solidFill>
                    <a:srgbClr val="000000"/>
                  </a:solidFill>
                  <a:latin typeface="Calibri"/>
                  <a:ea typeface="Calibri"/>
                  <a:cs typeface="Calibri"/>
                </a:rPr>
                <a:t>Modificar</a:t>
              </a:r>
            </a:p>
            <a:p>
              <a:pPr algn="ctr" rtl="0">
                <a:defRPr sz="1000"/>
              </a:pPr>
              <a:r>
                <a:rPr lang="es-ES" sz="1100" b="0" i="0" u="none" strike="noStrike" baseline="0">
                  <a:solidFill>
                    <a:srgbClr val="000000"/>
                  </a:solidFill>
                  <a:latin typeface="Calibri"/>
                  <a:ea typeface="Calibri"/>
                  <a:cs typeface="Calibri"/>
                </a:rPr>
                <a:t>Buscar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3</xdr:row>
          <xdr:rowOff>31750</xdr:rowOff>
        </xdr:from>
        <xdr:to>
          <xdr:col>3</xdr:col>
          <xdr:colOff>69850</xdr:colOff>
          <xdr:row>4</xdr:row>
          <xdr:rowOff>69850</xdr:rowOff>
        </xdr:to>
        <xdr:sp macro="" textlink="">
          <xdr:nvSpPr>
            <xdr:cNvPr id="21522" name="Button 18" hidden="1">
              <a:extLst>
                <a:ext uri="{63B3BB69-23CF-44E3-9099-C40C66FF867C}">
                  <a14:compatExt spid="_x0000_s21522"/>
                </a:ext>
                <a:ext uri="{FF2B5EF4-FFF2-40B4-BE49-F238E27FC236}">
                  <a16:creationId xmlns:a16="http://schemas.microsoft.com/office/drawing/2014/main" id="{00000000-0008-0000-0E00-00001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Borrar Datos</a:t>
              </a:r>
            </a:p>
            <a:p>
              <a:pPr algn="ctr" rtl="0">
                <a:defRPr sz="1000"/>
              </a:pPr>
              <a:r>
                <a:rPr lang="es-ES" sz="1100" b="0" i="0" u="none" strike="noStrike" baseline="0">
                  <a:solidFill>
                    <a:srgbClr val="000000"/>
                  </a:solidFill>
                  <a:latin typeface="Calibri"/>
                  <a:ea typeface="Calibri"/>
                  <a:cs typeface="Calibri"/>
                </a:rPr>
                <a:t>Modificar</a:t>
              </a:r>
            </a:p>
            <a:p>
              <a:pPr algn="ctr" rtl="0">
                <a:defRPr sz="1000"/>
              </a:pPr>
              <a:r>
                <a:rPr lang="es-ES" sz="1100" b="0" i="0" u="none" strike="noStrike" baseline="0">
                  <a:solidFill>
                    <a:srgbClr val="000000"/>
                  </a:solidFill>
                  <a:latin typeface="Calibri"/>
                  <a:ea typeface="Calibri"/>
                  <a:cs typeface="Calibri"/>
                </a:rPr>
                <a:t>Buscar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5</xdr:row>
          <xdr:rowOff>69850</xdr:rowOff>
        </xdr:from>
        <xdr:to>
          <xdr:col>3</xdr:col>
          <xdr:colOff>793750</xdr:colOff>
          <xdr:row>10</xdr:row>
          <xdr:rowOff>69850</xdr:rowOff>
        </xdr:to>
        <xdr:sp macro="" textlink="">
          <xdr:nvSpPr>
            <xdr:cNvPr id="21527" name="Spinner 23" hidden="1">
              <a:extLst>
                <a:ext uri="{63B3BB69-23CF-44E3-9099-C40C66FF867C}">
                  <a14:compatExt spid="_x0000_s21527"/>
                </a:ext>
                <a:ext uri="{FF2B5EF4-FFF2-40B4-BE49-F238E27FC236}">
                  <a16:creationId xmlns:a16="http://schemas.microsoft.com/office/drawing/2014/main" id="{00000000-0008-0000-0E00-0000175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oneCellAnchor>
    <xdr:from>
      <xdr:col>2</xdr:col>
      <xdr:colOff>1168771</xdr:colOff>
      <xdr:row>21</xdr:row>
      <xdr:rowOff>86285</xdr:rowOff>
    </xdr:from>
    <xdr:ext cx="4479554" cy="456343"/>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00000000-0008-0000-0E00-000002000000}"/>
                </a:ext>
              </a:extLst>
            </xdr:cNvPr>
            <xdr:cNvSpPr txBox="1"/>
          </xdr:nvSpPr>
          <xdr:spPr>
            <a:xfrm>
              <a:off x="6445621" y="6477560"/>
              <a:ext cx="4479554" cy="4563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ES" sz="1400" b="1" i="1">
                        <a:latin typeface="Cambria Math" panose="02040503050406030204" pitchFamily="18" charset="0"/>
                      </a:rPr>
                      <m:t>𝑪𝒂𝒏𝒕𝒊𝒅𝒂𝒅</m:t>
                    </m:r>
                    <m:d>
                      <m:dPr>
                        <m:ctrlPr>
                          <a:rPr lang="es-ES" sz="1400" b="1" i="1">
                            <a:latin typeface="Cambria Math" panose="02040503050406030204" pitchFamily="18" charset="0"/>
                          </a:rPr>
                        </m:ctrlPr>
                      </m:dPr>
                      <m:e>
                        <m:r>
                          <a:rPr lang="es-ES" sz="1400" b="1" i="1">
                            <a:latin typeface="Cambria Math" panose="02040503050406030204" pitchFamily="18" charset="0"/>
                          </a:rPr>
                          <m:t>𝑪𝑳𝑷</m:t>
                        </m:r>
                      </m:e>
                    </m:d>
                    <m:r>
                      <a:rPr lang="es-ES" sz="1400" b="1" i="1">
                        <a:latin typeface="Cambria Math" panose="02040503050406030204" pitchFamily="18" charset="0"/>
                      </a:rPr>
                      <m:t>=</m:t>
                    </m:r>
                    <m:f>
                      <m:fPr>
                        <m:ctrlPr>
                          <a:rPr lang="es-ES" sz="1400" b="1" i="1">
                            <a:latin typeface="Cambria Math" panose="02040503050406030204" pitchFamily="18" charset="0"/>
                          </a:rPr>
                        </m:ctrlPr>
                      </m:fPr>
                      <m:num>
                        <m:r>
                          <a:rPr lang="es-ES" sz="1400" b="1" i="1">
                            <a:latin typeface="Cambria Math" panose="02040503050406030204" pitchFamily="18" charset="0"/>
                          </a:rPr>
                          <m:t>𝑪𝒂𝒏𝒕𝒊𝒅𝒂𝒅</m:t>
                        </m:r>
                        <m:d>
                          <m:dPr>
                            <m:ctrlPr>
                              <a:rPr lang="es-ES" sz="1400" b="1" i="1">
                                <a:latin typeface="Cambria Math" panose="02040503050406030204" pitchFamily="18" charset="0"/>
                              </a:rPr>
                            </m:ctrlPr>
                          </m:dPr>
                          <m:e>
                            <m:r>
                              <a:rPr lang="es-ES" sz="1400" b="1" i="1">
                                <a:latin typeface="Cambria Math" panose="02040503050406030204" pitchFamily="18" charset="0"/>
                              </a:rPr>
                              <m:t>𝒌𝒈</m:t>
                            </m:r>
                          </m:e>
                        </m:d>
                        <m:r>
                          <a:rPr lang="es-ES" sz="1400" b="1" i="1">
                            <a:latin typeface="Cambria Math" panose="02040503050406030204" pitchFamily="18" charset="0"/>
                          </a:rPr>
                          <m:t>.</m:t>
                        </m:r>
                        <m:r>
                          <a:rPr lang="es-ES" sz="1400" b="1" i="1">
                            <a:latin typeface="Cambria Math" panose="02040503050406030204" pitchFamily="18" charset="0"/>
                          </a:rPr>
                          <m:t>𝑪𝒐𝒔𝒕𝒐𝒔</m:t>
                        </m:r>
                        <m:r>
                          <a:rPr lang="es-ES" sz="1400" b="1" i="1">
                            <a:latin typeface="Cambria Math" panose="02040503050406030204" pitchFamily="18" charset="0"/>
                          </a:rPr>
                          <m:t>(</m:t>
                        </m:r>
                        <m:r>
                          <a:rPr lang="es-ES" sz="1400" b="1" i="1">
                            <a:latin typeface="Cambria Math" panose="02040503050406030204" pitchFamily="18" charset="0"/>
                          </a:rPr>
                          <m:t>𝑪𝑳𝑷</m:t>
                        </m:r>
                        <m:r>
                          <a:rPr lang="es-ES" sz="1400" b="1" i="1">
                            <a:latin typeface="Cambria Math" panose="02040503050406030204" pitchFamily="18" charset="0"/>
                          </a:rPr>
                          <m:t>/</m:t>
                        </m:r>
                        <m:r>
                          <a:rPr lang="es-ES" sz="1400" b="1" i="1">
                            <a:latin typeface="Cambria Math" panose="02040503050406030204" pitchFamily="18" charset="0"/>
                          </a:rPr>
                          <m:t>𝑼𝑴𝑽</m:t>
                        </m:r>
                        <m:r>
                          <a:rPr lang="es-ES" sz="1400" b="1" i="1">
                            <a:latin typeface="Cambria Math" panose="02040503050406030204" pitchFamily="18" charset="0"/>
                          </a:rPr>
                          <m:t>)</m:t>
                        </m:r>
                      </m:num>
                      <m:den>
                        <m:r>
                          <a:rPr lang="es-ES" sz="1400" b="1" i="1">
                            <a:latin typeface="Cambria Math" panose="02040503050406030204" pitchFamily="18" charset="0"/>
                          </a:rPr>
                          <m:t>𝑭𝒐𝒓𝒎𝒂𝒕𝒐</m:t>
                        </m:r>
                        <m:r>
                          <a:rPr lang="es-ES" sz="1400" b="1" i="1">
                            <a:latin typeface="Cambria Math" panose="02040503050406030204" pitchFamily="18" charset="0"/>
                          </a:rPr>
                          <m:t> (</m:t>
                        </m:r>
                        <m:r>
                          <a:rPr lang="es-ES" sz="1400" b="1" i="1">
                            <a:latin typeface="Cambria Math" panose="02040503050406030204" pitchFamily="18" charset="0"/>
                          </a:rPr>
                          <m:t>𝒌𝒈</m:t>
                        </m:r>
                        <m:r>
                          <a:rPr lang="es-ES" sz="1400" b="1" i="1">
                            <a:latin typeface="Cambria Math" panose="02040503050406030204" pitchFamily="18" charset="0"/>
                          </a:rPr>
                          <m:t>/</m:t>
                        </m:r>
                        <m:r>
                          <a:rPr lang="es-ES" sz="1400" b="1" i="1">
                            <a:latin typeface="Cambria Math" panose="02040503050406030204" pitchFamily="18" charset="0"/>
                          </a:rPr>
                          <m:t>𝑼𝑴𝑽</m:t>
                        </m:r>
                        <m:r>
                          <a:rPr lang="es-ES" sz="1400" b="1" i="1">
                            <a:latin typeface="Cambria Math" panose="02040503050406030204" pitchFamily="18" charset="0"/>
                          </a:rPr>
                          <m:t>)</m:t>
                        </m:r>
                      </m:den>
                    </m:f>
                  </m:oMath>
                </m:oMathPara>
              </a14:m>
              <a:endParaRPr lang="es-ES" sz="1400" b="1"/>
            </a:p>
          </xdr:txBody>
        </xdr:sp>
      </mc:Choice>
      <mc:Fallback xmlns="">
        <xdr:sp macro="" textlink="">
          <xdr:nvSpPr>
            <xdr:cNvPr id="2" name="CuadroTexto 1">
              <a:extLst>
                <a:ext uri="{FF2B5EF4-FFF2-40B4-BE49-F238E27FC236}">
                  <a16:creationId xmlns:a16="http://schemas.microsoft.com/office/drawing/2014/main" id="{00000000-0008-0000-0C00-000002000000}"/>
                </a:ext>
              </a:extLst>
            </xdr:cNvPr>
            <xdr:cNvSpPr txBox="1"/>
          </xdr:nvSpPr>
          <xdr:spPr>
            <a:xfrm>
              <a:off x="6445621" y="6477560"/>
              <a:ext cx="4479554" cy="4563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ES" sz="1400" b="1" i="0">
                  <a:latin typeface="Cambria Math" panose="02040503050406030204" pitchFamily="18" charset="0"/>
                </a:rPr>
                <a:t>𝑪𝒂𝒏𝒕𝒊𝒅𝒂𝒅(𝑪𝑳𝑷)=(𝑪𝒂𝒏𝒕𝒊𝒅𝒂𝒅(𝒌𝒈).𝑪𝒐𝒔𝒕𝒐𝒔(𝑪𝑳𝑷/𝑼𝑴𝑽))/(𝑭𝒐𝒓𝒎𝒂𝒕𝒐 (𝒌𝒈/𝑼𝑴𝑽))</a:t>
              </a:r>
              <a:endParaRPr lang="es-ES" sz="1400" b="1"/>
            </a:p>
          </xdr:txBody>
        </xdr:sp>
      </mc:Fallback>
    </mc:AlternateContent>
    <xdr:clientData/>
  </xdr:oneCellAnchor>
  <mc:AlternateContent xmlns:mc="http://schemas.openxmlformats.org/markup-compatibility/2006">
    <mc:Choice xmlns:a14="http://schemas.microsoft.com/office/drawing/2010/main" Requires="a14">
      <xdr:twoCellAnchor>
        <xdr:from>
          <xdr:col>2</xdr:col>
          <xdr:colOff>69850</xdr:colOff>
          <xdr:row>4</xdr:row>
          <xdr:rowOff>146050</xdr:rowOff>
        </xdr:from>
        <xdr:to>
          <xdr:col>3</xdr:col>
          <xdr:colOff>69850</xdr:colOff>
          <xdr:row>5</xdr:row>
          <xdr:rowOff>184150</xdr:rowOff>
        </xdr:to>
        <xdr:sp macro="" textlink="">
          <xdr:nvSpPr>
            <xdr:cNvPr id="21531" name="Button 27" hidden="1">
              <a:extLst>
                <a:ext uri="{63B3BB69-23CF-44E3-9099-C40C66FF867C}">
                  <a14:compatExt spid="_x0000_s21531"/>
                </a:ext>
                <a:ext uri="{FF2B5EF4-FFF2-40B4-BE49-F238E27FC236}">
                  <a16:creationId xmlns:a16="http://schemas.microsoft.com/office/drawing/2014/main" id="{00000000-0008-0000-0E00-00001B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2489200</xdr:colOff>
          <xdr:row>7</xdr:row>
          <xdr:rowOff>127000</xdr:rowOff>
        </xdr:from>
        <xdr:to>
          <xdr:col>4</xdr:col>
          <xdr:colOff>1593850</xdr:colOff>
          <xdr:row>10</xdr:row>
          <xdr:rowOff>50800</xdr:rowOff>
        </xdr:to>
        <xdr:sp macro="" textlink="">
          <xdr:nvSpPr>
            <xdr:cNvPr id="21533" name="Button 29" hidden="1">
              <a:extLst>
                <a:ext uri="{63B3BB69-23CF-44E3-9099-C40C66FF867C}">
                  <a14:compatExt spid="_x0000_s21533"/>
                </a:ext>
                <a:ext uri="{FF2B5EF4-FFF2-40B4-BE49-F238E27FC236}">
                  <a16:creationId xmlns:a16="http://schemas.microsoft.com/office/drawing/2014/main" id="{00000000-0008-0000-0E00-00001D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Ocultar Pesañas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2546350</xdr:colOff>
          <xdr:row>12</xdr:row>
          <xdr:rowOff>31750</xdr:rowOff>
        </xdr:from>
        <xdr:to>
          <xdr:col>4</xdr:col>
          <xdr:colOff>1631950</xdr:colOff>
          <xdr:row>14</xdr:row>
          <xdr:rowOff>146050</xdr:rowOff>
        </xdr:to>
        <xdr:sp macro="" textlink="">
          <xdr:nvSpPr>
            <xdr:cNvPr id="21534" name="Button 30" hidden="1">
              <a:extLst>
                <a:ext uri="{63B3BB69-23CF-44E3-9099-C40C66FF867C}">
                  <a14:compatExt spid="_x0000_s21534"/>
                </a:ext>
                <a:ext uri="{FF2B5EF4-FFF2-40B4-BE49-F238E27FC236}">
                  <a16:creationId xmlns:a16="http://schemas.microsoft.com/office/drawing/2014/main" id="{00000000-0008-0000-0E00-00001E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Mostrar Pesañas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wal-mart.com/Users/ppuga/Documents/S&amp;OP/Supply/Plan%20de%20Abastecimiento/Pizzas/2018/W20/20180516%20-%20Planilla%20Abastecimiento%20Pizzas%20v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teams.wal-mart.com/Users/ppuga/Documents/S&amp;OP/Supply/Javiera/20180319%20-%20Planilla%20Abastecimiento%20Empanadas%20v3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ams.wal-mart.com/Users/n0c01u8/Desktop/Carnes/Abastecimiento/W48/Abastecimiento%20MMPP-Insumos%20Carnes%2024112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e0o02ed/Downloads/R-SOP36-03%20BD%20Maestra%20Elementos%20Extra&#241;os%20(03)%2027-06-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
      <sheetName val="Hoja2"/>
      <sheetName val="DB"/>
      <sheetName val="Resumen_Semanal"/>
      <sheetName val="Resumen_Día"/>
      <sheetName val="Vision_DOH"/>
      <sheetName val="Maestro"/>
      <sheetName val="LMP"/>
      <sheetName val="Previsional"/>
      <sheetName val="TD Receta"/>
      <sheetName val="TD LMP"/>
      <sheetName val="TD "/>
      <sheetName val="BBDD Recosteo Tortas"/>
      <sheetName val="BBDD Recosteo Biz."/>
      <sheetName val="Hoja1"/>
      <sheetName val="BBDD_Receta"/>
      <sheetName val="OC"/>
      <sheetName val="StockInicial"/>
      <sheetName val="MB51"/>
      <sheetName val="Matriz Mov."/>
      <sheetName val="Dda Diaria"/>
      <sheetName val="Lead Time"/>
      <sheetName val="Conversión Bodega"/>
      <sheetName val="Producto"/>
      <sheetName val="TD2"/>
      <sheetName val="Hoja6"/>
      <sheetName val="20180516 - Planilla Abastecimie"/>
    </sheetNames>
    <sheetDataSet>
      <sheetData sheetId="0"/>
      <sheetData sheetId="1" refreshError="1"/>
      <sheetData sheetId="2"/>
      <sheetData sheetId="3" refreshError="1"/>
      <sheetData sheetId="4" refreshError="1"/>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
      <sheetName val="Pedidos"/>
      <sheetName val="Forecast"/>
      <sheetName val="Calendario"/>
      <sheetName val="Resumen_Semanal"/>
      <sheetName val="Resumen_Día"/>
      <sheetName val="Previsional"/>
      <sheetName val="Conversión Bodega"/>
      <sheetName val="Calendario OC"/>
      <sheetName val="Vision_DOH"/>
      <sheetName val="DB"/>
      <sheetName val="LMP"/>
      <sheetName val="StockInicial"/>
      <sheetName val="Recetas"/>
      <sheetName val="OC"/>
      <sheetName val="L_Time"/>
      <sheetName val="Uso MP"/>
      <sheetName val="DDADiaria2016"/>
      <sheetName val="MB51"/>
      <sheetName val="Maestro"/>
      <sheetName val="Matriz Mov."/>
      <sheetName val="Materiales Mov."/>
      <sheetName val="Matriz Consumo"/>
      <sheetName val="Desv. MMPP"/>
      <sheetName val="Hoja1"/>
      <sheetName val="Hoja2"/>
      <sheetName val="Hoja3"/>
      <sheetName val="Hoja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UMOSSECO"/>
      <sheetName val="Esquema 2"/>
      <sheetName val="TD Receta"/>
      <sheetName val="Plan P5"/>
      <sheetName val="Plan P6"/>
      <sheetName val="PROYECCION MMPP CD"/>
      <sheetName val="Resumen CD"/>
      <sheetName val="Maestro_2"/>
      <sheetName val="DB"/>
      <sheetName val="Flujo Semanal CD"/>
      <sheetName val="Semana MP P6"/>
      <sheetName val="Semana MP P5"/>
      <sheetName val="Semana Seco P5"/>
      <sheetName val="Semana Seco P6"/>
      <sheetName val="Proyección DDA"/>
      <sheetName val="BBDD Receta 2"/>
      <sheetName val="Resumen"/>
      <sheetName val="Alb-Hamb"/>
      <sheetName val="Molida"/>
      <sheetName val="Mercadeo"/>
      <sheetName val="Trozos"/>
      <sheetName val="Skin Pack"/>
      <sheetName val="Stock_Planta"/>
      <sheetName val="Maestro"/>
      <sheetName val="Fcst Sem"/>
      <sheetName val="Bodegas Plan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xiliar"/>
      <sheetName val="Seleccion"/>
      <sheetName val="Ingresos"/>
      <sheetName val="BDEE"/>
      <sheetName val="Hoja3"/>
      <sheetName val="2"/>
      <sheetName val="Hoja2"/>
      <sheetName val="Informe"/>
      <sheetName val="Reporte"/>
      <sheetName val="Hoja1"/>
      <sheetName val="Hoja4"/>
      <sheetName val="CONTROL DEL CAMBIO"/>
      <sheetName val="R-SOP36-03 BD Maestra Element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persons/person.xml><?xml version="1.0" encoding="utf-8"?>
<personList xmlns="http://schemas.microsoft.com/office/spreadsheetml/2018/threadedcomments" xmlns:x="http://schemas.openxmlformats.org/spreadsheetml/2006/main">
  <person displayName="Edson Orozco (Chile)" id="{07DB1F2F-F9F5-4166-B857-414C66FE855C}" userId="S::e0o02ed@CL.Wal-Mart.com::6fc6f348-ad46-4809-bcc8-a99286b1a931"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son Orozco (Chile)" refreshedDate="44867.441946643521" createdVersion="7" refreshedVersion="8" minRefreshableVersion="3" recordCount="75" xr:uid="{00000000-000A-0000-FFFF-FFFF00000000}">
  <cacheSource type="worksheet">
    <worksheetSource name="BD_Bloqueados"/>
  </cacheSource>
  <cacheFields count="27">
    <cacheField name="ID" numFmtId="0">
      <sharedItems/>
    </cacheField>
    <cacheField name="Planta" numFmtId="0">
      <sharedItems containsSemiMixedTypes="0" containsString="0" containsNumber="1" containsInteger="1" minValue="2" maxValue="2"/>
    </cacheField>
    <cacheField name="Fecha" numFmtId="14">
      <sharedItems containsSemiMixedTypes="0" containsNonDate="0" containsDate="1" containsString="0" minDate="2022-01-07T00:00:00" maxDate="2022-10-25T00:00:00" count="44">
        <d v="2022-10-24T00:00:00"/>
        <d v="2022-10-20T00:00:00"/>
        <d v="2022-10-18T00:00:00"/>
        <d v="2022-10-17T00:00:00"/>
        <d v="2022-10-15T00:00:00"/>
        <d v="2022-10-14T00:00:00"/>
        <d v="2022-10-12T00:00:00"/>
        <d v="2022-10-07T00:00:00"/>
        <d v="2022-10-05T00:00:00"/>
        <d v="2022-10-03T00:00:00"/>
        <d v="2022-09-26T00:00:00"/>
        <d v="2022-09-27T00:00:00"/>
        <d v="2022-09-23T00:00:00"/>
        <d v="2022-09-13T00:00:00"/>
        <d v="2022-09-12T00:00:00"/>
        <d v="2022-09-08T00:00:00"/>
        <d v="2022-09-05T00:00:00"/>
        <d v="2022-09-01T00:00:00"/>
        <d v="2022-08-29T00:00:00"/>
        <d v="2022-08-23T00:00:00"/>
        <d v="2022-08-18T00:00:00"/>
        <d v="2022-08-06T00:00:00"/>
        <d v="2022-08-16T00:00:00"/>
        <d v="2022-08-10T00:00:00"/>
        <d v="2022-08-09T00:00:00"/>
        <d v="2022-07-26T00:00:00"/>
        <d v="2022-08-02T00:00:00"/>
        <d v="2022-07-25T00:00:00"/>
        <d v="2022-07-21T00:00:00"/>
        <d v="2022-07-04T00:00:00"/>
        <d v="2022-07-08T00:00:00"/>
        <d v="2022-07-01T00:00:00"/>
        <d v="2022-06-29T00:00:00"/>
        <d v="2022-06-16T00:00:00"/>
        <d v="2022-06-13T00:00:00"/>
        <d v="2022-06-08T00:00:00"/>
        <d v="2022-05-07T00:00:00"/>
        <d v="2022-05-05T00:00:00"/>
        <d v="2022-05-03T00:00:00"/>
        <d v="2022-05-23T00:00:00"/>
        <d v="2022-05-31T00:00:00" u="1"/>
        <d v="2022-01-07T00:00:00" u="1"/>
        <d v="2022-05-30T00:00:00" u="1"/>
        <d v="2022-07-05T00:00:00" u="1"/>
      </sharedItems>
    </cacheField>
    <cacheField name="Semana" numFmtId="0">
      <sharedItems containsSemiMixedTypes="0" containsString="0" containsNumber="1" containsInteger="1" minValue="19" maxValue="44"/>
    </cacheField>
    <cacheField name="Hora" numFmtId="20">
      <sharedItems containsSemiMixedTypes="0" containsNonDate="0" containsDate="1" containsString="0" minDate="1899-12-30T00:00:00" maxDate="1899-12-30T23:13:00"/>
    </cacheField>
    <cacheField name="Turno" numFmtId="0">
      <sharedItems/>
    </cacheField>
    <cacheField name="Línea" numFmtId="0">
      <sharedItems containsBlank="1" count="12">
        <s v="Panadería_L2"/>
        <s v="Panadería_L3"/>
        <s v="Pizza"/>
        <s v="Bollería"/>
        <s v="Empanadas"/>
        <s v="Panadería_L4"/>
        <s v="Multivac_1"/>
        <s v="Panadería_L5"/>
        <s v="Panadería_L1"/>
        <s v="Camaras MP"/>
        <s v="Recepción"/>
        <m u="1"/>
      </sharedItems>
    </cacheField>
    <cacheField name="Área" numFmtId="0">
      <sharedItems/>
    </cacheField>
    <cacheField name="Analista " numFmtId="0">
      <sharedItems/>
    </cacheField>
    <cacheField name="Supervisor" numFmtId="0">
      <sharedItems/>
    </cacheField>
    <cacheField name="Operario" numFmtId="0">
      <sharedItems containsBlank="1" count="51">
        <s v="Nicol Càceres"/>
        <s v="Ulices Stewart"/>
        <s v="Jaime Oyaneder"/>
        <s v="Scarlet Rubio"/>
        <s v="Carolaine Aguilera"/>
        <s v="NA"/>
        <s v="Carla Rubilar"/>
        <s v="Ruben Plaza"/>
        <s v="Rosa Reyes"/>
        <s v="Bruno Aqueveque"/>
        <s v="Evelyn Guzman"/>
        <s v="Lisbeth Zuñiga"/>
        <s v="Belen Zuñiga"/>
        <s v="Axel Cancino"/>
        <s v="Desir"/>
        <s v="L. Yucra"/>
        <s v="Segundo Tropa"/>
        <s v="N.Madariaga"/>
        <s v="C. Aguilera"/>
        <s v="Carolain A."/>
        <s v="Jose"/>
        <s v="Katherin Yañez"/>
        <s v="S. Rojas"/>
        <s v="N. Desir"/>
        <s v="Jordy Guevara"/>
        <s v="C Meza"/>
        <s v="Franciasca Castro"/>
        <s v="Makenson Midi"/>
        <s v="N/A"/>
        <s v="S. Opazo"/>
        <s v="F. Sagredo"/>
        <s v="Viviana Estrada"/>
        <s v="Gustavo Rubilar"/>
        <s v="Massiel Suazo"/>
        <s v="J. Guevara"/>
        <s v="E. Jara"/>
        <s v="J. Rain"/>
        <s v="No aplica"/>
        <s v="Augustín Joubert"/>
        <s v="G Rubilar"/>
        <s v="J.Villalon"/>
        <s v="W. Etienne"/>
        <s v="N.Desir"/>
        <s v="Nathalie Desir"/>
        <s v="J Rain"/>
        <s v="Y. Rain"/>
        <s v="G. Rubilar"/>
        <s v="M. Savedra"/>
        <s v="M. Toro"/>
        <m u="1"/>
        <s v="N. Indicado" u="1"/>
      </sharedItems>
    </cacheField>
    <cacheField name="Tipo de Bloqueo" numFmtId="0">
      <sharedItems containsBlank="1" count="3">
        <s v="Bloqueo PT/SE"/>
        <s v="Bloqueo MMPP/MMEE"/>
        <m u="1"/>
      </sharedItems>
    </cacheField>
    <cacheField name="Proveedor" numFmtId="0">
      <sharedItems/>
    </cacheField>
    <cacheField name="RUT_Proveedor" numFmtId="0">
      <sharedItems containsMixedTypes="1" containsNumber="1" containsInteger="1" minValue="76005927" maxValue="967555800"/>
    </cacheField>
    <cacheField name="Material" numFmtId="0">
      <sharedItems containsBlank="1" count="53">
        <s v="Semi elaborado marraqueta"/>
        <s v="Semi Elaborado Doblada"/>
        <s v="Pizza Salame"/>
        <s v="Et. Magdalena Chips Magdalena 6U (0.90x120mm)"/>
        <s v="Mejorador Bolleria (Granomix QQC 4424)"/>
        <s v="Pino Empanada Pollo a las Finas Hierbas"/>
        <s v="Marraqueta ATM Lider"/>
        <s v="Semi Elaborado Marraqueta piloto"/>
        <s v="Film Pre Pizza"/>
        <s v="Hallulla ATM Líder"/>
        <s v="Marraqueta Envasada"/>
        <s v="Dobladas"/>
        <s v="Choclo Cocido"/>
        <s v="Pizza Vegetariana"/>
        <s v="Italiano Familiar"/>
        <s v="Hallulla_2 Ban"/>
        <s v="Pack Magdalena Vainilla - 9 Un."/>
        <s v="Huevo Liquido Pasteurizado"/>
        <s v="Huevo Liquido Totem"/>
        <s v="Film Tapa Salame"/>
        <s v="Film impreso Pan ATM"/>
        <s v="Film Tapa  Napolitana (Impreso)"/>
        <s v="Hallullita ATM"/>
        <s v="Hallulla ATM CM"/>
        <s v="Papa Cubo Pre-Cocida"/>
        <s v="Semi elaborado hallulla"/>
        <s v="Queso Hebras 100 % Mozzarella"/>
        <s v="Marraqueta_2 Ban"/>
        <s v="Pino Carne Empanada Cóctel"/>
        <s v="vegetariana"/>
        <s v="Pack Magdalena tres leches - 9 Un."/>
        <s v="Dobladas ATM 9 UN"/>
        <s v="Doblada ATM CM"/>
        <s v="Salame Vela"/>
        <s v="Vienesa al Vacio"/>
        <s v="Masa Pre Pizza Pack"/>
        <s v="Jamón Juliana Pierna"/>
        <s v="Coctel Jamón Queso"/>
        <s v="Pack Empanada Coctel Jamón Queso 10 un."/>
        <s v="Peperonni Tradicional (Alternativo)"/>
        <s v="Film 250 Micras Panaderia atm"/>
        <s v="Semielaborado Magdalena tres leches"/>
        <s v="Pizza Pepperoni Acuenta"/>
        <s v="Pizza Pepperoni Lider"/>
        <s v="Pizza Española"/>
        <s v="Aceituna Rodaja (kilo)"/>
        <s v="Queso Mozzarella WM"/>
        <s v="Jamon Sandwich Lider"/>
        <s v="Empanada Hoja Pino"/>
        <s v="Semi Elaborado Pan Coliza"/>
        <s v="Pirotin magdalena "/>
        <s v="Marraqueta ATM CM"/>
        <m u="1"/>
      </sharedItems>
    </cacheField>
    <cacheField name="SAP_Material" numFmtId="0">
      <sharedItems containsMixedTypes="1" containsNumber="1" containsInteger="1" minValue="10000132" maxValue="13030605"/>
    </cacheField>
    <cacheField name="Tipo Peligro" numFmtId="0">
      <sharedItems/>
    </cacheField>
    <cacheField name="NC" numFmtId="0">
      <sharedItems containsBlank="1" count="18">
        <s v="Desviación de PCC"/>
        <s v="Incumplimiento textura/Dimensiones/Peso"/>
        <s v="Desviacion de parametro de FT"/>
        <s v="Falla de Funcionamiento de equipos"/>
        <s v="Presencia de Humedad"/>
        <s v="Desviación Microbiologica"/>
        <s v="Desviación de Temperatura (No PCC)"/>
        <s v="Incumplimiento de control (PC/RAC/RITAC/SSOP)"/>
        <s v="Presencia de Humedad "/>
        <s v="Alteración Organoléptica "/>
        <s v="Uso de MP o ME No Conforme"/>
        <s v="Mala impresión del Film"/>
        <s v="Error de Etiquetado/Trazabilidad"/>
        <s v="Presencia de Elementos Extraños"/>
        <s v="Mal Sellado (No PCC)"/>
        <s v="Presencia de Plagas"/>
        <s v="Incumplimiento de FT"/>
        <m u="1"/>
      </sharedItems>
    </cacheField>
    <cacheField name="Descripción_NC" numFmtId="0">
      <sharedItems containsBlank="1" count="70">
        <s v="No reconocimiento de patrones. "/>
        <s v="Se detectó a las 15:20Hrs no se realizó el Monitoreo del PCC6 Detección de Metales desde las 12:30Hrs.Superandose la frecuencia establecida de Monitoreo de 2 horas."/>
        <s v="producto fuera de parámetros de dimensiones según FT"/>
        <s v="Se envasa Pizza Salame lote 290 con concentraciones de CO2 no correspondientes ( entre 45% y 55%)"/>
        <s v="Mancha blanca por encima de la Impresion, provocando que no sea legible la tabla nutricional, sellos alimenticios, logos de reciclajes y codigo de barra"/>
        <s v="Se detectó que la MP presentaba color y sabor No Caracterísiticos. "/>
        <s v="Se observa  el pino empanada coctel pollo con cosistencia mas liquida, teniendo un porcentaje de humedad de 8% ( mayor a lo habitual)"/>
        <s v="Producto retenido en anaconda por 4 horas "/>
        <s v="Desvio en PCC Nª5 control ATM, gases oxìgeno mayor a 2%"/>
        <s v="Rechazo de producto por detector de metales A1,A3 y  A5. Pase de producto MARRAQUETA PILOTO con receta 36-PA-MQ"/>
        <s v="Desprendimiento entre capaz"/>
        <s v="Se evidencia desviasiòn de PCC Nº5 de ATM, por envase inferior de producto Hallulla ATM Lider rasgado en turno noche y turno mañana, no se realiza procedimiento por parte de operadora de dar aviso a analista de calidad. "/>
        <s v="Se Detectó Desviación en la  temperatura  de Enfriamiento del producto a las salida de la anaconda (23°C a 26°C) por encima de Límite crítico (&lt;20°C)."/>
        <s v="Incumplimiento con característica de calidad según ficha técnica. (manchas y englobamiento)"/>
        <s v="Resultado de analisis de Escherichia Coli sobre limite establecido"/>
        <s v="Resultados de analisis de MMPP choclo cocido desgranado con  Escherichia Coli sobre el limite establecido"/>
        <s v="Al momento de ir a verificar temperatura de PT Marraqueta de Lìnea2, este se encuentra con exceso de humedad en bolsa fuelle embalaje."/>
        <s v="Se detectó que operario al activarse sistema de detecciòn y rechazo de detector L5, él da funcionamiento nuevamente, sin realizar el procedimiento correspondiente. "/>
        <s v="Desviacion de PCC N`4"/>
        <s v="desviacion de textura fuera de parametros"/>
        <s v="Pan Hallulla intense presenta condensaciòn en envase primario antes de envasar a ATM."/>
        <s v="Se detectó desvío en el Funcionamiento del sistema de rechazo del Detector de Metales"/>
        <s v="Se solicita revisar Huevo liquido Pasteurizado de empanadas en su ultimo dia de vida util para ser utilizado en bolleria, se revisan bidones y se encuentran con desviacion organoleptica ( mal olor) por lo que no puede ser usado para producciòn"/>
        <s v="Se revisa Totem de huevo liquido pasteurizado en cual se encuentra con alteracion organoleptica ( Mal olor)"/>
        <s v="Mala impresión del Film "/>
        <s v="Mala impresión  del Film "/>
        <s v="Se detectó Manchas de Tinta en el Sato que causaba en algunos casos efecto visual de doble impresión"/>
        <s v="Desviación de la concentración de oxigeno por encima del limite permitido"/>
        <s v="Presencia de cabello en MMPP y suciedad por fuera de empaque."/>
        <s v="Textura sobre el limite superior con valores en el primer 3197 y posterior a esto da 3789"/>
        <s v="Presencia de hongo "/>
        <s v="Se observa mal sellado en la Hallulla Club House"/>
        <s v="Se observa mal sellado en Hallulla Lider"/>
        <s v="presencia de gorgojos en Marraqueta "/>
        <s v="se realiza hallazgo de gorgojos en producto elaborado"/>
        <s v="Se detectó MP con textura no característica (Presencia de grumos o nervios que dificultan su dosificación)."/>
        <s v="Por descuido maquinista se equivoca de acuerdo a lote y fecha digitar en inkject"/>
        <s v="Se detectó error en la fecha de vencimiento impresa por inkject en el empaque del producto de una de las envasadoras"/>
        <s v="Se encontró desviación en el PCC6 (Detector de Metales Variovac 2) porque no se detectaba Patrón Ferroso  en el monitoreo"/>
        <s v="Presencia de cúmulos no cárnicos"/>
        <s v="Color y olor no caracterìstico"/>
        <s v="Se detecta que equipo detector de metales no detecta patron ferroso y no funciana descarte de cinta."/>
        <s v="Secdetectò funcionamiento deficiente del equipo detector de metales(no detectaba patron ferroso y no funcionaba mecanismo de rechazo)"/>
        <s v="Se observa manchas blancas de moho en salame vela "/>
        <s v="Pino Coctel Carne con desviaciones ( Grumos y muy espeso) el cual bloqueaba dosificadora de pino"/>
        <s v="Huevo liquido con mal olor y color no caracteristico"/>
        <s v="Presuntivo de Salmonella en MMPP"/>
        <s v="Desviacion de la concentracion de gases de PCC-5"/>
        <s v="Desviación organoleptica informada por proveedor. "/>
        <s v="Desviasión organoleptica informada por proveedor Mulpan en jamón juliana artesanal"/>
        <s v="Desviasión organoleptica informada por proveedor Mylpan en jamón juliana artesanal"/>
        <s v="Tripa de MMPP muy adherida, generando problemas al retirarlo."/>
        <s v="presencia de listeria"/>
        <s v="Se detectó presencia de Metal en Vianesas usadas en Chaparra Vianesa Queso"/>
        <s v="El detector de Metales durante el monitoreo de PCC no detectó el patrón No Ferroso"/>
        <s v="Falla de sellado"/>
        <s v="Se observa defecto de ondulaciones a los lados en film fondo en produccion de Hallulla ATM, que ocasionaba microfugas."/>
        <s v="Se observa defecto de sellado en Hallulla ATM de Variovac Pan"/>
        <s v="se observa precencia de agua en pan envasado ATM"/>
        <s v="se observa aspecto no caracteristico en color, textura sabor y apariencia del producto semielaborado "/>
        <s v="No realiza control de sellado (inmersiòn de envase de PT) para detectar micro fugas."/>
        <s v="Uso de MP con Quiebre de Temperatura"/>
        <s v="Se usó MP con quiebre de temperatura extendido."/>
        <s v="Cámara presentan desviación de temperatura de 10,1°C y MMPP sobre los 5°C presentando exudación"/>
        <s v="Cámara presentan desviación de temperatura de 10,1°C y MMPP sobre los 5°C presentando exudació"/>
        <s v="Desviación de temperatura (10,5°C) a la salida de la anaconda"/>
        <s v="Incumplimiento de la verificación y registro en pc 5 horneado"/>
        <s v="Los pirotín de los packs vienen muy pegados y apretados, y al colocarlos en la máquina no se distribuyen bien en los moldes provocando inconvenientes en el dosificado del producto"/>
        <s v="se detecto desvio del producto respecto a textura y dimensiones."/>
        <m u="1"/>
      </sharedItems>
    </cacheField>
    <cacheField name="Causa Raiz" numFmtId="0">
      <sharedItems containsBlank="1"/>
    </cacheField>
    <cacheField name="Acciones Inmediatas" numFmtId="0">
      <sharedItems/>
    </cacheField>
    <cacheField name="Acciones Correctivas" numFmtId="0">
      <sharedItems containsBlank="1"/>
    </cacheField>
    <cacheField name="Destino 1" numFmtId="0">
      <sharedItems/>
    </cacheField>
    <cacheField name="Destino 2" numFmtId="0">
      <sharedItems containsBlank="1" count="7">
        <s v="Reproceso"/>
        <m/>
        <s v="Devolución"/>
        <s v="Reenvasado"/>
        <s v="Liberado"/>
        <s v="Merma"/>
        <s v="Liberación"/>
      </sharedItems>
    </cacheField>
    <cacheField name="Cantidad (kg)" numFmtId="0">
      <sharedItems containsString="0" containsBlank="1" containsNumber="1" minValue="0" maxValue="22556"/>
    </cacheField>
    <cacheField name="Cantidad (CLP)" numFmtId="166">
      <sharedItems containsString="0" containsBlank="1" containsNumber="1" minValue="0" maxValue="4364337.0786516853"/>
    </cacheField>
    <cacheField name="Lote" numFmtId="0">
      <sharedItems containsBlank="1" containsMixedTypes="1" containsNumber="1" minValue="125" maxValue="90054723995"/>
    </cacheField>
  </cacheFields>
  <extLst>
    <ext xmlns:x14="http://schemas.microsoft.com/office/spreadsheetml/2009/9/main" uri="{725AE2AE-9491-48be-B2B4-4EB974FC3084}">
      <x14:pivotCacheDefinition pivotCacheId="80262631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son Orozco (Chile)" refreshedDate="45467.626898726849" createdVersion="7" refreshedVersion="7" minRefreshableVersion="3" recordCount="442" xr:uid="{00000000-000A-0000-FFFF-FFFF01000000}">
  <cacheSource type="worksheet">
    <worksheetSource name="MPrimas"/>
  </cacheSource>
  <cacheFields count="4">
    <cacheField name="Proveedor" numFmtId="0">
      <sharedItems count="80">
        <s v="A y G"/>
        <s v="Agricola Las Rastras SPA"/>
        <s v="Agricovial"/>
        <s v="Agrocommerce"/>
        <s v="Agrosuper"/>
        <s v="Aintech"/>
        <s v="Artealimentos"/>
        <s v="ASA"/>
        <s v="Bakels"/>
        <s v="Bañados"/>
        <s v="Barzelatto"/>
        <s v="Bemis"/>
        <s v="Bidfood"/>
        <s v="Bio-Bio"/>
        <s v="Camilo Ferron"/>
        <s v="Carnes Ñuble"/>
        <s v="Carozzi"/>
        <s v="CIAL"/>
        <s v="Codepack"/>
        <s v="Coembal"/>
        <s v="Collico"/>
        <s v="Colun"/>
        <s v="Cramer"/>
        <s v="Ditzler"/>
        <s v="Dos Marias"/>
        <s v="Ecolab"/>
        <s v="Ecopack"/>
        <s v="Eduardo Fierro"/>
        <s v="Empack"/>
        <s v="Essity"/>
        <s v="Fexa"/>
        <s v="Fresca Oliva"/>
        <s v="Frigorifico Osorno"/>
        <s v="Frutarom"/>
        <s v="Gourmet"/>
        <s v="GPE"/>
        <s v="Granotec"/>
        <s v="Heredia"/>
        <s v="Hielo Fiesta"/>
        <s v="Hilachas"/>
        <s v="Indura"/>
        <s v="Innovalim"/>
        <s v="Interandina"/>
        <s v="K+S"/>
        <s v="Kleen Supply"/>
        <s v="La Estampa"/>
        <s v="Langer"/>
        <s v="Lesaffre"/>
        <s v="Lizzi Mora"/>
        <s v="Macrofood"/>
        <s v="Manar"/>
        <s v="Marfrig"/>
        <s v="Montexport"/>
        <s v="Multivac"/>
        <s v="Mylpan"/>
        <s v="Omeñaca"/>
        <s v="Oscupack"/>
        <s v="Patricio Fry"/>
        <s v="Plastiservi"/>
        <s v="Prinal"/>
        <s v="Protecsa"/>
        <s v="Punto Azul"/>
        <s v="Puratos"/>
        <s v="Quillayes Surlat"/>
        <s v="Reutter"/>
        <s v="San Cristobal"/>
        <s v="santa cecilia"/>
        <s v="Smartpack"/>
        <s v="Soc Jaime Muñoz"/>
        <s v="Solucorp"/>
        <s v="Solutec"/>
        <s v="SPT"/>
        <s v="tagler"/>
        <s v="Team Foods Chile"/>
        <s v="Treck"/>
        <s v="Tressa"/>
        <s v="Valle Verde"/>
        <s v="Vanni"/>
        <s v="Walmart Chile"/>
        <s v="Winpack"/>
      </sharedItems>
    </cacheField>
    <cacheField name="RUT" numFmtId="0">
      <sharedItems containsMixedTypes="1" containsNumber="1" containsInteger="1" minValue="5920758" maxValue="99565620" count="80">
        <n v="77066724"/>
        <n v="76100349"/>
        <n v="76618520"/>
        <n v="96973910"/>
        <n v="79984240"/>
        <n v="76951378"/>
        <n v="77155281"/>
        <n v="76534152"/>
        <n v="96647600"/>
        <n v="82321000"/>
        <n v="77740030"/>
        <n v="77051060"/>
        <n v="76111152"/>
        <n v="89462400"/>
        <n v="96998510"/>
        <n v="96518070"/>
        <n v="96591040"/>
        <n v="80186300"/>
        <n v="96974100"/>
        <n v="96590620"/>
        <n v="84750800"/>
        <n v="81094100"/>
        <n v="92845000"/>
        <n v="96678110"/>
        <n v="76097645"/>
        <n v="96604460"/>
        <s v="No Indicado"/>
        <n v="76085401"/>
        <n v="76005927"/>
        <n v="94282000"/>
        <n v="76016331"/>
        <n v="76443294"/>
        <n v="96518090"/>
        <n v="76060397"/>
        <n v="96665460"/>
        <n v="76830041"/>
        <n v="96506730"/>
        <n v="76090492"/>
        <n v="96565810"/>
        <n v="77248660"/>
        <n v="76150343"/>
        <n v="76072989"/>
        <n v="78901250"/>
        <n v="76541630"/>
        <n v="76483167"/>
        <n v="90828000"/>
        <n v="5920758"/>
        <n v="78382760"/>
        <n v="13697415"/>
        <n v="96733580"/>
        <n v="77428590"/>
        <n v="76623620"/>
        <n v="99565620"/>
        <n v="99549330"/>
        <n v="76057769"/>
        <n v="81145500"/>
        <n v="76188974"/>
        <n v="6371206"/>
        <n v="79522140"/>
        <n v="83877600"/>
        <n v="96540330"/>
        <n v="77961510"/>
        <n v="96511330"/>
        <n v="96954210"/>
        <n v="81210400"/>
        <n v="90060000"/>
        <n v="96549220"/>
        <n v="76085332"/>
        <n v="87711700"/>
        <n v="84144400"/>
        <n v="76487466"/>
        <n v="77099530"/>
        <n v="78088970"/>
        <n v="76694060"/>
        <n v="96542490"/>
        <n v="79676110"/>
        <n v="76006727"/>
        <n v="76979850"/>
        <n v="76042014"/>
        <n v="96920980"/>
      </sharedItems>
    </cacheField>
    <cacheField name="Material" numFmtId="0">
      <sharedItems containsMixedTypes="1" containsNumber="1" containsInteger="1" minValue="10000002" maxValue="18000355"/>
    </cacheField>
    <cacheField name="Descripc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5">
  <r>
    <s v="LS29722TT200357"/>
    <n v="2"/>
    <x v="0"/>
    <n v="44"/>
    <d v="1899-12-30T18:10:00"/>
    <s v="Tarde"/>
    <x v="0"/>
    <s v="Envasado Granel"/>
    <s v="Liz S"/>
    <s v="Tibor P"/>
    <x v="0"/>
    <x v="0"/>
    <s v="WAYS"/>
    <n v="967555800"/>
    <x v="0"/>
    <n v="12001397"/>
    <s v="Físico"/>
    <x v="0"/>
    <x v="0"/>
    <m/>
    <s v="Bloqueo de 1 pallet pasado desde ùltimo control. Asistencia de mantenciòn "/>
    <s v="Se realizo el ajuste de la Sensibilidad . Se aumentó Frecuencia de Monitoreo del Detector con desviación (C2)  a 1 Hora por 4 Horas."/>
    <s v="Bloqueado"/>
    <x v="0"/>
    <n v="318"/>
    <m/>
    <n v="297"/>
  </r>
  <r>
    <s v="EO29322TT191220"/>
    <n v="2"/>
    <x v="1"/>
    <n v="43"/>
    <d v="1899-12-30T15:20:00"/>
    <s v="Tarde"/>
    <x v="1"/>
    <s v="D. Metales "/>
    <s v="Edson O"/>
    <s v="Sandra V"/>
    <x v="1"/>
    <x v="0"/>
    <s v="WAYS"/>
    <n v="967555800"/>
    <x v="1"/>
    <n v="12001398"/>
    <s v="Físico"/>
    <x v="0"/>
    <x v="1"/>
    <s v="El encargado de PCC no se tomó el tiempo para realizar el respectivo monitoreo."/>
    <s v="Se informó a TPM, quien informó a Supervisor de Turno y se identificó el Producto Involucrado"/>
    <s v="Reproceso de Producto Involucrado (Paso por el Detector de Metales Nuevamente) realizando el correcto Monitoreo del PCC."/>
    <s v="Bloqueado"/>
    <x v="0"/>
    <n v="1800"/>
    <m/>
    <n v="293"/>
  </r>
  <r>
    <s v="PÑ29122TN053919"/>
    <n v="2"/>
    <x v="2"/>
    <n v="43"/>
    <d v="1899-12-30T03:00:00"/>
    <s v="Noche"/>
    <x v="0"/>
    <s v="Anaconda 1"/>
    <s v="Patricio Ñ"/>
    <s v="Eric R"/>
    <x v="2"/>
    <x v="0"/>
    <s v="WAYS"/>
    <n v="967555800"/>
    <x v="0"/>
    <n v="12001397"/>
    <s v="Legalidad"/>
    <x v="1"/>
    <x v="2"/>
    <s v="debido a problemas operacionales se presenta desviación "/>
    <s v="identificar producto desviado, aviso a supervisores del área"/>
    <s v="cambios en parámetros, cambio de silo y proveedor de harina"/>
    <s v="Bloqueado"/>
    <x v="1"/>
    <m/>
    <m/>
    <n v="291"/>
  </r>
  <r>
    <s v="AC29022TM121303"/>
    <n v="2"/>
    <x v="3"/>
    <n v="43"/>
    <d v="1899-12-30T11:00:00"/>
    <s v="Mañana"/>
    <x v="2"/>
    <s v="Variovac 1"/>
    <s v="Alan C"/>
    <s v="Constanza C"/>
    <x v="3"/>
    <x v="0"/>
    <s v="WAYS"/>
    <n v="967555800"/>
    <x v="2"/>
    <n v="13030409"/>
    <s v="Microbiológico"/>
    <x v="0"/>
    <x v="3"/>
    <s v="Operadoras indican que debido al cambio de dias de Vida Util de Pizza Salame (20 Dias) los parametros de Gases habian cambiado como la pizza vegetariana que tiene 20 dias de vida util"/>
    <s v="Se Bloquea producto elaborado hasta las 11:00 donde se ajusta la concentracion de CO2"/>
    <s v="Se solicita reproceso"/>
    <s v="Bloqueado"/>
    <x v="0"/>
    <n v="3502.15"/>
    <m/>
    <n v="290"/>
  </r>
  <r>
    <s v="FB29022TM090256"/>
    <n v="2"/>
    <x v="3"/>
    <n v="43"/>
    <d v="1899-12-30T09:00:00"/>
    <s v="Mañana"/>
    <x v="3"/>
    <s v="Empaque"/>
    <s v="Floreida B"/>
    <s v="Marcela S"/>
    <x v="4"/>
    <x v="1"/>
    <s v="Codepack"/>
    <n v="96974100"/>
    <x v="3"/>
    <n v="11001960"/>
    <s v="Calidad"/>
    <x v="2"/>
    <x v="4"/>
    <s v="Corresponde al proveedor"/>
    <s v="Se bloquea el lote de la ME involucrada y stock disponible"/>
    <s v="Reclamo al proveedor, devolución y solicitud de reposición disponible"/>
    <s v="Bloqueado"/>
    <x v="2"/>
    <m/>
    <m/>
    <n v="49405.822"/>
  </r>
  <r>
    <s v="EO28822TT183912"/>
    <n v="2"/>
    <x v="4"/>
    <n v="42"/>
    <d v="1899-12-30T16:44:00"/>
    <s v="Tarde"/>
    <x v="3"/>
    <s v="Mezclas"/>
    <s v="Edson O"/>
    <s v="Constanza C"/>
    <x v="5"/>
    <x v="1"/>
    <s v="Granotec"/>
    <n v="96506730"/>
    <x v="4"/>
    <n v="10004343"/>
    <s v="Químico"/>
    <x v="2"/>
    <x v="5"/>
    <s v="Corresponde al Proveedor "/>
    <s v="Identificación y bloqueo de la MP involucrada"/>
    <s v="Devolución y Reclamo a proveedor"/>
    <s v="Bloqueado"/>
    <x v="2"/>
    <m/>
    <m/>
    <s v="41501-2"/>
  </r>
  <r>
    <s v="MS28722TM132935"/>
    <n v="2"/>
    <x v="5"/>
    <n v="42"/>
    <d v="1899-12-30T13:28:00"/>
    <s v="Mañana"/>
    <x v="4"/>
    <s v="Elaboración"/>
    <s v="María S"/>
    <s v="Marcela S"/>
    <x v="6"/>
    <x v="1"/>
    <s v="santa cecilia"/>
    <n v="96549220"/>
    <x v="5"/>
    <n v="10003295"/>
    <s v="Calidad"/>
    <x v="2"/>
    <x v="6"/>
    <s v="Proveedor "/>
    <s v="Se boloquea la materia prima "/>
    <s v="Reclamo al proveedor y devoluciòn con Nota de crèdito"/>
    <s v="Bloqueado"/>
    <x v="2"/>
    <n v="400"/>
    <m/>
    <m/>
  </r>
  <r>
    <s v="LS28522TN011434"/>
    <n v="2"/>
    <x v="6"/>
    <n v="42"/>
    <d v="1899-12-30T00:00:00"/>
    <s v="Noche"/>
    <x v="5"/>
    <s v="Empaque Robots"/>
    <s v="Liz S"/>
    <s v="Sandra V"/>
    <x v="7"/>
    <x v="0"/>
    <s v="WAYS"/>
    <n v="967555800"/>
    <x v="0"/>
    <n v="12001397"/>
    <s v="Microbiológico"/>
    <x v="3"/>
    <x v="7"/>
    <s v="Falla en cabezal segmento 5 y 6 de cinta Robot L4"/>
    <s v="Bloqueo de 8 pallets y 6 bandejas de marraqueta "/>
    <m/>
    <s v="Bloqueado"/>
    <x v="1"/>
    <m/>
    <m/>
    <n v="284"/>
  </r>
  <r>
    <s v="LS28022TM170534"/>
    <n v="2"/>
    <x v="7"/>
    <n v="41"/>
    <d v="1899-12-30T11:30:00"/>
    <s v="Mañana"/>
    <x v="6"/>
    <s v="Multivac 1"/>
    <s v="Liz S"/>
    <s v="Adelso P"/>
    <x v="8"/>
    <x v="0"/>
    <s v="WAYS"/>
    <n v="967555800"/>
    <x v="6"/>
    <n v="13030428"/>
    <s v="Microbiológico"/>
    <x v="0"/>
    <x v="8"/>
    <s v="error operacional en el vacio"/>
    <s v="bloqueo de 4 pallets desde último control"/>
    <s v="ajuste de vacio en envasadora"/>
    <s v="Bloqueado"/>
    <x v="0"/>
    <n v="105.6"/>
    <m/>
    <n v="279"/>
  </r>
  <r>
    <s v="LS28022TM161628"/>
    <n v="2"/>
    <x v="7"/>
    <n v="41"/>
    <d v="1899-12-30T10:30:00"/>
    <s v="Mañana"/>
    <x v="0"/>
    <s v="D.Metales A"/>
    <s v="Liz S"/>
    <s v="Adelso P"/>
    <x v="9"/>
    <x v="0"/>
    <s v="WAYS"/>
    <n v="967555800"/>
    <x v="7"/>
    <n v="12001446"/>
    <s v="Físico"/>
    <x v="0"/>
    <x v="9"/>
    <s v="rechazo de producto por baja sensibilidad de detector."/>
    <s v="bloqueo de 1900kg de Marraqueta piloto, aviso a superviso y a mantención."/>
    <s v="se cambia de patrón no ferroso de 3.5mm a 5 mm "/>
    <s v="Bloqueado"/>
    <x v="0"/>
    <n v="1900"/>
    <m/>
    <n v="280"/>
  </r>
  <r>
    <s v="FB28022TN024320"/>
    <n v="2"/>
    <x v="7"/>
    <n v="41"/>
    <d v="1899-12-30T21:40:00"/>
    <s v="Noche"/>
    <x v="2"/>
    <s v="Variovac 1"/>
    <s v="Floreida B"/>
    <s v="Marcela S"/>
    <x v="10"/>
    <x v="1"/>
    <s v="Empack"/>
    <n v="76005927"/>
    <x v="8"/>
    <n v="11001629"/>
    <s v="Calidad"/>
    <x v="2"/>
    <x v="10"/>
    <s v="Corresponde al proveedor"/>
    <s v="Se bloquea el lote de la ME involucrada y stock disponible"/>
    <s v="Reclamo al proveedor, devolución y solicitud de reposición disponible"/>
    <s v="Bloqueado"/>
    <x v="2"/>
    <m/>
    <m/>
    <n v="92353"/>
  </r>
  <r>
    <s v="CF27822TM165319"/>
    <n v="2"/>
    <x v="8"/>
    <n v="41"/>
    <d v="1899-12-30T10:30:00"/>
    <s v="Mañana"/>
    <x v="2"/>
    <s v="Variovac 2"/>
    <s v="Catalina F"/>
    <s v="Constanza C"/>
    <x v="11"/>
    <x v="0"/>
    <s v="WAYS"/>
    <n v="967555800"/>
    <x v="9"/>
    <n v="13001756"/>
    <s v="Microbiológico"/>
    <x v="0"/>
    <x v="11"/>
    <m/>
    <s v="Bloqueo de 9 palltes de turno noche y 7 palltes de turno mañana, se detiene lìnea. "/>
    <s v="Se cursa NC a àrea de Pizza, interviene mantenimiento para realizar correcciones de la maquina y asì encontrar la causa raiz."/>
    <s v="Bloqueado"/>
    <x v="3"/>
    <n v="5184"/>
    <m/>
    <n v="278"/>
  </r>
  <r>
    <s v="EO27822TN052646"/>
    <n v="2"/>
    <x v="8"/>
    <n v="41"/>
    <d v="1899-12-30T01:15:00"/>
    <s v="Noche"/>
    <x v="0"/>
    <s v="Envasado Granel"/>
    <s v="Edson O"/>
    <s v="Evelio R"/>
    <x v="5"/>
    <x v="0"/>
    <s v="WAYS"/>
    <n v="967555800"/>
    <x v="10"/>
    <n v="13030176"/>
    <s v="Microbiológico"/>
    <x v="0"/>
    <x v="12"/>
    <s v="Se encontraba en Deshielo la anaconda en el momento de la desviación por lo que la eficiencia de enfriamiento disminuyó."/>
    <s v="Bloqueo del Producto Involucrado. Aviso a Supervisores de área"/>
    <s v="Se aplico golpe de frío según lo establecido en el PCC4 y se verificó posteriormente la acción correctiva encontrandose el producto conforme."/>
    <s v="Bloqueado"/>
    <x v="4"/>
    <n v="1267.2"/>
    <n v="0"/>
    <n v="278"/>
  </r>
  <r>
    <s v="LS27622TM162046"/>
    <n v="2"/>
    <x v="9"/>
    <n v="41"/>
    <d v="1899-12-30T12:00:00"/>
    <s v="Mañana"/>
    <x v="1"/>
    <s v="Elaboración "/>
    <s v="Liz S"/>
    <s v="Maximiliano R"/>
    <x v="12"/>
    <x v="0"/>
    <s v="WAYS"/>
    <n v="967555800"/>
    <x v="11"/>
    <n v="13001004"/>
    <s v="Calidad"/>
    <x v="4"/>
    <x v="13"/>
    <s v="Exceso de humedad en fermentadora y vapor apagado en horno"/>
    <s v="bloqueo de producto y avisar a supervisor de turno"/>
    <s v="Ajustes de parámetro "/>
    <s v="Bloqueado"/>
    <x v="5"/>
    <n v="1800"/>
    <m/>
    <n v="276"/>
  </r>
  <r>
    <s v="CV26922TT163348"/>
    <n v="2"/>
    <x v="10"/>
    <n v="40"/>
    <d v="1899-12-30T16:30:00"/>
    <s v="Tarde"/>
    <x v="2"/>
    <s v="Montaje"/>
    <s v="Christian V"/>
    <s v="Constanza C"/>
    <x v="5"/>
    <x v="1"/>
    <s v="Punto Azul"/>
    <n v="77961510"/>
    <x v="12"/>
    <n v="10003283"/>
    <s v="Microbiológico"/>
    <x v="5"/>
    <x v="14"/>
    <s v="Proveedor Proverde debe realizar investigacion y tomar AC de este incidencia microbiologica"/>
    <s v="Se bloquea MMPP choclo cocido desgranado"/>
    <s v="Envio de reclamo a proveedor y tomar AC dentro de 5 dias habiles"/>
    <s v="Bloqueado"/>
    <x v="2"/>
    <n v="160"/>
    <n v="0"/>
    <s v="0822/115-49364"/>
  </r>
  <r>
    <s v="CV27022TT160545"/>
    <n v="2"/>
    <x v="11"/>
    <n v="40"/>
    <d v="1899-12-30T16:30:00"/>
    <s v="Tarde"/>
    <x v="2"/>
    <s v="Montaje"/>
    <s v="Christian V"/>
    <s v="Constanza C"/>
    <x v="5"/>
    <x v="0"/>
    <s v="WAYS"/>
    <n v="967555800"/>
    <x v="13"/>
    <n v="13030094"/>
    <s v="Microbiológico"/>
    <x v="5"/>
    <x v="15"/>
    <s v="En proceso para realizar investigacion a proveedor Proverde."/>
    <s v="Se bloquea PT"/>
    <s v="Envio de reclamo a proveedor para que tome AC por evento de desviacion microbiologica"/>
    <s v="Bloqueado"/>
    <x v="4"/>
    <n v="1695"/>
    <n v="0"/>
    <n v="269"/>
  </r>
  <r>
    <s v="CV26922TT153927"/>
    <n v="2"/>
    <x v="10"/>
    <n v="40"/>
    <d v="1899-12-30T18:30:00"/>
    <s v="Tarde"/>
    <x v="0"/>
    <s v="Anaconda 2"/>
    <s v="Christian V"/>
    <s v="Tibor P"/>
    <x v="13"/>
    <x v="0"/>
    <s v="WAYS"/>
    <n v="967555800"/>
    <x v="0"/>
    <n v="12001397"/>
    <s v="Microbiológico"/>
    <x v="6"/>
    <x v="16"/>
    <s v="Anaconda no se activò para el proceso de enfriamiento del semi elaborado marraqueta, afectando a la salida de esta con temperatura sobre el lìmite establecido."/>
    <s v="PT que se encuentra en despacho, se bloquean 6 pallets con marraqueta humeda, bolsa humeda."/>
    <s v="Activar frìo de evaporadores de anaconda L2 antes de iniciar producciòn de marraqueta L2"/>
    <s v="Bloqueado"/>
    <x v="5"/>
    <n v="950"/>
    <n v="498180"/>
    <n v="269"/>
  </r>
  <r>
    <s v="CF26922TM153254"/>
    <n v="2"/>
    <x v="10"/>
    <n v="40"/>
    <d v="1899-12-30T12:00:00"/>
    <s v="Mañana"/>
    <x v="7"/>
    <s v="Empaque"/>
    <s v="Catalina F"/>
    <s v="Jorge S"/>
    <x v="14"/>
    <x v="0"/>
    <s v="WAYS"/>
    <n v="967555800"/>
    <x v="14"/>
    <n v="13030605"/>
    <s v="Físico"/>
    <x v="7"/>
    <x v="17"/>
    <s v="Error operacional del operario Desir"/>
    <s v="Capacitaciòn al personal "/>
    <s v="Se bloquea producto de toda la mañana y se debe pasar nuevamente por el detector de metales "/>
    <s v="Bloqueado"/>
    <x v="0"/>
    <n v="810"/>
    <n v="1377"/>
    <n v="269"/>
  </r>
  <r>
    <s v="CF26922TM150657"/>
    <n v="2"/>
    <x v="10"/>
    <n v="40"/>
    <d v="1899-12-30T10:30:00"/>
    <s v="Mañana"/>
    <x v="0"/>
    <s v="Anaconda 2"/>
    <s v="Catalina F"/>
    <s v="Jorge S"/>
    <x v="15"/>
    <x v="0"/>
    <s v="WAYS"/>
    <n v="967555800"/>
    <x v="0"/>
    <n v="12001397"/>
    <s v="Microbiológico"/>
    <x v="0"/>
    <x v="18"/>
    <s v="TPM de panaderia no prende el frio de la amaconda 2 de L2, y producto comienza a salir a 25,8`C"/>
    <s v="Se da aviso a TPM para prender el frío de la anaconda, se bloquea el producto."/>
    <s v="Se le da un golpe de frío en camara -20, evaluandose dentro de 2 horas. "/>
    <s v="Bloqueado"/>
    <x v="4"/>
    <n v="2851"/>
    <n v="0"/>
    <n v="269"/>
  </r>
  <r>
    <s v="PÑ26622TN054913"/>
    <n v="2"/>
    <x v="12"/>
    <n v="39"/>
    <d v="1899-12-30T01:00:00"/>
    <s v="Noche"/>
    <x v="8"/>
    <s v="Envasado Granel"/>
    <s v="Patricio Ñ"/>
    <s v="Sandra V"/>
    <x v="16"/>
    <x v="0"/>
    <s v="WAYS"/>
    <n v="967555800"/>
    <x v="15"/>
    <n v="13030401"/>
    <s v="Calidad"/>
    <x v="1"/>
    <x v="19"/>
    <s v="error operacional"/>
    <s v="bloqueo del producto y seguimiento"/>
    <s v="capacitacion al personal"/>
    <s v="Bloqueado"/>
    <x v="4"/>
    <n v="7905"/>
    <n v="0"/>
    <s v="Lotes: 265 y 266"/>
  </r>
  <r>
    <s v="CF26522TT195348"/>
    <n v="2"/>
    <x v="12"/>
    <n v="39"/>
    <d v="1899-12-30T13:30:00"/>
    <s v="Tarde"/>
    <x v="2"/>
    <s v="Variovac 2"/>
    <s v="Catalina F"/>
    <s v="Constanza C"/>
    <x v="17"/>
    <x v="0"/>
    <s v="WAYS"/>
    <n v="967555800"/>
    <x v="9"/>
    <n v="13001756"/>
    <s v="Calidad"/>
    <x v="8"/>
    <x v="20"/>
    <s v="Desvio de temperatura en anaconda 2"/>
    <s v="Se bloquea el producto con defecto y se selecciona para envasar en variovac 2 "/>
    <s v="Se revisan "/>
    <s v="Bloqueado"/>
    <x v="0"/>
    <n v="13440"/>
    <m/>
    <n v="264"/>
  </r>
  <r>
    <s v="EO25622TT192039"/>
    <n v="2"/>
    <x v="13"/>
    <n v="38"/>
    <d v="1899-12-30T18:00:00"/>
    <s v="Tarde"/>
    <x v="3"/>
    <s v="D. metales"/>
    <s v="Edson O"/>
    <s v="Marcela S"/>
    <x v="18"/>
    <x v="0"/>
    <s v="WAYS"/>
    <n v="967555800"/>
    <x v="16"/>
    <n v="13030557"/>
    <s v="Físico"/>
    <x v="0"/>
    <x v="21"/>
    <s v="Desvío en la sincronización del sistema de detección y la activación del brazo de rechazo"/>
    <s v="Bloqueo de Producto involucrado, aviso a Mantención para su intervención en el detector de Metales"/>
    <s v="Detención de Línea hasta la resolución del Desvío y reproceso del Producto involucrado (pasar nuevamente por detector)"/>
    <s v="Bloqueado"/>
    <x v="0"/>
    <n v="1596.16"/>
    <n v="50438.656000000003"/>
    <n v="256"/>
  </r>
  <r>
    <s v="AC25522TM082018"/>
    <n v="2"/>
    <x v="14"/>
    <n v="38"/>
    <d v="1899-12-30T08:30:00"/>
    <s v="Mañana"/>
    <x v="3"/>
    <s v="Mezclas"/>
    <s v="Alan C"/>
    <s v="Marcela S"/>
    <x v="19"/>
    <x v="1"/>
    <s v="Agricovial"/>
    <n v="76618520"/>
    <x v="17"/>
    <n v="10000132"/>
    <s v="Microbiológico"/>
    <x v="9"/>
    <x v="22"/>
    <s v="Bidones utilizados en empanada , posible perdida de cadena de frio"/>
    <s v="Se bloquea dolly con bidones"/>
    <m/>
    <s v="Bloqueado"/>
    <x v="5"/>
    <n v="260"/>
    <n v="514800"/>
    <n v="351502"/>
  </r>
  <r>
    <s v="AC25522TM080746"/>
    <n v="2"/>
    <x v="14"/>
    <n v="38"/>
    <d v="1899-12-30T07:15:00"/>
    <s v="Mañana"/>
    <x v="3"/>
    <s v="Mezclas"/>
    <s v="Alan C"/>
    <s v="Marcela S"/>
    <x v="20"/>
    <x v="1"/>
    <s v="Agricovial"/>
    <n v="76618520"/>
    <x v="18"/>
    <n v="10004345"/>
    <s v="Microbiológico"/>
    <x v="9"/>
    <x v="23"/>
    <s v="Se encuentra en el ultimo dia de vida util, posible perdida de cadena de frio"/>
    <s v="Se bloquea Totem, no se permite su uso."/>
    <s v="Se destina a merma, favor indicar cantidad de producto en el totem"/>
    <s v="Bloqueado"/>
    <x v="5"/>
    <m/>
    <m/>
    <n v="351502"/>
  </r>
  <r>
    <s v="FB25122TM125549"/>
    <n v="2"/>
    <x v="15"/>
    <n v="37"/>
    <d v="1899-12-30T12:30:00"/>
    <s v="Mañana"/>
    <x v="2"/>
    <s v="Variovac 1"/>
    <s v="Floreida B"/>
    <s v="Marcela S"/>
    <x v="11"/>
    <x v="1"/>
    <s v="Empack"/>
    <n v="76005927"/>
    <x v="19"/>
    <n v="11001814"/>
    <s v="Calidad"/>
    <x v="10"/>
    <x v="24"/>
    <s v="Corresponde al proveedor"/>
    <s v="Se bloquea el lote de la ME involucrada y stock disponible"/>
    <s v="Reclamo al proveedor, devolución y solicitud de reposición disponible"/>
    <s v="Bloqueado"/>
    <x v="2"/>
    <n v="47.52"/>
    <n v="0"/>
    <n v="104702"/>
  </r>
  <r>
    <s v="FB25122TM125548"/>
    <n v="2"/>
    <x v="15"/>
    <n v="37"/>
    <d v="1899-12-30T11:30:00"/>
    <s v="Mañana"/>
    <x v="2"/>
    <s v="Variovac 1"/>
    <s v="Floreida B"/>
    <s v="Marcela S"/>
    <x v="11"/>
    <x v="1"/>
    <s v="Empack"/>
    <n v="76005927"/>
    <x v="20"/>
    <n v="11001630"/>
    <s v="Calidad"/>
    <x v="10"/>
    <x v="10"/>
    <s v="Corresponde al proveedor"/>
    <s v="Se bloquea el lote de la ME involucrada y stock disponible"/>
    <s v="Reclamo al proveedor, devolución y solicitud de reposición disponible"/>
    <s v="Bloqueado"/>
    <x v="2"/>
    <n v="56"/>
    <n v="0"/>
    <n v="90054723995"/>
  </r>
  <r>
    <s v="MS24822TT172344"/>
    <n v="2"/>
    <x v="16"/>
    <n v="37"/>
    <d v="1899-12-30T16:23:00"/>
    <s v="Tarde"/>
    <x v="2"/>
    <s v="Variovac 1"/>
    <s v="María S"/>
    <s v="Marcela S"/>
    <x v="21"/>
    <x v="1"/>
    <s v="Empack"/>
    <n v="76005927"/>
    <x v="21"/>
    <n v="11001628"/>
    <s v="Otro"/>
    <x v="11"/>
    <x v="25"/>
    <s v="Corresponde al proveedor"/>
    <s v="Se bloquea el lote de la MMPP involucrada y stock disponible"/>
    <s v="Reclamo al proveedor, devolución y solicitud de reposición disponible"/>
    <s v="Bloqueado"/>
    <x v="2"/>
    <m/>
    <n v="0"/>
    <n v="104033"/>
  </r>
  <r>
    <s v="EO24422TM095007"/>
    <n v="2"/>
    <x v="17"/>
    <n v="36"/>
    <d v="1899-12-30T10:00:00"/>
    <s v="Mañana"/>
    <x v="6"/>
    <s v="Multivac 1"/>
    <s v="Edson O"/>
    <s v="Eric R"/>
    <x v="22"/>
    <x v="0"/>
    <s v="WAYS"/>
    <n v="967555800"/>
    <x v="22"/>
    <n v="13030492"/>
    <s v="Legalidad"/>
    <x v="12"/>
    <x v="26"/>
    <s v="Acumulación de Tinta y Suciedad en el Rodillo de la Multivac 1 por donde pasaba el Film Tapa después de pegar el Sato"/>
    <s v="Detención de envasadara y bloqueo del Producto involucrado"/>
    <s v="Limpieza del Rodillo que causaba la suciedad, selección de productos con defecto y posterior reenvasado."/>
    <s v="Bloqueado"/>
    <x v="0"/>
    <n v="2376"/>
    <n v="632728.80000000005"/>
    <n v="243"/>
  </r>
  <r>
    <s v="JM24122TM153020"/>
    <n v="2"/>
    <x v="18"/>
    <n v="36"/>
    <d v="1899-12-30T10:00:00"/>
    <s v="Mañana"/>
    <x v="2"/>
    <s v="Variovac 2"/>
    <s v="Johan M"/>
    <s v="Constanza C"/>
    <x v="23"/>
    <x v="0"/>
    <s v="WAYS"/>
    <n v="967555800"/>
    <x v="23"/>
    <n v="13030317"/>
    <s v="Microbiológico"/>
    <x v="0"/>
    <x v="27"/>
    <s v="Se cae interruptor de vacio por perdida de energia electrica"/>
    <s v="Bloqueo de PT y revisón de parametros de vacio"/>
    <s v="Encendido del interruptor de vacio"/>
    <s v="Bloqueado"/>
    <x v="0"/>
    <n v="280"/>
    <n v="62943.999999999993"/>
    <n v="241"/>
  </r>
  <r>
    <s v="LS24122TT181349"/>
    <n v="2"/>
    <x v="18"/>
    <n v="36"/>
    <d v="1899-12-30T15:35:00"/>
    <s v="Tarde"/>
    <x v="4"/>
    <s v="Elaboración"/>
    <s v="Liz S"/>
    <s v="Marcela S"/>
    <x v="24"/>
    <x v="1"/>
    <s v="Punto Azul"/>
    <n v="77961510"/>
    <x v="24"/>
    <n v="10000294"/>
    <s v="Físico"/>
    <x v="13"/>
    <x v="28"/>
    <s v="BPM deficiente de proveedor"/>
    <s v="Bloqueo"/>
    <s v="cambio de lote de MMPP"/>
    <s v="Bloqueado"/>
    <x v="2"/>
    <n v="366"/>
    <n v="0"/>
    <s v="0722/695-47304"/>
  </r>
  <r>
    <s v="CV23522TN044357"/>
    <n v="2"/>
    <x v="19"/>
    <n v="35"/>
    <d v="1899-12-30T04:30:00"/>
    <s v="Noche"/>
    <x v="8"/>
    <s v="Envasado Granel"/>
    <s v="Christian V"/>
    <s v="Sandra V"/>
    <x v="25"/>
    <x v="0"/>
    <s v="WAYS"/>
    <n v="967555800"/>
    <x v="25"/>
    <n v="12001396"/>
    <s v="Calidad"/>
    <x v="1"/>
    <x v="29"/>
    <s v="Me informa TPM Carlos Meza que la masa en linea de proceso estaba a 23ºC, afectando el desarrollo de la miga."/>
    <s v="Se bloquea 6 pallets de hallulla intense para envasado ATM"/>
    <s v="Se ajusta la temperatura del agua del proceso de 23ºC a 26ºC."/>
    <s v="Bloqueado"/>
    <x v="5"/>
    <n v="2880"/>
    <n v="1700640"/>
    <n v="235"/>
  </r>
  <r>
    <s v="LS23022TM154736"/>
    <n v="2"/>
    <x v="20"/>
    <n v="34"/>
    <d v="1899-12-30T11:40:00"/>
    <s v="Mañana"/>
    <x v="2"/>
    <s v="Montaje"/>
    <s v="Liz S"/>
    <s v="Constanza C"/>
    <x v="26"/>
    <x v="1"/>
    <s v="Quillayes Surlat"/>
    <n v="96954210"/>
    <x v="26"/>
    <n v="10002457"/>
    <s v="Microbiológico"/>
    <x v="5"/>
    <x v="30"/>
    <s v="BPM deficiente "/>
    <s v="bloqueo y cambio de lote"/>
    <s v="Reclamo a proveedor"/>
    <s v="Bloqueado"/>
    <x v="5"/>
    <n v="810"/>
    <n v="0"/>
    <s v="221018G"/>
  </r>
  <r>
    <s v="MS23522TM145737"/>
    <n v="2"/>
    <x v="19"/>
    <n v="35"/>
    <d v="1899-12-30T10:30:00"/>
    <s v="Mañana"/>
    <x v="2"/>
    <s v="Variovac 2"/>
    <s v="María S"/>
    <s v="Constanza C"/>
    <x v="3"/>
    <x v="0"/>
    <s v="WAYS"/>
    <n v="967555800"/>
    <x v="23"/>
    <n v="13030317"/>
    <s v="Calidad"/>
    <x v="14"/>
    <x v="31"/>
    <s v="La desviación fue provocada por el uso de las placas de los moldes desgastadas. "/>
    <s v="Bloqueo del producto involucrado, se informa a la encargada de la línea y a mantención. "/>
    <s v="Cambio de placas de moldes y reenvasado del producto."/>
    <s v="Bloqueado"/>
    <x v="0"/>
    <n v="1620"/>
    <n v="360936"/>
    <n v="235"/>
  </r>
  <r>
    <s v="MS23522TM145316"/>
    <n v="2"/>
    <x v="19"/>
    <n v="35"/>
    <d v="1899-12-30T10:30:00"/>
    <s v="Mañana"/>
    <x v="2"/>
    <s v="Variovac 2"/>
    <s v="María S"/>
    <s v="Constanza C"/>
    <x v="3"/>
    <x v="0"/>
    <s v="WAYS"/>
    <n v="967555800"/>
    <x v="9"/>
    <n v="13001756"/>
    <s v="Calidad"/>
    <x v="14"/>
    <x v="32"/>
    <s v="La desviación fue provocada por el uso de las placas de los moldes desgastadas."/>
    <s v="Bloqueo del producto involucrado y se informa a la encargada de la linea y a mantención. "/>
    <s v="Cambio de placas de moldes y reenvasado del producto"/>
    <s v="Bloqueado"/>
    <x v="0"/>
    <n v="2268"/>
    <n v="520052.39999999997"/>
    <n v="235"/>
  </r>
  <r>
    <s v="PÑ23022TM150613"/>
    <n v="2"/>
    <x v="20"/>
    <n v="34"/>
    <d v="1899-12-30T10:48:00"/>
    <s v="Mañana"/>
    <x v="0"/>
    <s v="Elaboración"/>
    <s v="Patricio Ñ"/>
    <s v="Maximiliano R"/>
    <x v="27"/>
    <x v="0"/>
    <s v="WAYS"/>
    <n v="967555800"/>
    <x v="27"/>
    <n v="13030402"/>
    <s v="Calidad"/>
    <x v="15"/>
    <x v="33"/>
    <s v="foco de plaga en fermentadora linea 2"/>
    <s v="detencion de la linea, identificacion del producto involucrado, revision para detectar origen de la plaga"/>
    <s v="cambio en freceuncia de limpieza de la zona foco de plaga"/>
    <s v="Bloqueado"/>
    <x v="5"/>
    <n v="972"/>
    <n v="538099.20000000007"/>
    <n v="230"/>
  </r>
  <r>
    <s v="PÑ23022TM130410"/>
    <n v="2"/>
    <x v="20"/>
    <n v="34"/>
    <d v="1899-12-30T10:48:00"/>
    <s v="Mañana"/>
    <x v="0"/>
    <s v="Elaboración"/>
    <s v="Patricio Ñ"/>
    <s v="Maximiliano R"/>
    <x v="27"/>
    <x v="0"/>
    <s v="WAYS"/>
    <n v="967555800"/>
    <x v="27"/>
    <n v="13030402"/>
    <s v="Calidad"/>
    <x v="15"/>
    <x v="34"/>
    <s v="se detecta foco de plaga en la zona de fermentadora linea 2"/>
    <s v="se detiene la producccion , se identifica el producto comprometido, se informa a la empresa de plagas para tomar las acciones preventivas."/>
    <s v="se comienza a desarmar la zona con empresa externa para realizar limpieza profunda, se solicita a empresa de plagas para crear plan preventivo."/>
    <s v="Bloqueado"/>
    <x v="0"/>
    <n v="22556"/>
    <n v="331573.2"/>
    <n v="230"/>
  </r>
  <r>
    <s v="EO23022TT200200"/>
    <n v="2"/>
    <x v="20"/>
    <n v="34"/>
    <d v="1899-12-30T20:00:00"/>
    <s v="Tarde"/>
    <x v="4"/>
    <s v="Elaboración"/>
    <s v="Edson O"/>
    <s v="Marcela S"/>
    <x v="28"/>
    <x v="1"/>
    <s v="santa cecilia"/>
    <n v="96549220"/>
    <x v="28"/>
    <n v="10003296"/>
    <s v="Calidad"/>
    <x v="2"/>
    <x v="35"/>
    <s v="Corresponde al Proveedor"/>
    <s v="Bloqueo de la Stock Disponible de MP"/>
    <s v="Reclamo al Proveedor, Devolución de MP No Conforme y Reposición de MP"/>
    <s v="Bloqueado"/>
    <x v="2"/>
    <n v="488"/>
    <n v="0"/>
    <n v="39985"/>
  </r>
  <r>
    <s v="CV21822TN130531"/>
    <n v="2"/>
    <x v="21"/>
    <n v="32"/>
    <d v="1899-12-30T06:05:00"/>
    <s v="Noche"/>
    <x v="2"/>
    <s v="Variovac 1"/>
    <s v="Christian V"/>
    <s v="Constanza C"/>
    <x v="10"/>
    <x v="0"/>
    <s v="WAYS"/>
    <n v="967555800"/>
    <x v="29"/>
    <n v="13030094"/>
    <s v="Legalidad"/>
    <x v="12"/>
    <x v="36"/>
    <s v="Se equivoca por la vida ùtil del producto"/>
    <s v="Se bloquea PT desde el ùltimo control en cumplimiento."/>
    <s v="Se hace retiro de impresiòn inkject con alcohol isopropilico y luego se envia a camara de congelados"/>
    <s v="Bloqueado"/>
    <x v="0"/>
    <n v="3025"/>
    <n v="271645"/>
    <s v="217 y 218"/>
  </r>
  <r>
    <s v="EO22822TT185246"/>
    <n v="2"/>
    <x v="22"/>
    <n v="34"/>
    <d v="1899-12-30T17:00:00"/>
    <s v="Tarde"/>
    <x v="3"/>
    <s v="Envasado"/>
    <s v="Edson O"/>
    <s v="Constanza C"/>
    <x v="29"/>
    <x v="0"/>
    <s v="WAYS"/>
    <n v="967555800"/>
    <x v="30"/>
    <n v="13030558"/>
    <s v="Legalidad"/>
    <x v="12"/>
    <x v="37"/>
    <s v="No se verificó adecuadamente la información de trazabilidad al partir con la envasadora, y en el RAC-112 no se realizó el control a ambas envasadoras sino a una de ellas"/>
    <s v="Bloqueo del Producto involucrado"/>
    <s v="Reproceso del producto borrando datos de inkject y reemplazando por un sato previamente liberado por Calidad"/>
    <s v="Bloqueado"/>
    <x v="0"/>
    <n v="1651.2"/>
    <n v="92467.199999999997"/>
    <n v="228"/>
  </r>
  <r>
    <s v="EO22222TT192933"/>
    <n v="2"/>
    <x v="23"/>
    <n v="33"/>
    <d v="1899-12-30T18:40:00"/>
    <s v="Tarde"/>
    <x v="2"/>
    <s v="Variovac 2"/>
    <s v="Edson O"/>
    <s v="Constanza C"/>
    <x v="30"/>
    <x v="0"/>
    <s v="WAYS"/>
    <n v="967555800"/>
    <x v="31"/>
    <n v="13030471"/>
    <s v="Físico"/>
    <x v="0"/>
    <x v="38"/>
    <s v="Falla de Funcionamiento en el Detector Metales"/>
    <s v="Bloqueo de Producto Involucrado (desde el último monitoreo en Cumplimiento), Detención de Línea y Aviso a Personal de Mantención."/>
    <s v="Calibración de Detector de Metales, Reproceso del Producto Involucrado"/>
    <s v="Bloqueado"/>
    <x v="0"/>
    <n v="372"/>
    <n v="18711.600000000002"/>
    <n v="222"/>
  </r>
  <r>
    <s v="LS22222TT151527"/>
    <n v="2"/>
    <x v="23"/>
    <n v="33"/>
    <d v="1899-12-30T13:40:00"/>
    <s v="Tarde"/>
    <x v="4"/>
    <s v="Elaboración"/>
    <s v="Liz S"/>
    <s v="Constanza C"/>
    <x v="24"/>
    <x v="1"/>
    <s v="santa cecilia"/>
    <n v="96549220"/>
    <x v="28"/>
    <n v="10003296"/>
    <s v="Calidad"/>
    <x v="10"/>
    <x v="39"/>
    <s v="producción de proveedor"/>
    <s v="bloqueo de palet"/>
    <s v="devolución a proveedor"/>
    <s v="Bloqueado"/>
    <x v="2"/>
    <n v="620"/>
    <n v="0"/>
    <n v="39889"/>
  </r>
  <r>
    <s v="LS22122TT194020"/>
    <n v="2"/>
    <x v="24"/>
    <n v="33"/>
    <d v="1899-12-30T14:20:00"/>
    <s v="Tarde"/>
    <x v="4"/>
    <s v="Elaboración"/>
    <s v="Liz S"/>
    <s v="Constanza C"/>
    <x v="31"/>
    <x v="1"/>
    <s v="Agricovial"/>
    <n v="76618520"/>
    <x v="17"/>
    <n v="10000132"/>
    <s v="Calidad"/>
    <x v="9"/>
    <x v="40"/>
    <s v="Pèrdida de cadena frìo"/>
    <s v="bloqueo de 125kg de MMPP en sala"/>
    <m/>
    <s v="Bloqueado"/>
    <x v="5"/>
    <n v="125"/>
    <n v="294525"/>
    <n v="311103"/>
  </r>
  <r>
    <s v="CV22122TT170605"/>
    <n v="2"/>
    <x v="24"/>
    <n v="33"/>
    <d v="1899-12-30T16:12:00"/>
    <s v="Tarde"/>
    <x v="2"/>
    <s v="Variovac 2"/>
    <s v="Christian V"/>
    <s v="Marcela S"/>
    <x v="17"/>
    <x v="0"/>
    <s v="WAYS"/>
    <n v="967555800"/>
    <x v="32"/>
    <n v="13030505"/>
    <s v="Físico"/>
    <x v="0"/>
    <x v="41"/>
    <s v="Falla en funcinamiento de equipo detector y mecanismo que hace descarte (cinta)"/>
    <s v="Se bloquea producto involucrado"/>
    <s v="Se hacen ajustes en detector de metales y mecanismo de rechazo"/>
    <s v="Bloqueado"/>
    <x v="0"/>
    <n v="384"/>
    <n v="19315.2"/>
    <m/>
  </r>
  <r>
    <s v="CV20722TT165808"/>
    <n v="2"/>
    <x v="25"/>
    <n v="31"/>
    <d v="1899-12-30T16:12:00"/>
    <s v="Tarde"/>
    <x v="2"/>
    <s v="Variovac 2"/>
    <s v="Christian V"/>
    <s v="Marcela S"/>
    <x v="17"/>
    <x v="0"/>
    <s v="WAYS"/>
    <n v="967555800"/>
    <x v="9"/>
    <n v="13001756"/>
    <s v="Físico"/>
    <x v="0"/>
    <x v="42"/>
    <s v="Falla en detector, calibraciòn deficiente"/>
    <s v="Se bloquea producto involucrado y se da aviso a mantenciòn."/>
    <s v="Calibraciòn del detector por parte de personal de Mantenimiento, se aumenta la frecuencia de monitoreo cada 1 hora por cuatro horas."/>
    <s v="Bloqueado"/>
    <x v="0"/>
    <n v="3380"/>
    <m/>
    <n v="206"/>
  </r>
  <r>
    <s v="MS22122TN042751"/>
    <n v="2"/>
    <x v="15"/>
    <n v="33"/>
    <d v="1899-12-30T04:20:00"/>
    <s v="Noche"/>
    <x v="2"/>
    <s v="Montaje"/>
    <s v="María S"/>
    <s v="Marcela S"/>
    <x v="32"/>
    <x v="1"/>
    <s v="Omeñaca"/>
    <n v="81145500"/>
    <x v="33"/>
    <n v="10000521"/>
    <s v="Microbiológico"/>
    <x v="5"/>
    <x v="43"/>
    <s v="Por determinar."/>
    <s v="Se bloquea producto y se da aviso a analistas de turno mañana para consultar con proveedor."/>
    <s v="Yesenia hacer reclamo a proveedor."/>
    <s v="Bloqueado"/>
    <x v="2"/>
    <n v="70"/>
    <n v="0"/>
    <s v="VU-206"/>
  </r>
  <r>
    <s v="AC21422TM123356"/>
    <n v="2"/>
    <x v="26"/>
    <n v="32"/>
    <d v="1899-12-30T10:00:00"/>
    <s v="Mañana"/>
    <x v="4"/>
    <s v="Elaboración"/>
    <s v="Alan C"/>
    <s v="Marcela S"/>
    <x v="33"/>
    <x v="1"/>
    <s v="santa cecilia"/>
    <n v="96549220"/>
    <x v="28"/>
    <n v="10003296"/>
    <s v="Calidad"/>
    <x v="2"/>
    <x v="44"/>
    <s v="Pino con grumos proveniente de fabrica"/>
    <s v="Se bloquea pino y se cambia de lote."/>
    <s v="Isabel, Francisco por favor informar cantidades involucradas. Yesenia, cursar reclamo a proveedor."/>
    <s v="Bloqueado"/>
    <x v="2"/>
    <n v="596"/>
    <n v="0"/>
    <n v="39651"/>
  </r>
  <r>
    <s v="MS20622TM152219"/>
    <n v="2"/>
    <x v="27"/>
    <n v="31"/>
    <d v="1899-12-30T10:40:00"/>
    <s v="Mañana"/>
    <x v="4"/>
    <s v="Elaboración"/>
    <s v="María S"/>
    <s v="Marcela S"/>
    <x v="34"/>
    <x v="1"/>
    <s v="Agricovial"/>
    <n v="76618520"/>
    <x v="17"/>
    <n v="10000132"/>
    <s v="Calidad"/>
    <x v="9"/>
    <x v="45"/>
    <s v="Perdida de cadena de frio"/>
    <s v="se bloquean 5 bidondes (25 kg en total), se revisa resto del lote y se encontraba en buen estado."/>
    <m/>
    <s v="Bloqueado"/>
    <x v="5"/>
    <n v="25"/>
    <n v="58904.999999999993"/>
    <n v="291103"/>
  </r>
  <r>
    <s v="AC20222TN054117"/>
    <n v="2"/>
    <x v="28"/>
    <n v="30"/>
    <d v="1899-12-30T21:00:00"/>
    <s v="Noche"/>
    <x v="9"/>
    <s v="Camara MP Bodega Seco"/>
    <s v="Alan C"/>
    <s v="Isabel R"/>
    <x v="35"/>
    <x v="1"/>
    <s v="CIAL"/>
    <n v="80186300"/>
    <x v="34"/>
    <n v="10000359"/>
    <s v="Microbiológico"/>
    <x v="5"/>
    <x v="46"/>
    <s v="MMPP contaminada desde proveedor"/>
    <s v="Se bloquea lote involucrado en bodega"/>
    <m/>
    <s v="Bloqueado"/>
    <x v="6"/>
    <n v="646.20000000000005"/>
    <n v="0"/>
    <s v="2823021-1"/>
  </r>
  <r>
    <s v="CV20222TT195822"/>
    <n v="2"/>
    <x v="28"/>
    <n v="30"/>
    <d v="1899-12-30T18:40:00"/>
    <s v="Tarde"/>
    <x v="2"/>
    <s v="Variovac 1"/>
    <s v="Christian V"/>
    <s v="Marcela S"/>
    <x v="36"/>
    <x v="0"/>
    <s v="WAYS"/>
    <n v="967555800"/>
    <x v="35"/>
    <n v="13030104"/>
    <s v="Microbiológico"/>
    <x v="0"/>
    <x v="47"/>
    <s v="Se ve afectado por deficiencia del vacío en la variovac 1"/>
    <s v="Se bloquea PT "/>
    <s v="Ajuste del vacío y reenvasado del producto involucrado"/>
    <s v="Bloqueado"/>
    <x v="0"/>
    <n v="157.5"/>
    <n v="98232.065217391311"/>
    <n v="202"/>
  </r>
  <r>
    <s v="CF20222TM170231"/>
    <n v="2"/>
    <x v="28"/>
    <n v="30"/>
    <d v="1899-12-30T08:30:00"/>
    <s v="Mañana"/>
    <x v="9"/>
    <s v="Camara MP Bodega Seco"/>
    <s v="Catalina F"/>
    <s v="Isabel R"/>
    <x v="37"/>
    <x v="1"/>
    <s v="Mylpan"/>
    <n v="76057769"/>
    <x v="36"/>
    <n v="10003478"/>
    <s v="Microbiológico"/>
    <x v="9"/>
    <x v="48"/>
    <s v="Corresponde a proveedor"/>
    <s v="Bloqueo del stock disponible del lote indicado"/>
    <s v="Reclamo y devolución"/>
    <s v="Bloqueado"/>
    <x v="2"/>
    <n v="344"/>
    <n v="0"/>
    <n v="4192722"/>
  </r>
  <r>
    <s v="CF20222TM164905"/>
    <n v="2"/>
    <x v="28"/>
    <n v="30"/>
    <d v="1899-12-30T08:30:00"/>
    <s v="Mañana"/>
    <x v="4"/>
    <s v="Empaque"/>
    <s v="Catalina F"/>
    <s v="Marcela S"/>
    <x v="38"/>
    <x v="0"/>
    <s v="WAYS"/>
    <n v="967555800"/>
    <x v="37"/>
    <n v="12001365"/>
    <s v="Microbiológico"/>
    <x v="9"/>
    <x v="49"/>
    <s v="Producto contienela materia prima con desviasión organoleptica informada por el proveedor que debiía ser retenida"/>
    <s v="Bloqueo del producto "/>
    <s v="Se genera reclamo a proveedor"/>
    <s v="Bloqueado"/>
    <x v="5"/>
    <n v="388.50000000000006"/>
    <n v="0"/>
    <n v="202"/>
  </r>
  <r>
    <s v="CF20222TM164059"/>
    <n v="2"/>
    <x v="28"/>
    <n v="30"/>
    <d v="1899-12-30T08:30:00"/>
    <s v="Mañana"/>
    <x v="4"/>
    <s v="Empaque"/>
    <s v="Catalina F"/>
    <s v="Marcela S"/>
    <x v="38"/>
    <x v="0"/>
    <s v="WAYS"/>
    <n v="967555800"/>
    <x v="38"/>
    <n v="13030282"/>
    <s v="Microbiológico"/>
    <x v="9"/>
    <x v="50"/>
    <s v="Producto contiene la materia prima con desviasión organoleptica informada por el proveedor que debía ser retenida."/>
    <s v="Bloqueo del producto"/>
    <s v="Se genera reclamo a proveedor. "/>
    <s v="Bloqueado"/>
    <x v="5"/>
    <n v="735"/>
    <n v="0"/>
    <n v="202"/>
  </r>
  <r>
    <s v="CV18522TN135316"/>
    <n v="2"/>
    <x v="29"/>
    <n v="28"/>
    <d v="1899-12-30T04:02:00"/>
    <s v="Noche"/>
    <x v="2"/>
    <s v="Montaje"/>
    <s v="Christian V"/>
    <s v="Marcela S"/>
    <x v="39"/>
    <x v="1"/>
    <s v="Omeñaca"/>
    <n v="81145500"/>
    <x v="39"/>
    <n v="10004293"/>
    <s v="Calidad"/>
    <x v="2"/>
    <x v="51"/>
    <s v="Tripa adherida a MMPP generando problemas al retirarlo."/>
    <s v="se bloquea MMPP y se genera reclamo a proveedor"/>
    <s v="Se informa a proveedor para que realice mejoras en los procesos"/>
    <s v="Bloqueado"/>
    <x v="2"/>
    <n v="1024.28"/>
    <n v="0"/>
    <s v="VU201"/>
  </r>
  <r>
    <s v="FB18922TT211858"/>
    <n v="2"/>
    <x v="30"/>
    <n v="28"/>
    <d v="1899-12-30T17:40:00"/>
    <s v="Tarde"/>
    <x v="10"/>
    <s v="Recepción"/>
    <s v="Floreida B"/>
    <s v="Isabel R"/>
    <x v="37"/>
    <x v="1"/>
    <s v="Mylpan"/>
    <n v="76057769"/>
    <x v="36"/>
    <n v="10003478"/>
    <s v="Microbiológico"/>
    <x v="5"/>
    <x v="52"/>
    <s v="corresponde al Proveedor"/>
    <s v="se bloquea la materia prima"/>
    <s v="devolucion a proveedor de materia prima contaminada y solicitud de reposicion "/>
    <s v="Bloqueado"/>
    <x v="6"/>
    <n v="193"/>
    <n v="0"/>
    <n v="4182622"/>
  </r>
  <r>
    <s v="CV18222TM123449"/>
    <n v="2"/>
    <x v="31"/>
    <n v="27"/>
    <d v="1899-12-30T12:22:00"/>
    <s v="Mañana"/>
    <x v="4"/>
    <s v="D. Metales Productos Granel"/>
    <s v="Christian V"/>
    <s v="Marcela S"/>
    <x v="40"/>
    <x v="1"/>
    <s v="CIAL"/>
    <n v="80186300"/>
    <x v="34"/>
    <n v="10000359"/>
    <s v="Físico"/>
    <x v="13"/>
    <x v="53"/>
    <s v="Corresponde al Proveedor"/>
    <s v="Bloqueo de la MP involucrada y el stock disponible"/>
    <s v="Reclamo a Proveedor, Devolución y Solicitud de reposición Disponible"/>
    <s v="Bloqueado"/>
    <x v="2"/>
    <n v="405.9"/>
    <n v="0"/>
    <n v="226204"/>
  </r>
  <r>
    <s v="MV18222TM170824"/>
    <n v="2"/>
    <x v="31"/>
    <n v="27"/>
    <d v="1899-12-30T12:00:00"/>
    <s v="Mañana"/>
    <x v="0"/>
    <s v="D.Metales Granel"/>
    <s v="María V"/>
    <s v="Felipe R"/>
    <x v="41"/>
    <x v="0"/>
    <s v="WAYS"/>
    <n v="967555800"/>
    <x v="27"/>
    <n v="13030402"/>
    <s v="Físico"/>
    <x v="0"/>
    <x v="54"/>
    <s v="Perdida de la Calibración del Detector de Metales (Detector de L5)"/>
    <s v="Bloqueo de Producto Involucrado, se avisa a mantención para intervención"/>
    <s v="Calibración del Detector por parte de Mantención. Reproceso del Producto Involucrado"/>
    <s v="Bloqueado"/>
    <x v="0"/>
    <n v="218"/>
    <n v="4970.3999999999996"/>
    <n v="181"/>
  </r>
  <r>
    <s v="CV18022TM162823"/>
    <n v="2"/>
    <x v="32"/>
    <n v="27"/>
    <d v="1899-12-30T10:30:00"/>
    <s v="Mañana"/>
    <x v="2"/>
    <s v="Variovac 2"/>
    <s v="Christian V"/>
    <s v="Marcela S"/>
    <x v="42"/>
    <x v="0"/>
    <s v="WAYS"/>
    <n v="967555800"/>
    <x v="9"/>
    <n v="13001756"/>
    <s v="Calidad"/>
    <x v="0"/>
    <x v="55"/>
    <s v="La temperatura de sellado sobre parámetros provocó rotura de empaquetadura"/>
    <s v="Se bloquea producto involucrado, aviso a mantención y detención de envasadora hasta encontrar causa raíz."/>
    <s v="Reenvasado de producto involucrado, se cambia empaquetadura dañada"/>
    <s v="Bloqueado"/>
    <x v="0"/>
    <n v="2238"/>
    <n v="1730197.8"/>
    <n v="180"/>
  </r>
  <r>
    <s v="AC16722TM131128"/>
    <n v="2"/>
    <x v="33"/>
    <n v="25"/>
    <d v="1899-12-30T10:00:00"/>
    <s v="Mañana"/>
    <x v="2"/>
    <s v="Variovac 2"/>
    <s v="Alan C"/>
    <s v="Marcela S"/>
    <x v="43"/>
    <x v="1"/>
    <s v="Oscupack"/>
    <n v="76188974"/>
    <x v="40"/>
    <n v="11001858"/>
    <s v="Calidad"/>
    <x v="0"/>
    <x v="56"/>
    <s v="Corresponde al proveedor"/>
    <s v="Se bloquea lote de Film Fondo  "/>
    <s v="Cursar reclamo al proveedor para devolucion y reposicion "/>
    <s v="Bloqueado"/>
    <x v="2"/>
    <n v="0"/>
    <n v="0"/>
    <s v="18-04-22"/>
  </r>
  <r>
    <s v="AC16722TM114730"/>
    <n v="2"/>
    <x v="33"/>
    <n v="25"/>
    <d v="1899-12-30T10:00:00"/>
    <s v="Mañana"/>
    <x v="2"/>
    <s v="Variovac 2"/>
    <s v="Alan C"/>
    <s v="Marcela S"/>
    <x v="43"/>
    <x v="0"/>
    <s v="WAYS"/>
    <n v="967555800"/>
    <x v="9"/>
    <n v="13001756"/>
    <s v="Calidad"/>
    <x v="0"/>
    <x v="57"/>
    <s v="Mantenimiento y Desarrollo determinan que era producto de lote de Film fondo con ondulaciones en uno de los lados lo cual causaba el defecto recurrente."/>
    <s v="Se bloquea la linea, Se revisan los pallets producidos durante el turno segun norma chilena 44 encontrando desviaciones . Se da aviso a mantenimiento y se solicita apoyo de Eduardo Garrido de Desarrollo."/>
    <s v="Reenvasado de producto involucrado, Bloqueo del stock disponible del lote 18-04-22 de Film fondo"/>
    <s v="Bloqueado"/>
    <x v="0"/>
    <n v="2268"/>
    <n v="1753390.8"/>
    <n v="167"/>
  </r>
  <r>
    <s v="PÑ16422TT140640"/>
    <n v="2"/>
    <x v="34"/>
    <n v="25"/>
    <d v="1899-12-30T17:40:00"/>
    <s v="Tarde"/>
    <x v="2"/>
    <s v="Variovac 2"/>
    <s v="Patricio Ñ"/>
    <s v="Marcela S"/>
    <x v="44"/>
    <x v="0"/>
    <s v="WAYS"/>
    <n v="967555800"/>
    <x v="9"/>
    <n v="13001756"/>
    <s v="Microbiológico"/>
    <x v="4"/>
    <x v="58"/>
    <s v="condensacion del pan durante el almacenamiento en zona de despacho"/>
    <s v="bloqueo de producto terminado"/>
    <s v="se instruye al personal de la linea para revisar la MMPP antes de envasar."/>
    <s v="Bloqueado"/>
    <x v="5"/>
    <n v="1920"/>
    <n v="1484352"/>
    <n v="162"/>
  </r>
  <r>
    <s v="FB15922TT183719"/>
    <n v="2"/>
    <x v="35"/>
    <n v="24"/>
    <d v="1899-12-30T18:30:00"/>
    <s v="Tarde"/>
    <x v="3"/>
    <s v="Envasado"/>
    <s v="Floreida B"/>
    <s v="Marcela S"/>
    <x v="29"/>
    <x v="0"/>
    <s v="WAYS"/>
    <n v="967555800"/>
    <x v="41"/>
    <n v="12001437"/>
    <s v="Calidad"/>
    <x v="2"/>
    <x v="59"/>
    <s v="reseta erronia ( Ingrediente faltante o adicional )"/>
    <s v="bloqueo del producto involucrado, se le dio aviso al supervisor del Area"/>
    <s v="merma e inspeccion en linea del aspecto del producto semielaborado para descarta cualquier producto desviado"/>
    <s v="Bloqueado"/>
    <x v="5"/>
    <n v="374.4"/>
    <n v="29989.439999999995"/>
    <n v="159"/>
  </r>
  <r>
    <s v="CV12722TM004836"/>
    <n v="2"/>
    <x v="36"/>
    <n v="19"/>
    <d v="1899-12-30T11:00:00"/>
    <s v="Mañana"/>
    <x v="2"/>
    <s v="Variovac 1"/>
    <s v="Christian V"/>
    <s v="Marcela S"/>
    <x v="45"/>
    <x v="0"/>
    <s v="WAYS"/>
    <n v="967555800"/>
    <x v="42"/>
    <n v="13030280"/>
    <s v="Legalidad"/>
    <x v="0"/>
    <x v="60"/>
    <s v="Operador no administra tiempo adecuadamente para realizar el control"/>
    <s v="Bloqueo de PT involucrado"/>
    <s v="Se re envasa PT involucrado"/>
    <s v="Bloqueado"/>
    <x v="0"/>
    <n v="396"/>
    <n v="246330"/>
    <n v="127"/>
  </r>
  <r>
    <s v="CF15122TN233246"/>
    <n v="2"/>
    <x v="37"/>
    <n v="23"/>
    <d v="1899-12-30T01:00:00"/>
    <s v="Noche"/>
    <x v="2"/>
    <s v="Camara MP Pizza"/>
    <s v="Catalina F"/>
    <s v="Marcela S"/>
    <x v="46"/>
    <x v="0"/>
    <s v="WAYS"/>
    <n v="967555800"/>
    <x v="43"/>
    <n v="13030092"/>
    <s v="Químico"/>
    <x v="10"/>
    <x v="61"/>
    <s v="Falla de Funcionamiento en la Camara de MP"/>
    <s v="Aviso a TPM y personal de refrigeración. Bloqueo de PT involucrado"/>
    <s v="Reparación de Falla, Retroalimentación a Encargados y Merma de PT Involucrado"/>
    <s v="Bloqueado"/>
    <x v="5"/>
    <n v="1850"/>
    <n v="4364337.0786516853"/>
    <s v="No indicado"/>
  </r>
  <r>
    <s v="CF15122TN232422"/>
    <n v="2"/>
    <x v="37"/>
    <n v="23"/>
    <d v="1899-12-30T01:00:00"/>
    <s v="Noche"/>
    <x v="2"/>
    <s v="Camara MP Pizza"/>
    <s v="Catalina F"/>
    <s v="Marcela S"/>
    <x v="46"/>
    <x v="0"/>
    <s v="WAYS"/>
    <n v="967555800"/>
    <x v="44"/>
    <n v="13030495"/>
    <s v="Químico"/>
    <x v="10"/>
    <x v="62"/>
    <s v="Falla de Funcionamiento en la Camara de MP"/>
    <s v="Cámara presentan desviación de temperatura de 10,1°C y MMPP sobre los 5°C presentando exudación. Bloqueo PT involcrado"/>
    <s v="Reparación de Falla, Retroalimentación a Encargados y PT Involucrado"/>
    <s v="Bloqueado"/>
    <x v="5"/>
    <n v="1250"/>
    <n v="1433375"/>
    <s v="No indicado"/>
  </r>
  <r>
    <s v="CF12522TN232131"/>
    <n v="2"/>
    <x v="37"/>
    <n v="19"/>
    <d v="1899-12-30T01:00:00"/>
    <s v="Noche"/>
    <x v="2"/>
    <s v="Camara MP Pizza"/>
    <s v="Catalina F"/>
    <s v="Marcela S"/>
    <x v="46"/>
    <x v="1"/>
    <s v="Omeñaca"/>
    <n v="81145500"/>
    <x v="33"/>
    <n v="10000521"/>
    <s v="Químico"/>
    <x v="6"/>
    <x v="63"/>
    <s v="Falla de Funcionamiento en la Camara"/>
    <s v="Cámara presentan desviación de temperatura de 10,1°C y MMPP sobre los 5°C presentando exudación. Bloqueo de MP"/>
    <s v="Reparación de Falla, Retroalimentación a Encargados y Merma de MP Involucrada"/>
    <s v="Bloqueado"/>
    <x v="5"/>
    <n v="2.1"/>
    <n v="13918.800000000001"/>
    <s v="No indicado"/>
  </r>
  <r>
    <s v="CF12522TN231944"/>
    <n v="2"/>
    <x v="37"/>
    <n v="19"/>
    <d v="1899-12-30T01:00:00"/>
    <s v="Noche"/>
    <x v="2"/>
    <s v="Camara MP Pizza"/>
    <s v="Catalina F"/>
    <s v="Marcela S"/>
    <x v="46"/>
    <x v="1"/>
    <s v="Fresca Oliva"/>
    <n v="76443294"/>
    <x v="45"/>
    <n v="10000591"/>
    <s v="Químico"/>
    <x v="6"/>
    <x v="64"/>
    <s v="Falla de Funcionamiento en la Camara"/>
    <s v="Cámara presentan desviación de temperatura de 10,1°C y MMPP sobre los 5°C presentando exudación. Bloqueo de MP"/>
    <s v="Reparación de Falla, Retroalimentación a Encargados y Merma de MP Involucrada"/>
    <s v="Bloqueado"/>
    <x v="5"/>
    <n v="2"/>
    <n v="5530"/>
    <s v="No indicado"/>
  </r>
  <r>
    <s v="CF12522TN231706"/>
    <n v="2"/>
    <x v="37"/>
    <n v="19"/>
    <d v="1899-12-30T01:00:00"/>
    <s v="Noche"/>
    <x v="2"/>
    <s v="Camara MP Pizza"/>
    <s v="Catalina F"/>
    <s v="Marcela S"/>
    <x v="46"/>
    <x v="1"/>
    <s v="Valle Verde"/>
    <n v="76006727"/>
    <x v="46"/>
    <n v="10003596"/>
    <s v="Químico"/>
    <x v="6"/>
    <x v="63"/>
    <s v="Falla de Funcionamiento en la Camara"/>
    <s v="Cámara presentan desviación de temperatura de 10,1°C y MMPP sobre los 5°C presentando exudación. Bloqueo de MP"/>
    <s v="Reparación de Falla, Retroalimentación a Encargados y Merma de MP Involucrada"/>
    <s v="Bloqueado"/>
    <x v="5"/>
    <n v="540"/>
    <n v="2010690"/>
    <s v="No indicado"/>
  </r>
  <r>
    <s v="CF15122TN231414"/>
    <n v="2"/>
    <x v="37"/>
    <n v="23"/>
    <d v="1899-12-30T23:13:00"/>
    <s v="Noche"/>
    <x v="2"/>
    <s v="Camara MP Pizza"/>
    <s v="Catalina F"/>
    <s v="Marcela S"/>
    <x v="46"/>
    <x v="1"/>
    <s v="Omeñaca"/>
    <n v="81145500"/>
    <x v="39"/>
    <n v="10004293"/>
    <s v="Químico"/>
    <x v="6"/>
    <x v="63"/>
    <s v="Falla de Funcionamiento en la Camara"/>
    <s v="Cámara presentan desviación de temperatura de 10,1°C y MMPP sobre los 5°C presentando exudación. Bloqueo de MP"/>
    <s v="Reparación de Falla, Retroalimentación a Encargados y Merma de MP Involucrada"/>
    <s v="Bloqueado"/>
    <x v="5"/>
    <n v="17.04"/>
    <n v="104980.03199999999"/>
    <s v="No indicado"/>
  </r>
  <r>
    <s v="CF12522TN230710"/>
    <n v="2"/>
    <x v="37"/>
    <n v="19"/>
    <d v="1899-12-30T01:00:00"/>
    <s v="Noche"/>
    <x v="2"/>
    <s v="Camara MP Pizza"/>
    <s v="Catalina F"/>
    <s v="Marcela S"/>
    <x v="46"/>
    <x v="1"/>
    <s v="Mylpan"/>
    <n v="76057769"/>
    <x v="36"/>
    <n v="10003478"/>
    <s v="Químico"/>
    <x v="6"/>
    <x v="63"/>
    <s v="Falla de Funcionamiento en la Camara"/>
    <s v="cámara presentan desviación de temperatura de 10,1°C y MMPP sobre los 5°C presentando exudación. Bloqueo de MP"/>
    <s v="Reparación de Falla, Retroalimentación a Encargados y Merma de MP Involucrada"/>
    <s v="Bloqueado"/>
    <x v="5"/>
    <n v="48"/>
    <n v="456600"/>
    <s v="No indicado"/>
  </r>
  <r>
    <s v="CF15122TN050056"/>
    <n v="2"/>
    <x v="37"/>
    <n v="23"/>
    <d v="1899-12-30T01:00:00"/>
    <s v="Noche"/>
    <x v="2"/>
    <s v="Camara MP Pizza"/>
    <s v="Catalina F"/>
    <s v="Marcela S"/>
    <x v="47"/>
    <x v="1"/>
    <s v="Mylpan"/>
    <n v="76057769"/>
    <x v="47"/>
    <n v="10000520"/>
    <s v="Químico"/>
    <x v="6"/>
    <x v="63"/>
    <s v="Falla de Funcionamiento en la Camara de MP"/>
    <s v="Se da aviso a TPM y a personal de frio para su revisión. Bloqueo de MP"/>
    <s v="Merma"/>
    <s v="Bloqueado"/>
    <x v="5"/>
    <n v="315"/>
    <n v="2996437.5"/>
    <s v="No indicado"/>
  </r>
  <r>
    <s v="MS15122TT050430"/>
    <n v="2"/>
    <x v="37"/>
    <n v="23"/>
    <d v="1899-12-30T14:30:00"/>
    <s v="Tarde"/>
    <x v="4"/>
    <s v="Empaque"/>
    <s v="María S"/>
    <s v="Marcela S"/>
    <x v="46"/>
    <x v="0"/>
    <s v="WAYS"/>
    <n v="967555800"/>
    <x v="48"/>
    <n v="12001368"/>
    <s v="Químico"/>
    <x v="0"/>
    <x v="65"/>
    <s v="Parámetros de funcionamiento de Anaconda no estaban correctamente asignados"/>
    <s v="Identificación y Bloqueo de PT involucrado. "/>
    <s v="Golpe de Frío y Liberación luego de verificación de Temperatura"/>
    <s v="Bloqueado"/>
    <x v="4"/>
    <n v="532"/>
    <n v="0"/>
    <n v="125"/>
  </r>
  <r>
    <s v="PÑ12522TM014520"/>
    <n v="2"/>
    <x v="37"/>
    <n v="19"/>
    <d v="1899-12-30T14:30:00"/>
    <s v="Mañana"/>
    <x v="8"/>
    <s v="Elaboración"/>
    <s v="Patricio Ñ"/>
    <s v="Adelso P"/>
    <x v="15"/>
    <x v="0"/>
    <s v="WAYS"/>
    <n v="967555800"/>
    <x v="49"/>
    <n v="12001406"/>
    <s v="Calidad"/>
    <x v="7"/>
    <x v="66"/>
    <s v="Operario no realizó el control a tiempo como corresponde"/>
    <s v="Identificación y Bloqueo del Producto Involucrado. Solicitud de Graficos de cocción y del quemador del Horno."/>
    <s v="Liberación (luego de verificación de gráficos de cocción). Solicitud de Capacitación para personal encargado de los controles"/>
    <s v="Bloqueado"/>
    <x v="4"/>
    <n v="2954"/>
    <n v="0"/>
    <n v="125"/>
  </r>
  <r>
    <s v="MV15022TM232639"/>
    <n v="2"/>
    <x v="38"/>
    <n v="23"/>
    <d v="1899-12-30T12:36:00"/>
    <s v="Mañana"/>
    <x v="10"/>
    <s v="Recepción"/>
    <s v="María V"/>
    <s v="Isabel R"/>
    <x v="28"/>
    <x v="1"/>
    <s v="Ecopack"/>
    <s v="No Indicado"/>
    <x v="50"/>
    <s v="No Indicado"/>
    <s v="Calidad"/>
    <x v="16"/>
    <x v="67"/>
    <s v="Falla en Proveedor"/>
    <s v="Identificación y Bloqueo de Stock Disponible en Planta"/>
    <s v="Reclama a Proveedor, Devolución de Stock Disponible y Reposición de Material."/>
    <s v="Bloqueado"/>
    <x v="2"/>
    <n v="0"/>
    <n v="0"/>
    <s v=" B2201000082"/>
  </r>
  <r>
    <s v="PÑ14322TT142228"/>
    <n v="2"/>
    <x v="39"/>
    <n v="22"/>
    <d v="1899-12-30T13:00:00"/>
    <s v="Tarde"/>
    <x v="6"/>
    <s v="Multivac 1"/>
    <s v="Patricio Ñ"/>
    <s v="Adelso P"/>
    <x v="48"/>
    <x v="0"/>
    <s v="WAYS"/>
    <n v="967555800"/>
    <x v="51"/>
    <n v="13030431"/>
    <s v="Calidad"/>
    <x v="1"/>
    <x v="68"/>
    <s v="falla en fermentadora L4"/>
    <s v="se identifica el producto involucrado y se da aviso a supervisor ademas de mantencion , se detiene la produccion para revisar el problema ."/>
    <s v="se corrige problema de temperatura y humedad en fermentadora."/>
    <s v="Bloqueado"/>
    <x v="5"/>
    <n v="636"/>
    <n v="423894"/>
    <n v="143"/>
  </r>
  <r>
    <s v="PÑ14322TT153926"/>
    <n v="2"/>
    <x v="39"/>
    <n v="22"/>
    <d v="1899-12-30T13:30:00"/>
    <s v="Tarde"/>
    <x v="5"/>
    <s v="Envasado Granel"/>
    <s v="Patricio Ñ"/>
    <s v="Adelso P"/>
    <x v="27"/>
    <x v="0"/>
    <s v="WAYS"/>
    <n v="967555800"/>
    <x v="27"/>
    <n v="13030402"/>
    <s v="Calidad"/>
    <x v="1"/>
    <x v="68"/>
    <s v="falla en fermentadora L4"/>
    <s v="se identifica el producto involucrado y se da aviso a supervisor ademas de mantencion , se detiene la produccion para revisar el problema ."/>
    <s v="se corrige problema de temperatura y humedad en fermentadora."/>
    <s v="Bloqueado"/>
    <x v="5"/>
    <n v="201.4"/>
    <n v="102613.3"/>
    <n v="14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2">
  <r>
    <x v="0"/>
    <x v="0"/>
    <n v="11001949"/>
    <s v="FILM BOPP 490X40 TACA 260 MAGDALENAS 9UN"/>
  </r>
  <r>
    <x v="0"/>
    <x v="0"/>
    <n v="11001950"/>
    <s v="FILM BOPP 380X40 TACA 260 MAGDALENA 6UN"/>
  </r>
  <r>
    <x v="0"/>
    <x v="0"/>
    <n v="16000477"/>
    <s v="Guante Nitrilo Azul L"/>
  </r>
  <r>
    <x v="1"/>
    <x v="1"/>
    <n v="10000131"/>
    <s v="Huevo Duro"/>
  </r>
  <r>
    <x v="1"/>
    <x v="1"/>
    <n v="10000132"/>
    <s v="Huevo Liquido Pasteurizado"/>
  </r>
  <r>
    <x v="1"/>
    <x v="1"/>
    <n v="10004345"/>
    <s v="Huevo Liquido Totem"/>
  </r>
  <r>
    <x v="2"/>
    <x v="2"/>
    <n v="10000131"/>
    <s v="Huevo Duro"/>
  </r>
  <r>
    <x v="2"/>
    <x v="2"/>
    <n v="10000132"/>
    <s v="Huevo Liquido Pasteurizado"/>
  </r>
  <r>
    <x v="2"/>
    <x v="2"/>
    <n v="10004345"/>
    <s v="Huevo Liquido Totem"/>
  </r>
  <r>
    <x v="3"/>
    <x v="3"/>
    <n v="10000002"/>
    <s v="Aceite Maravilla"/>
  </r>
  <r>
    <x v="3"/>
    <x v="3"/>
    <n v="10000164"/>
    <s v="Azucar Gº2 10x1"/>
  </r>
  <r>
    <x v="3"/>
    <x v="3"/>
    <n v="10004346"/>
    <s v="Azucar Saco ( 5kg)"/>
  </r>
  <r>
    <x v="4"/>
    <x v="4"/>
    <n v="10000390"/>
    <s v="Pulpa de pierna congelada de cerdo   "/>
  </r>
  <r>
    <x v="5"/>
    <x v="5"/>
    <n v="16000513"/>
    <s v="Decutec"/>
  </r>
  <r>
    <x v="6"/>
    <x v="6"/>
    <n v="10000294"/>
    <s v="Papa Cubo Pre-Cocida"/>
  </r>
  <r>
    <x v="6"/>
    <x v="6"/>
    <n v="10003283"/>
    <s v="Choclo Cocido"/>
  </r>
  <r>
    <x v="6"/>
    <x v="6"/>
    <n v="10003298"/>
    <s v="Pollo Cubo Asado"/>
  </r>
  <r>
    <x v="7"/>
    <x v="7"/>
    <n v="11001965"/>
    <s v="Cinta TTO bolleria "/>
  </r>
  <r>
    <x v="8"/>
    <x v="8"/>
    <n v="10004120"/>
    <s v="Desmoldante para masas"/>
  </r>
  <r>
    <x v="9"/>
    <x v="9"/>
    <n v="16000509"/>
    <s v="B-QUAT"/>
  </r>
  <r>
    <x v="10"/>
    <x v="10"/>
    <n v="11000032"/>
    <s v="Hoja Separadora 37x56.5 cms"/>
  </r>
  <r>
    <x v="10"/>
    <x v="10"/>
    <n v="11000033"/>
    <s v="Tabique Corto 390x50"/>
  </r>
  <r>
    <x v="10"/>
    <x v="10"/>
    <n v="11000034"/>
    <s v="Tabique Largo 590x50"/>
  </r>
  <r>
    <x v="10"/>
    <x v="10"/>
    <n v="11000521"/>
    <s v="Carton Lamina 100 x 120 Cm. CUBRE PALLET"/>
  </r>
  <r>
    <x v="10"/>
    <x v="10"/>
    <n v="11001467"/>
    <s v="Bandeja Mayorista Tapa Fondo"/>
  </r>
  <r>
    <x v="11"/>
    <x v="11"/>
    <n v="11000672"/>
    <s v="Film Emp. Cock Queso Li"/>
  </r>
  <r>
    <x v="11"/>
    <x v="11"/>
    <n v="11001470"/>
    <s v="Film Fondo MB Transparente (180 Micras)"/>
  </r>
  <r>
    <x v="11"/>
    <x v="11"/>
    <n v="11001625"/>
    <s v="Film Tapa Vegetariana (Impreso)"/>
  </r>
  <r>
    <x v="11"/>
    <x v="11"/>
    <n v="11001627"/>
    <s v="Film Tapa Peperonni (Impreso)"/>
  </r>
  <r>
    <x v="11"/>
    <x v="11"/>
    <n v="11001628"/>
    <s v="Film Tapa  Napolitana (Impreso)"/>
  </r>
  <r>
    <x v="11"/>
    <x v="11"/>
    <n v="11001814"/>
    <s v="Film Tapa Salame"/>
  </r>
  <r>
    <x v="11"/>
    <x v="11"/>
    <n v="11001851"/>
    <s v="Film Impreso Marraqueta ATM"/>
  </r>
  <r>
    <x v="11"/>
    <x v="11"/>
    <n v="11001858"/>
    <s v="Film 250 Micras Panaderia atm"/>
  </r>
  <r>
    <x v="11"/>
    <x v="11"/>
    <n v="11001873"/>
    <s v="Film tapa generico pan atm 425"/>
  </r>
  <r>
    <x v="11"/>
    <x v="11"/>
    <n v="11001885"/>
    <s v="Film tapa pizza española"/>
  </r>
  <r>
    <x v="11"/>
    <x v="11"/>
    <n v="11001892"/>
    <s v="Film tapa Transparente Pizza 656 x72"/>
  </r>
  <r>
    <x v="11"/>
    <x v="11"/>
    <n v="11001914"/>
    <s v="Film 530 skin pack 130 micras      "/>
  </r>
  <r>
    <x v="12"/>
    <x v="12"/>
    <n v="10000114"/>
    <s v="Champignones Laminado en Conserva"/>
  </r>
  <r>
    <x v="12"/>
    <x v="12"/>
    <n v="10003469"/>
    <s v="Peperonni Vela"/>
  </r>
  <r>
    <x v="13"/>
    <x v="13"/>
    <n v="11000601"/>
    <s v="Film Hallulla 530"/>
  </r>
  <r>
    <x v="13"/>
    <x v="13"/>
    <n v="11001557"/>
    <s v="Film Marraqueta 770x 0.30"/>
  </r>
  <r>
    <x v="13"/>
    <x v="13"/>
    <n v="11001559"/>
    <s v="Film Apet km. (390 cm) molida      "/>
  </r>
  <r>
    <x v="13"/>
    <x v="13"/>
    <n v="11001712"/>
    <s v="Film width max 490mm (bandeja H40 221x17"/>
  </r>
  <r>
    <x v="13"/>
    <x v="13"/>
    <n v="11001828"/>
    <s v="Bolsa Mayorista 34.00 X 44 X 0.0090"/>
  </r>
  <r>
    <x v="13"/>
    <x v="13"/>
    <n v="11001831"/>
    <s v="Bolsa Pan Soft 18x46x0,0045"/>
  </r>
  <r>
    <x v="13"/>
    <x v="13"/>
    <n v="11001849"/>
    <s v="Bolsa Empanada Mayorista 34x54x0,0090"/>
  </r>
  <r>
    <x v="14"/>
    <x v="14"/>
    <n v="10000002"/>
    <s v="Aceite Maravilla"/>
  </r>
  <r>
    <x v="14"/>
    <x v="14"/>
    <n v="10000445"/>
    <s v="Manteca Vegetal"/>
  </r>
  <r>
    <x v="14"/>
    <x v="14"/>
    <n v="10000446"/>
    <s v="Maestra Hoja"/>
  </r>
  <r>
    <x v="15"/>
    <x v="15"/>
    <n v="10003588"/>
    <s v="Trimig 80/20 Refrigerado"/>
  </r>
  <r>
    <x v="16"/>
    <x v="16"/>
    <n v="10004392"/>
    <s v="Chips de chocolate Alternativo (Carozzi)"/>
  </r>
  <r>
    <x v="17"/>
    <x v="17"/>
    <n v="10000359"/>
    <s v="Vienesa al Vacio"/>
  </r>
  <r>
    <x v="18"/>
    <x v="18"/>
    <n v="10003707"/>
    <s v="Etiqueta Marraqueta"/>
  </r>
  <r>
    <x v="18"/>
    <x v="18"/>
    <n v="11000135"/>
    <s v="Et. 2.5x5 Blanca"/>
  </r>
  <r>
    <x v="18"/>
    <x v="18"/>
    <n v="11000148"/>
    <s v="Et. Blanca 22x30 mm Polipr."/>
  </r>
  <r>
    <x v="18"/>
    <x v="18"/>
    <n v="11000159"/>
    <s v="Cinta Trans. Termica Tharo 110mmx3"/>
  </r>
  <r>
    <x v="18"/>
    <x v="18"/>
    <n v="11000921"/>
    <s v="Ciinta TTO Negra 55mmx1200m       "/>
  </r>
  <r>
    <x v="18"/>
    <x v="18"/>
    <n v="11001529"/>
    <s v="Etiqueta Blanca 100X100mm T. Termica"/>
  </r>
  <r>
    <x v="18"/>
    <x v="18"/>
    <n v="11001635"/>
    <s v="Cinta Acrílica Café 48x100"/>
  </r>
  <r>
    <x v="18"/>
    <x v="18"/>
    <n v="11001637"/>
    <s v="Cinta Acrílica Negro 48x100"/>
  </r>
  <r>
    <x v="18"/>
    <x v="18"/>
    <n v="11001638"/>
    <s v="Cinta Acrílica Rosada 48x100"/>
  </r>
  <r>
    <x v="18"/>
    <x v="18"/>
    <n v="11001639"/>
    <s v="Cinta Acrílica Naranja 48x100"/>
  </r>
  <r>
    <x v="18"/>
    <x v="18"/>
    <n v="11001640"/>
    <s v="Cinta Acrílica Azul  48x100        "/>
  </r>
  <r>
    <x v="18"/>
    <x v="18"/>
    <n v="11001647"/>
    <s v="Etiqueta 100x150 (Logos Empanadas Pack Q"/>
  </r>
  <r>
    <x v="18"/>
    <x v="18"/>
    <n v="11001803"/>
    <s v="Et. Alto 100x150 Sodio y Grasas Sat."/>
  </r>
  <r>
    <x v="18"/>
    <x v="18"/>
    <n v="11001823"/>
    <s v="Logo alto grasas saturadas 40x40"/>
  </r>
  <r>
    <x v="18"/>
    <x v="18"/>
    <n v="11001824"/>
    <s v="Logo alto calorias 30x30"/>
  </r>
  <r>
    <x v="18"/>
    <x v="18"/>
    <n v="11001825"/>
    <s v="Logo alto en sodio 35x35"/>
  </r>
  <r>
    <x v="18"/>
    <x v="18"/>
    <n v="11001826"/>
    <s v="Logo alto en Sodio 25x25"/>
  </r>
  <r>
    <x v="18"/>
    <x v="18"/>
    <n v="11001830"/>
    <s v="ET.100X150 SOD,GRASA,CALORIAS P/CONGEL, 1000E/R"/>
  </r>
  <r>
    <x v="18"/>
    <x v="18"/>
    <n v="11001866"/>
    <s v="Etiqueta Blanca 100x 100 alto calorias"/>
  </r>
  <r>
    <x v="18"/>
    <x v="18"/>
    <n v="11001875"/>
    <s v="Etiqueta Marraqueta  transparente"/>
  </r>
  <r>
    <x v="18"/>
    <x v="18"/>
    <n v="11001876"/>
    <s v="Etiqueta Hallulla  transparente"/>
  </r>
  <r>
    <x v="18"/>
    <x v="18"/>
    <n v="11001877"/>
    <s v="Etiqueta Doblada transparente"/>
  </r>
  <r>
    <x v="18"/>
    <x v="18"/>
    <n v="11001878"/>
    <s v="Etiqueta logo altos transparente"/>
  </r>
  <r>
    <x v="18"/>
    <x v="18"/>
    <n v="11001884"/>
    <s v="Cinta TTO 110 x 700 metros Planta 2"/>
  </r>
  <r>
    <x v="18"/>
    <x v="18"/>
    <n v="11001886"/>
    <s v="Etiqueta Hallullita especial transparent"/>
  </r>
  <r>
    <x v="18"/>
    <x v="18"/>
    <n v="11001887"/>
    <s v="Etiqueta logo alto caloria transparente"/>
  </r>
  <r>
    <x v="18"/>
    <x v="18"/>
    <n v="11001890"/>
    <s v="Etiqueta Pack Chaparritas Lider"/>
  </r>
  <r>
    <x v="18"/>
    <x v="18"/>
    <n v="11001896"/>
    <s v="ET. Alto Sodio 35mm Transparente"/>
  </r>
  <r>
    <x v="18"/>
    <x v="18"/>
    <n v="11001917"/>
    <s v="Etiqueta Pack empanada jamon queso"/>
  </r>
  <r>
    <x v="18"/>
    <x v="18"/>
    <n v="11001918"/>
    <s v="Etiqueta Pack empanada hoja queso"/>
  </r>
  <r>
    <x v="18"/>
    <x v="18"/>
    <n v="11001919"/>
    <s v="Etiqueta Pack empanada hoja pino"/>
  </r>
  <r>
    <x v="18"/>
    <x v="18"/>
    <n v="11001921"/>
    <s v="Etiqueta hallulla especial 70x 150"/>
  </r>
  <r>
    <x v="18"/>
    <x v="18"/>
    <n v="11001940"/>
    <s v="Etiqueta Dobladita"/>
  </r>
  <r>
    <x v="18"/>
    <x v="18"/>
    <n v="11001946"/>
    <s v="Etiqueta muestra gratis hallullitas 5 un"/>
  </r>
  <r>
    <x v="18"/>
    <x v="18"/>
    <n v="11001947"/>
    <s v="Etiqueta Hallullita atm 5 Unidades"/>
  </r>
  <r>
    <x v="18"/>
    <x v="18"/>
    <n v="11001951"/>
    <s v="Et. 100x 150 Club House Doblada "/>
  </r>
  <r>
    <x v="18"/>
    <x v="18"/>
    <n v="11001952"/>
    <s v="Et. 100x 150 Club House Amasado"/>
  </r>
  <r>
    <x v="18"/>
    <x v="18"/>
    <n v="11001953"/>
    <s v="Et. 100x 150 Club House Marraqueta"/>
  </r>
  <r>
    <x v="18"/>
    <x v="18"/>
    <n v="11001954"/>
    <s v="Et. 100x 150 Club House Hallullitas"/>
  </r>
  <r>
    <x v="18"/>
    <x v="18"/>
    <n v="11001955"/>
    <s v="Et. 100x 150 Club House Hallulla"/>
  </r>
  <r>
    <x v="18"/>
    <x v="18"/>
    <n v="11001956"/>
    <s v="Et. Empanada Napolitana 100x100"/>
  </r>
  <r>
    <x v="18"/>
    <x v="18"/>
    <n v="11001957"/>
    <s v="Et. Magdalena sabor Vainilla 9U (0.70x150mm)"/>
  </r>
  <r>
    <x v="18"/>
    <x v="18"/>
    <n v="11001958"/>
    <s v="Et. Magdalena sabor Chocolate 9U (0.70x150mm)"/>
  </r>
  <r>
    <x v="18"/>
    <x v="18"/>
    <n v="11001959"/>
    <s v="Et. Magdalena sabor Tres Leches 9U (0.70x150mm)"/>
  </r>
  <r>
    <x v="18"/>
    <x v="18"/>
    <n v="11001960"/>
    <s v="Et. Magdalena Chips Magdalena 6U (0.90x120mm)"/>
  </r>
  <r>
    <x v="18"/>
    <x v="18"/>
    <n v="11001969"/>
    <s v="Et Magdalena chip chocolate (Carozzi)"/>
  </r>
  <r>
    <x v="19"/>
    <x v="19"/>
    <n v="11001521"/>
    <s v="Bandeja 500 gr Transparente"/>
  </r>
  <r>
    <x v="19"/>
    <x v="19"/>
    <n v="11001522"/>
    <s v="Bandeja 700 gr Transparente"/>
  </r>
  <r>
    <x v="19"/>
    <x v="19"/>
    <n v="11001523"/>
    <s v="Bandeja Albóndigas Negro        "/>
  </r>
  <r>
    <x v="19"/>
    <x v="19"/>
    <n v="11001524"/>
    <s v="Bandeja Hamburguesas Negro"/>
  </r>
  <r>
    <x v="19"/>
    <x v="19"/>
    <n v="11001644"/>
    <s v="Bandeja H40 PET Transparente"/>
  </r>
  <r>
    <x v="19"/>
    <x v="19"/>
    <n v="11001704"/>
    <s v="Bandeja H-20"/>
  </r>
  <r>
    <x v="19"/>
    <x v="19"/>
    <n v="11001710"/>
    <s v="Bandeja Skin Pack (270 x 215 x 15 mm) Co"/>
  </r>
  <r>
    <x v="19"/>
    <x v="19"/>
    <n v="11001798"/>
    <s v="Bandeja Skin Pack XXL (365 x 215 x 15 mm"/>
  </r>
  <r>
    <x v="19"/>
    <x v="19"/>
    <n v="11001821"/>
    <s v="Bandeja 250 gramos boca de 500 gramos"/>
  </r>
  <r>
    <x v="20"/>
    <x v="20"/>
    <n v="10000449"/>
    <s v="Margarina Kilo"/>
  </r>
  <r>
    <x v="20"/>
    <x v="20"/>
    <n v="10000891"/>
    <s v="Manteca Mejorada"/>
  </r>
  <r>
    <x v="20"/>
    <x v="20"/>
    <n v="10001107"/>
    <s v="Levadura Granel"/>
  </r>
  <r>
    <x v="21"/>
    <x v="21"/>
    <n v="10000438"/>
    <s v="Queso Reggianito"/>
  </r>
  <r>
    <x v="22"/>
    <x v="22"/>
    <n v="10002486"/>
    <s v="PH Liquid 6014             "/>
  </r>
  <r>
    <x v="22"/>
    <x v="22"/>
    <n v="10003464"/>
    <s v="Unimix Albóndiga"/>
  </r>
  <r>
    <x v="22"/>
    <x v="22"/>
    <n v="10003818"/>
    <s v="Unimix Hamburguesa NF"/>
  </r>
  <r>
    <x v="22"/>
    <x v="22"/>
    <n v="10004184"/>
    <s v="unimix sabor hamburguesa americana"/>
  </r>
  <r>
    <x v="22"/>
    <x v="22"/>
    <n v="10004185"/>
    <s v="unimix sabor base molida americana"/>
  </r>
  <r>
    <x v="22"/>
    <x v="22"/>
    <n v="10004340"/>
    <s v="Batido SP Cramer"/>
  </r>
  <r>
    <x v="22"/>
    <x v="22"/>
    <n v="10004360"/>
    <s v="Sabor Tres leches T41405-46"/>
  </r>
  <r>
    <x v="22"/>
    <x v="22"/>
    <n v="10004361"/>
    <s v="Sabor vainilla v0163146"/>
  </r>
  <r>
    <x v="22"/>
    <x v="22"/>
    <n v="10004364"/>
    <s v="Sabor chocolate C0116046"/>
  </r>
  <r>
    <x v="22"/>
    <x v="22"/>
    <n v="10004383"/>
    <s v="Unimix Variedades de Cerdo"/>
  </r>
  <r>
    <x v="23"/>
    <x v="23"/>
    <n v="10003474"/>
    <s v="salsa de Pizza Nueva Formula"/>
  </r>
  <r>
    <x v="24"/>
    <x v="24"/>
    <n v="10000704"/>
    <s v="Pimiento Verde Cubo"/>
  </r>
  <r>
    <x v="24"/>
    <x v="24"/>
    <n v="10000294"/>
    <s v="Papa Cubo Pre-Cocida"/>
  </r>
  <r>
    <x v="25"/>
    <x v="25"/>
    <n v="16000019"/>
    <s v="CFQ - Sanitizer 20 kG"/>
  </r>
  <r>
    <x v="25"/>
    <x v="25"/>
    <n v="16000262"/>
    <s v="Jabon C/Triclosan Bidon"/>
  </r>
  <r>
    <x v="25"/>
    <x v="25"/>
    <n v="16000263"/>
    <s v="Endure 300 Caja (5 X 950 Ml)"/>
  </r>
  <r>
    <x v="25"/>
    <x v="25"/>
    <n v="16000266"/>
    <s v="Papel Higiénico - Rollos de 500 mts"/>
  </r>
  <r>
    <x v="25"/>
    <x v="25"/>
    <n v="16000422"/>
    <s v="endure 300 5 x 950 ml caja                        "/>
  </r>
  <r>
    <x v="25"/>
    <x v="25"/>
    <n v="16000423"/>
    <s v="xy 12 60 kg"/>
  </r>
  <r>
    <x v="25"/>
    <x v="25"/>
    <n v="16000424"/>
    <s v="topax 66 220 kg"/>
  </r>
  <r>
    <x v="25"/>
    <x v="25"/>
    <n v="16000426"/>
    <s v="Nitro plus 70 kg"/>
  </r>
  <r>
    <x v="25"/>
    <x v="25"/>
    <n v="16000428"/>
    <s v="vortexx 20 kg                                     "/>
  </r>
  <r>
    <x v="25"/>
    <x v="25"/>
    <n v="16000431"/>
    <s v="quik fill 980  60 kg                              "/>
  </r>
  <r>
    <x v="25"/>
    <x v="25"/>
    <n v="16000432"/>
    <s v="jabon triclosan  20 kg         "/>
  </r>
  <r>
    <x v="25"/>
    <x v="25"/>
    <n v="16000434"/>
    <s v="command 220kg"/>
  </r>
  <r>
    <x v="25"/>
    <x v="25"/>
    <n v="16000435"/>
    <s v="topax 18 (60)kg"/>
  </r>
  <r>
    <x v="25"/>
    <x v="25"/>
    <n v="16000436"/>
    <s v="toalla autocorte 200 m 8 rollos     "/>
  </r>
  <r>
    <x v="25"/>
    <x v="25"/>
    <n v="16000443"/>
    <s v="topax neutro 60 kg                                "/>
  </r>
  <r>
    <x v="25"/>
    <x v="25"/>
    <n v="16000445"/>
    <s v="Geltar Pulsar Cera 20 kg. "/>
  </r>
  <r>
    <x v="25"/>
    <x v="25"/>
    <n v="16000446"/>
    <s v="Quick Fill 910  60Kg.                             "/>
  </r>
  <r>
    <x v="25"/>
    <x v="25"/>
    <n v="16000447"/>
    <s v="Quick Fill 310  20Kg."/>
  </r>
  <r>
    <x v="25"/>
    <x v="25"/>
    <n v="16000454"/>
    <s v="Topax 66.  60KG                                   "/>
  </r>
  <r>
    <x v="25"/>
    <x v="25"/>
    <n v="16000455"/>
    <s v="Topax 66. 1000 Kg."/>
  </r>
  <r>
    <x v="25"/>
    <x v="25"/>
    <n v="16000461"/>
    <s v="Quick Fill 320 20 kg"/>
  </r>
  <r>
    <x v="25"/>
    <x v="25"/>
    <n v="16000462"/>
    <s v="CFQ - Sanitizer 60 kG"/>
  </r>
  <r>
    <x v="25"/>
    <x v="25"/>
    <n v="16000507"/>
    <s v="Drio san duo              "/>
  </r>
  <r>
    <x v="25"/>
    <x v="25"/>
    <n v="16000508"/>
    <s v="Urinal Rings"/>
  </r>
  <r>
    <x v="25"/>
    <x v="25"/>
    <n v="16000510"/>
    <s v="Nitro Plus 24KG (986024)"/>
  </r>
  <r>
    <x v="25"/>
    <x v="25"/>
    <n v="16000511"/>
    <s v="Green Wash  "/>
  </r>
  <r>
    <x v="25"/>
    <x v="25"/>
    <n v="16000512"/>
    <s v="toalla autocorte 2x250"/>
  </r>
  <r>
    <x v="26"/>
    <x v="26"/>
    <s v="No Indicado"/>
    <s v="Pirotin magdalena "/>
  </r>
  <r>
    <x v="27"/>
    <x v="27"/>
    <n v="10003539"/>
    <s v="Film Manual Amarillo 1,5        "/>
  </r>
  <r>
    <x v="27"/>
    <x v="27"/>
    <n v="11000050"/>
    <s v="Film Para Palletizar                   "/>
  </r>
  <r>
    <x v="27"/>
    <x v="27"/>
    <n v="11000068"/>
    <s v=" Bolsa Basura Transparente 90x120x0.04  "/>
  </r>
  <r>
    <x v="27"/>
    <x v="27"/>
    <n v="11000076"/>
    <s v="Bolsas Basuras Transp. 115x150x0.03     "/>
  </r>
  <r>
    <x v="27"/>
    <x v="27"/>
    <n v="11000220"/>
    <s v="Cinta Ad. Rojo 48x100m. CALIDAD"/>
  </r>
  <r>
    <x v="27"/>
    <x v="27"/>
    <n v="11000222"/>
    <s v="Cinta Ad. Amarillo 48x100m"/>
  </r>
  <r>
    <x v="27"/>
    <x v="27"/>
    <n v="11000602"/>
    <s v="Bolsa 105 x 75 (Fuelle 200 mm)"/>
  </r>
  <r>
    <x v="27"/>
    <x v="27"/>
    <n v="11000694"/>
    <s v="Bolsa Prepicada"/>
  </r>
  <r>
    <x v="27"/>
    <x v="27"/>
    <n v="11001446"/>
    <s v="Film Rojo KG"/>
  </r>
  <r>
    <x v="27"/>
    <x v="27"/>
    <n v="11001448"/>
    <s v="Film Azul KG (1,5kg x rollo)"/>
  </r>
  <r>
    <x v="27"/>
    <x v="27"/>
    <n v="11001505"/>
    <s v="Film Amarillo KG                     "/>
  </r>
  <r>
    <x v="27"/>
    <x v="27"/>
    <n v="11001672"/>
    <s v="Bolsa Fuelle (100x70x0,040)       "/>
  </r>
  <r>
    <x v="27"/>
    <x v="27"/>
    <n v="11001837"/>
    <s v="Bolsa Verde Decomiso 100 x 80      "/>
  </r>
  <r>
    <x v="27"/>
    <x v="27"/>
    <n v="11001838"/>
    <s v="Bolsa Roja Decomiso 100 x 80      "/>
  </r>
  <r>
    <x v="27"/>
    <x v="27"/>
    <n v="11001839"/>
    <s v="Bolsa Amarilla Decomiso 100 x 80    "/>
  </r>
  <r>
    <x v="27"/>
    <x v="27"/>
    <n v="11001859"/>
    <s v="Bolsa Azul 100 Micras Carnes"/>
  </r>
  <r>
    <x v="27"/>
    <x v="27"/>
    <n v="11001891"/>
    <s v="Lamina transparente 70x70 Plantas de car"/>
  </r>
  <r>
    <x v="27"/>
    <x v="27"/>
    <n v="16000417"/>
    <s v="Bolsa Basura Azul 80x110        "/>
  </r>
  <r>
    <x v="28"/>
    <x v="28"/>
    <n v="11000541"/>
    <s v="Film Transparente Flowpack"/>
  </r>
  <r>
    <x v="28"/>
    <x v="28"/>
    <n v="11000671"/>
    <s v="Film Emp. Cock Pino Li"/>
  </r>
  <r>
    <x v="28"/>
    <x v="28"/>
    <n v="11000672"/>
    <s v="Film Emp. Cock Queso Li"/>
  </r>
  <r>
    <x v="28"/>
    <x v="28"/>
    <n v="11000673"/>
    <s v="Film Emp. Cock Pollo Li"/>
  </r>
  <r>
    <x v="28"/>
    <x v="28"/>
    <n v="11001470"/>
    <s v="Film Fondo MB Transparente (180 Micras)"/>
  </r>
  <r>
    <x v="28"/>
    <x v="28"/>
    <n v="11001625"/>
    <s v="Film Tapa Vegetariana (Impreso)"/>
  </r>
  <r>
    <x v="28"/>
    <x v="28"/>
    <n v="11001627"/>
    <s v="Film Tapa Peperonni (Impreso)"/>
  </r>
  <r>
    <x v="28"/>
    <x v="28"/>
    <n v="11001628"/>
    <s v="Film Tapa  Napolitana (Impreso)"/>
  </r>
  <r>
    <x v="28"/>
    <x v="28"/>
    <n v="11001629"/>
    <s v="Film Pre Pizza"/>
  </r>
  <r>
    <x v="28"/>
    <x v="28"/>
    <n v="11001630"/>
    <s v="Film impreso Pan ATM"/>
  </r>
  <r>
    <x v="28"/>
    <x v="28"/>
    <n v="11001673"/>
    <s v="Film Tapa Pizza Ind. Napolitana ( Impr.)"/>
  </r>
  <r>
    <x v="28"/>
    <x v="28"/>
    <n v="11001699"/>
    <s v="Film Masa Ultra Delgada"/>
  </r>
  <r>
    <x v="28"/>
    <x v="28"/>
    <n v="11001702"/>
    <s v="Film Tapa Suprema (Impreso)"/>
  </r>
  <r>
    <x v="28"/>
    <x v="28"/>
    <n v="11001703"/>
    <s v="Film Impreso Emp. Hoja Pino"/>
  </r>
  <r>
    <x v="28"/>
    <x v="28"/>
    <n v="11001705"/>
    <s v="Film Tapa Pizza Napolitana SBA"/>
  </r>
  <r>
    <x v="28"/>
    <x v="28"/>
    <n v="11001706"/>
    <s v="Film Tapa Pizza Pollo Champiñong SBA"/>
  </r>
  <r>
    <x v="28"/>
    <x v="28"/>
    <n v="11001707"/>
    <s v="Film Tapa Pizza Pepperoni SBA (Impreso)"/>
  </r>
  <r>
    <x v="28"/>
    <x v="28"/>
    <n v="11001786"/>
    <s v="Film Trans. Pan ATM Mayorista"/>
  </r>
  <r>
    <x v="28"/>
    <x v="28"/>
    <n v="11001792"/>
    <s v="Film Emp. Cock Jamón Queso"/>
  </r>
  <r>
    <x v="28"/>
    <x v="28"/>
    <n v="11001799"/>
    <s v="Film Emp.Coctel Queso Aceituna"/>
  </r>
  <r>
    <x v="28"/>
    <x v="28"/>
    <n v="11001806"/>
    <s v="Film Pack Emp. Horno Pino"/>
  </r>
  <r>
    <x v="28"/>
    <x v="28"/>
    <n v="11001814"/>
    <s v="Film Tapa Salame"/>
  </r>
  <r>
    <x v="28"/>
    <x v="28"/>
    <n v="11001847"/>
    <s v="Film Pack Hoja Queso"/>
  </r>
  <r>
    <x v="28"/>
    <x v="28"/>
    <n v="11001851"/>
    <s v="Film Impreso Marraqueta ATM"/>
  </r>
  <r>
    <x v="28"/>
    <x v="28"/>
    <n v="11001885"/>
    <s v="Film tapa pizza española"/>
  </r>
  <r>
    <x v="28"/>
    <x v="28"/>
    <n v="11001893"/>
    <s v="Film Pepperoni alternativo "/>
  </r>
  <r>
    <x v="28"/>
    <x v="28"/>
    <n v="11001949"/>
    <s v="FILM BOPP 490X40 TACA 260 MAGDALENAS 9UN"/>
  </r>
  <r>
    <x v="28"/>
    <x v="28"/>
    <n v="11001950"/>
    <s v="FILM BOPP 380X40 TACA 260 MAGDALENA 6UN"/>
  </r>
  <r>
    <x v="29"/>
    <x v="29"/>
    <n v="16000031"/>
    <s v="Papel higiénico 6x600 Essity                      "/>
  </r>
  <r>
    <x v="29"/>
    <x v="29"/>
    <n v="16000032"/>
    <s v="Toala papel jumbo2x 310mt Essity                  "/>
  </r>
  <r>
    <x v="30"/>
    <x v="30"/>
    <n v="10003480"/>
    <s v="Palmito Entero"/>
  </r>
  <r>
    <x v="31"/>
    <x v="31"/>
    <n v="10000591"/>
    <s v="Aceituna Rodaja (kilo)"/>
  </r>
  <r>
    <x v="32"/>
    <x v="32"/>
    <n v="10003028"/>
    <s v="V Asiento - Paraguay          "/>
  </r>
  <r>
    <x v="32"/>
    <x v="32"/>
    <n v="10003072"/>
    <s v="V Lomo Liso - Paraguay"/>
  </r>
  <r>
    <x v="32"/>
    <x v="32"/>
    <n v="10003107"/>
    <s v="V Posta Negra - Paraguay"/>
  </r>
  <r>
    <x v="32"/>
    <x v="32"/>
    <n v="10003115"/>
    <s v="V Posta Paleta - Paraguay"/>
  </r>
  <r>
    <x v="33"/>
    <x v="33"/>
    <n v="10000205"/>
    <s v="Empanizador"/>
  </r>
  <r>
    <x v="33"/>
    <x v="33"/>
    <n v="10001122"/>
    <s v="Manteca L Trans GBlanda"/>
  </r>
  <r>
    <x v="33"/>
    <x v="33"/>
    <n v="10002522"/>
    <s v="Manteca L Trans Bolsa (1 KG)"/>
  </r>
  <r>
    <x v="33"/>
    <x v="33"/>
    <n v="10003166"/>
    <s v="Manteca L Trans Bolsa (10 KG)"/>
  </r>
  <r>
    <x v="34"/>
    <x v="34"/>
    <n v="10003874"/>
    <s v="Oregano Molido Grueso"/>
  </r>
  <r>
    <x v="34"/>
    <x v="34"/>
    <n v="10004363"/>
    <s v="Cacao en polvo"/>
  </r>
  <r>
    <x v="35"/>
    <x v="35"/>
    <n v="11001559"/>
    <s v="Film Apet km. (390 cm) molida      "/>
  </r>
  <r>
    <x v="35"/>
    <x v="35"/>
    <n v="11001712"/>
    <s v="Film width max 490mm (bandeja H40 221x17"/>
  </r>
  <r>
    <x v="36"/>
    <x v="36"/>
    <n v="10002413"/>
    <s v="Mejorador Hallulla"/>
  </r>
  <r>
    <x v="36"/>
    <x v="36"/>
    <n v="10004100"/>
    <s v="Granozime HLL3522"/>
  </r>
  <r>
    <x v="36"/>
    <x v="36"/>
    <n v="10004101"/>
    <s v="Fermaid Terrua 3524"/>
  </r>
  <r>
    <x v="36"/>
    <x v="36"/>
    <n v="10004233"/>
    <s v="Mejorador Hallulla (Fermaid - Masa madre)"/>
  </r>
  <r>
    <x v="36"/>
    <x v="36"/>
    <n v="10004323"/>
    <s v="Aditivo extra fermaid"/>
  </r>
  <r>
    <x v="36"/>
    <x v="36"/>
    <n v="10004343"/>
    <s v="Mejorador Bolleria (Granomix QQC 4424)"/>
  </r>
  <r>
    <x v="36"/>
    <x v="36"/>
    <n v="10004359"/>
    <s v="Polvo de hornear 2P AL (LEVAMIX)"/>
  </r>
  <r>
    <x v="37"/>
    <x v="37"/>
    <n v="10001101"/>
    <s v="Harina Marraqueta   "/>
  </r>
  <r>
    <x v="37"/>
    <x v="37"/>
    <n v="10004283"/>
    <s v="Harina Fuerza Media Saco"/>
  </r>
  <r>
    <x v="38"/>
    <x v="38"/>
    <n v="11000060"/>
    <s v="Hielo en escama"/>
  </r>
  <r>
    <x v="39"/>
    <x v="39"/>
    <n v="11000063"/>
    <s v="Papel Volantin Blanco"/>
  </r>
  <r>
    <x v="40"/>
    <x v="40"/>
    <n v="10003882"/>
    <s v="Nitrogeno Liquido"/>
  </r>
  <r>
    <x v="40"/>
    <x v="40"/>
    <n v="11001484"/>
    <s v="Oxígeno Líquido (O2)"/>
  </r>
  <r>
    <x v="40"/>
    <x v="40"/>
    <n v="11001486"/>
    <s v="Indural C30"/>
  </r>
  <r>
    <x v="40"/>
    <x v="40"/>
    <n v="11001536"/>
    <s v="Dióxido de Carbono Granel."/>
  </r>
  <r>
    <x v="40"/>
    <x v="40"/>
    <n v="11001810"/>
    <s v="Monoxido de Carbono "/>
  </r>
  <r>
    <x v="41"/>
    <x v="41"/>
    <n v="10003293"/>
    <s v="Pino Empanada Acuenta"/>
  </r>
  <r>
    <x v="41"/>
    <x v="41"/>
    <n v="10003294"/>
    <s v="Pino Empanada Premium (Posta Negra)"/>
  </r>
  <r>
    <x v="41"/>
    <x v="41"/>
    <n v="10004121"/>
    <s v="Pino Lider Reformulado"/>
  </r>
  <r>
    <x v="42"/>
    <x v="42"/>
    <n v="10000390"/>
    <s v="Pulpa de pierna congelada de cerdo   "/>
  </r>
  <r>
    <x v="42"/>
    <x v="42"/>
    <n v="10003026"/>
    <s v="V Asiento - Brasil           "/>
  </r>
  <r>
    <x v="42"/>
    <x v="42"/>
    <n v="10003028"/>
    <s v="V Asiento - Paraguay          "/>
  </r>
  <r>
    <x v="42"/>
    <x v="42"/>
    <n v="10003036"/>
    <s v="V Cogote - Brasil"/>
  </r>
  <r>
    <x v="42"/>
    <x v="42"/>
    <n v="10003055"/>
    <s v="V Ganso - Brasil"/>
  </r>
  <r>
    <x v="42"/>
    <x v="42"/>
    <n v="10003070"/>
    <s v="V Lomo Liso - Brasil          "/>
  </r>
  <r>
    <x v="42"/>
    <x v="42"/>
    <n v="10003105"/>
    <s v="V Posta Negra - Brasil"/>
  </r>
  <r>
    <x v="42"/>
    <x v="42"/>
    <n v="10003107"/>
    <s v="V Posta Negra - Paraguay"/>
  </r>
  <r>
    <x v="42"/>
    <x v="42"/>
    <n v="10003113"/>
    <s v="V Posta Paleta - Brasil"/>
  </r>
  <r>
    <x v="42"/>
    <x v="42"/>
    <n v="10003115"/>
    <s v="V Posta Paleta - Paraguay"/>
  </r>
  <r>
    <x v="42"/>
    <x v="42"/>
    <n v="10003119"/>
    <s v="V Posta Rosada - Brasil"/>
  </r>
  <r>
    <x v="42"/>
    <x v="42"/>
    <n v="10003121"/>
    <s v="V Posta Rosada - Paraguay"/>
  </r>
  <r>
    <x v="43"/>
    <x v="43"/>
    <n v="10000105"/>
    <s v="Sal"/>
  </r>
  <r>
    <x v="43"/>
    <x v="43"/>
    <n v="10004227"/>
    <s v="Sal Industrial"/>
  </r>
  <r>
    <x v="44"/>
    <x v="44"/>
    <n v="11000055"/>
    <s v="Cinta Ad. Trans. 48mmx100m."/>
  </r>
  <r>
    <x v="44"/>
    <x v="44"/>
    <n v="16000404"/>
    <s v="Paños Garzon                            "/>
  </r>
  <r>
    <x v="44"/>
    <x v="44"/>
    <n v="16000444"/>
    <s v="Virutilla Verde Scotch Brite            "/>
  </r>
  <r>
    <x v="44"/>
    <x v="44"/>
    <n v="16000476"/>
    <s v="Guante Nitrilo Azul M                             "/>
  </r>
  <r>
    <x v="44"/>
    <x v="44"/>
    <n v="16000477"/>
    <s v="Guante Nitrilo Azul L"/>
  </r>
  <r>
    <x v="44"/>
    <x v="44"/>
    <n v="16000494"/>
    <s v="Guante Nitrilo Azul S                "/>
  </r>
  <r>
    <x v="44"/>
    <x v="44"/>
    <n v="16000502"/>
    <s v="Ponchos desechables blancos caja"/>
  </r>
  <r>
    <x v="44"/>
    <x v="44"/>
    <n v="16000504"/>
    <s v="Paño multiuso gamuza38x40 caja 250 un             "/>
  </r>
  <r>
    <x v="44"/>
    <x v="44"/>
    <n v="16000505"/>
    <s v="Fibra abrasiva verde genérica pack 10 un          "/>
  </r>
  <r>
    <x v="44"/>
    <x v="44"/>
    <n v="16000506"/>
    <s v="Quita Pelusa"/>
  </r>
  <r>
    <x v="44"/>
    <x v="44"/>
    <n v="18000071"/>
    <s v="Mascarilla Facial"/>
  </r>
  <r>
    <x v="44"/>
    <x v="44"/>
    <n v="18000355"/>
    <s v="Buzo desechable blanco"/>
  </r>
  <r>
    <x v="45"/>
    <x v="45"/>
    <n v="10001101"/>
    <s v="Harina Marraqueta"/>
  </r>
  <r>
    <x v="45"/>
    <x v="45"/>
    <n v="10003731"/>
    <s v="Harina Fina/Flor Saco"/>
  </r>
  <r>
    <x v="45"/>
    <x v="45"/>
    <n v="10004283"/>
    <s v="Harina Fuerza Media Saco"/>
  </r>
  <r>
    <x v="46"/>
    <x v="46"/>
    <n v="10003474"/>
    <s v="salsa de Pizza Nueva Formula"/>
  </r>
  <r>
    <x v="47"/>
    <x v="47"/>
    <n v="10001107"/>
    <s v="Levadura Granel"/>
  </r>
  <r>
    <x v="47"/>
    <x v="47"/>
    <n v="10003748"/>
    <s v="Levadura 0,5 gramos"/>
  </r>
  <r>
    <x v="48"/>
    <x v="48"/>
    <n v="11000421"/>
    <s v="Carton Bandeja 31 x 11 Cm."/>
  </r>
  <r>
    <x v="48"/>
    <x v="48"/>
    <n v="16000472"/>
    <s v="Pechera Blanca (100%PVC)                          "/>
  </r>
  <r>
    <x v="48"/>
    <x v="48"/>
    <n v="16000476"/>
    <s v="Guante Nitrilo Azul M                             "/>
  </r>
  <r>
    <x v="48"/>
    <x v="48"/>
    <n v="16000477"/>
    <s v="Guante Nitrilo Azul L"/>
  </r>
  <r>
    <x v="48"/>
    <x v="48"/>
    <n v="16000494"/>
    <s v="Guante Nitrilo Azul S                "/>
  </r>
  <r>
    <x v="48"/>
    <x v="48"/>
    <n v="18000071"/>
    <s v="Mascarilla Facial"/>
  </r>
  <r>
    <x v="48"/>
    <x v="48"/>
    <n v="18000089"/>
    <s v="Guante de Algodón Pigmentado                     "/>
  </r>
  <r>
    <x v="49"/>
    <x v="49"/>
    <n v="10000443"/>
    <s v="Leche Polvo 26% Mg"/>
  </r>
  <r>
    <x v="50"/>
    <x v="50"/>
    <n v="11001948"/>
    <s v="Pirotin magdalena "/>
  </r>
  <r>
    <x v="51"/>
    <x v="51"/>
    <n v="10003026"/>
    <s v="V Asiento - Brasil           "/>
  </r>
  <r>
    <x v="51"/>
    <x v="51"/>
    <n v="10003061"/>
    <s v="V Ganso Especial Congelado - Brasil"/>
  </r>
  <r>
    <x v="52"/>
    <x v="52"/>
    <n v="10000277"/>
    <s v="Aceituna C-220 Entera"/>
  </r>
  <r>
    <x v="53"/>
    <x v="53"/>
    <n v="11001868"/>
    <s v="Film 150 Micras Panaderia atm"/>
  </r>
  <r>
    <x v="53"/>
    <x v="53"/>
    <n v="11001869"/>
    <s v="Film 80 micras Panaderia atm"/>
  </r>
  <r>
    <x v="54"/>
    <x v="54"/>
    <n v="10000520"/>
    <s v="Jamon Sandwich Lider"/>
  </r>
  <r>
    <x v="54"/>
    <x v="54"/>
    <n v="10002460"/>
    <s v="Jamón Juliana"/>
  </r>
  <r>
    <x v="54"/>
    <x v="54"/>
    <n v="10003478"/>
    <s v="Jamón Juliana Pierna"/>
  </r>
  <r>
    <x v="54"/>
    <x v="54"/>
    <n v="10004256"/>
    <s v="Chorizo Cubo 0,5 x 0,5"/>
  </r>
  <r>
    <x v="55"/>
    <x v="55"/>
    <n v="10000521"/>
    <s v="Salame Vela"/>
  </r>
  <r>
    <x v="55"/>
    <x v="55"/>
    <n v="10004293"/>
    <s v="Peperonni Tradicional (Alternativo)"/>
  </r>
  <r>
    <x v="56"/>
    <x v="56"/>
    <n v="11001614"/>
    <s v="Film Fondo Semirrígido Barrera. 662"/>
  </r>
  <r>
    <x v="56"/>
    <x v="56"/>
    <n v="11001659"/>
    <s v="Film Fondo 400 Micras 392"/>
  </r>
  <r>
    <x v="56"/>
    <x v="56"/>
    <n v="11001858"/>
    <s v="Film 250 Micras Panaderia atm"/>
  </r>
  <r>
    <x v="57"/>
    <x v="57"/>
    <n v="10000188"/>
    <s v="Hongo Stop"/>
  </r>
  <r>
    <x v="57"/>
    <x v="57"/>
    <n v="10003552"/>
    <s v="Base Pan  Amasado"/>
  </r>
  <r>
    <x v="57"/>
    <x v="57"/>
    <n v="10003553"/>
    <s v="Base Pan  Dobladas"/>
  </r>
  <r>
    <x v="57"/>
    <x v="57"/>
    <n v="10003749"/>
    <s v="Mejorador Hallulla  R-S"/>
  </r>
  <r>
    <x v="57"/>
    <x v="57"/>
    <n v="10004200"/>
    <s v="Mejorador Hallulla Soft"/>
  </r>
  <r>
    <x v="57"/>
    <x v="57"/>
    <n v="10004261"/>
    <s v="Aditivo Panaderia RN-C"/>
  </r>
  <r>
    <x v="57"/>
    <x v="57"/>
    <n v="10004285"/>
    <s v="Base pan dulce"/>
  </r>
  <r>
    <x v="57"/>
    <x v="57"/>
    <n v="10004393"/>
    <s v="Mejorador Malta Marraqueta (RN-CC)"/>
  </r>
  <r>
    <x v="57"/>
    <x v="57"/>
    <n v="11001898"/>
    <s v="Base pan Amasado (Nueva Formula)"/>
  </r>
  <r>
    <x v="58"/>
    <x v="58"/>
    <n v="11000602"/>
    <s v="Bolsa 105 x 75 (Fuelle 200 mm)"/>
  </r>
  <r>
    <x v="58"/>
    <x v="58"/>
    <n v="11001962"/>
    <s v="Lamina Manga 110x0.028 micras"/>
  </r>
  <r>
    <x v="59"/>
    <x v="59"/>
    <n v="10000188"/>
    <s v="Hongo Stop"/>
  </r>
  <r>
    <x v="60"/>
    <x v="60"/>
    <n v="16000058"/>
    <s v="Tecsa Food-A                            "/>
  </r>
  <r>
    <x v="61"/>
    <x v="61"/>
    <n v="10000294"/>
    <s v="Papa Cubo Pre-Cocida"/>
  </r>
  <r>
    <x v="61"/>
    <x v="61"/>
    <n v="10000704"/>
    <s v="Pimiento Verde Cubo"/>
  </r>
  <r>
    <x v="61"/>
    <x v="61"/>
    <n v="10003283"/>
    <s v="Choclo Cocido"/>
  </r>
  <r>
    <x v="62"/>
    <x v="62"/>
    <n v="10001571"/>
    <s v="Toupan"/>
  </r>
  <r>
    <x v="62"/>
    <x v="62"/>
    <n v="10001672"/>
    <s v="Sustituto Huevo Líquido"/>
  </r>
  <r>
    <x v="62"/>
    <x v="62"/>
    <n v="10002531"/>
    <s v="Intense de Sal (Sustituto)"/>
  </r>
  <r>
    <x v="62"/>
    <x v="62"/>
    <n v="10003804"/>
    <s v="S-500"/>
  </r>
  <r>
    <x v="62"/>
    <x v="62"/>
    <n v="10003805"/>
    <s v="O-Tentic"/>
  </r>
  <r>
    <x v="62"/>
    <x v="62"/>
    <n v="10004201"/>
    <s v="Mejorador Amasado Soft"/>
  </r>
  <r>
    <x v="62"/>
    <x v="62"/>
    <n v="10004232"/>
    <s v="Sorbato de potasio Liquido (Protektor)"/>
  </r>
  <r>
    <x v="62"/>
    <x v="62"/>
    <n v="10004328"/>
    <s v="Toupan + Conservante (Propionato)"/>
  </r>
  <r>
    <x v="62"/>
    <x v="62"/>
    <n v="10004362"/>
    <s v="Chips de chocolate"/>
  </r>
  <r>
    <x v="62"/>
    <x v="62"/>
    <n v="10004395"/>
    <s v="O-tentic Durum"/>
  </r>
  <r>
    <x v="63"/>
    <x v="63"/>
    <n v="10002457"/>
    <s v="Queso Hebras 100 % Mozzarella"/>
  </r>
  <r>
    <x v="64"/>
    <x v="64"/>
    <n v="16000477"/>
    <s v="Guante Nitrilo Azul L                       "/>
  </r>
  <r>
    <x v="64"/>
    <x v="64"/>
    <n v="18000065"/>
    <s v="Gorro desechable"/>
  </r>
  <r>
    <x v="64"/>
    <x v="64"/>
    <n v="18000069"/>
    <s v="Manguillas Polietileno"/>
  </r>
  <r>
    <x v="64"/>
    <x v="64"/>
    <n v="18000071"/>
    <s v="Mascarilla Facial            "/>
  </r>
  <r>
    <x v="64"/>
    <x v="64"/>
    <n v="18000349"/>
    <s v="Pechera con Manga"/>
  </r>
  <r>
    <x v="65"/>
    <x v="65"/>
    <n v="10001101"/>
    <s v="Harina Marraqueta "/>
  </r>
  <r>
    <x v="65"/>
    <x v="65"/>
    <n v="10003731"/>
    <s v="Harina Fina/Flor Saco"/>
  </r>
  <r>
    <x v="65"/>
    <x v="65"/>
    <n v="10003838"/>
    <s v="Harina Plata San Cristobal"/>
  </r>
  <r>
    <x v="65"/>
    <x v="65"/>
    <n v="10004283"/>
    <s v="Harina Fuerza Media Saco"/>
  </r>
  <r>
    <x v="65"/>
    <x v="65"/>
    <n v="10004394"/>
    <s v="Harina plata Granel"/>
  </r>
  <r>
    <x v="66"/>
    <x v="66"/>
    <n v="10003295"/>
    <s v="Pino Empanada Pollo a las Finas Hierbas"/>
  </r>
  <r>
    <x v="66"/>
    <x v="66"/>
    <n v="10003296"/>
    <s v="Pino Carne Empanada Cóctel"/>
  </r>
  <r>
    <x v="66"/>
    <x v="66"/>
    <n v="10003298"/>
    <s v="Pollo Cubo Asado"/>
  </r>
  <r>
    <x v="66"/>
    <x v="66"/>
    <n v="10004121"/>
    <s v="Pino Lider Reformulado"/>
  </r>
  <r>
    <x v="67"/>
    <x v="67"/>
    <n v="11001534"/>
    <s v="Papel Soporte Moret           "/>
  </r>
  <r>
    <x v="67"/>
    <x v="67"/>
    <n v="11001559"/>
    <s v="Film Apet km. (390 cm) molida      "/>
  </r>
  <r>
    <x v="67"/>
    <x v="67"/>
    <n v="11001645"/>
    <s v="Film Tapa Sin Impresión con Barrera Ind"/>
  </r>
  <r>
    <x v="67"/>
    <x v="67"/>
    <n v="11001707"/>
    <s v="Film Tapa Pizza Pepperoni SBA (Impreso)"/>
  </r>
  <r>
    <x v="67"/>
    <x v="67"/>
    <n v="11001712"/>
    <s v="Film width max 490mm (bandeja H40 221x17"/>
  </r>
  <r>
    <x v="67"/>
    <x v="67"/>
    <n v="11001757"/>
    <s v="Etiq. Merc.  Asiento Bistec P6 C/Resol. "/>
  </r>
  <r>
    <x v="67"/>
    <x v="67"/>
    <n v="11001759"/>
    <s v="Etiq. Merc. Lomo Liso Bistec P6 C/Resol."/>
  </r>
  <r>
    <x v="67"/>
    <x v="67"/>
    <n v="11001765"/>
    <s v="Etiq. Merc. Posta Paleta Bistec P6 C/Res"/>
  </r>
  <r>
    <x v="67"/>
    <x v="67"/>
    <n v="11001769"/>
    <s v="Etiq. Asado AmericanoTozo P6 C/Resol."/>
  </r>
  <r>
    <x v="67"/>
    <x v="67"/>
    <n v="11001772"/>
    <s v="Etiq. Asiento Trozo P6  C/Resol."/>
  </r>
  <r>
    <x v="67"/>
    <x v="67"/>
    <n v="11001774"/>
    <s v="Etiqueta El Buen Corte V Ganso (Trozo) P6 Con Resolución "/>
  </r>
  <r>
    <x v="67"/>
    <x v="67"/>
    <n v="11001778"/>
    <s v=" Etiq. Posta Negra (Trozo) P6 C/Resol.  "/>
  </r>
  <r>
    <x v="67"/>
    <x v="67"/>
    <n v="11001779"/>
    <s v="Etiq. Posta Paleta (Trozo) P6 C/Resol. "/>
  </r>
  <r>
    <x v="67"/>
    <x v="67"/>
    <n v="11001780"/>
    <s v="Etiq. Posta Rosada (Trozo) P6 C/Resol. "/>
  </r>
  <r>
    <x v="67"/>
    <x v="67"/>
    <n v="11001786"/>
    <s v="Film Trans. Pan ATM Mayorista"/>
  </r>
  <r>
    <x v="67"/>
    <x v="67"/>
    <n v="11001808"/>
    <s v="Etiqueta Bistec  Americano P 6      "/>
  </r>
  <r>
    <x v="67"/>
    <x v="67"/>
    <n v="11001812"/>
    <s v="Etiqueta Carbonada"/>
  </r>
  <r>
    <x v="67"/>
    <x v="67"/>
    <n v="11001832"/>
    <s v="Etiqueta hamburguesa americana     "/>
  </r>
  <r>
    <x v="67"/>
    <x v="67"/>
    <n v="11001860"/>
    <s v="Etiqueta Mercadeo Carne en Tiras P6"/>
  </r>
  <r>
    <x v="67"/>
    <x v="67"/>
    <n v="11001861"/>
    <s v="etiqueta mercadeo churrascos de postas "/>
  </r>
  <r>
    <x v="67"/>
    <x v="67"/>
    <n v="11001862"/>
    <s v="etiqueta mercadeo bistec de postas"/>
  </r>
  <r>
    <x v="67"/>
    <x v="67"/>
    <n v="11001863"/>
    <s v="etiqueta mercadeo escalopas de postas  "/>
  </r>
  <r>
    <x v="67"/>
    <x v="67"/>
    <n v="11001868"/>
    <s v="Film 150 Micras Panaderia atm"/>
  </r>
  <r>
    <x v="67"/>
    <x v="67"/>
    <n v="11001869"/>
    <s v="Film 80 micras Panaderia atm"/>
  </r>
  <r>
    <x v="67"/>
    <x v="67"/>
    <n v="11001873"/>
    <s v="Film tapa generico pan atm 425"/>
  </r>
  <r>
    <x v="67"/>
    <x v="67"/>
    <n v="11001874"/>
    <s v="Film tapa generico pan atm 392"/>
  </r>
  <r>
    <x v="67"/>
    <x v="67"/>
    <n v="11001900"/>
    <s v="Etiqueta Carne Molida 10%(18x700) P5 Con preservante"/>
  </r>
  <r>
    <x v="67"/>
    <x v="67"/>
    <n v="11001901"/>
    <s v="Etiq.Carne Molida 10%(24x500)Preservante"/>
  </r>
  <r>
    <x v="67"/>
    <x v="67"/>
    <n v="11001902"/>
    <s v="Etiq.Carne Molida 10%(24x500)Preservante"/>
  </r>
  <r>
    <x v="67"/>
    <x v="67"/>
    <n v="11001903"/>
    <s v="Etiq.Molida Especial 7%(18x700)Preservan"/>
  </r>
  <r>
    <x v="67"/>
    <x v="67"/>
    <n v="11001904"/>
    <s v="Etiq.Molida Especial 7%(24x500)Preservan"/>
  </r>
  <r>
    <x v="67"/>
    <x v="67"/>
    <n v="11001905"/>
    <s v="Etiq.Molida Especial 7%(36x250)Preservan"/>
  </r>
  <r>
    <x v="67"/>
    <x v="67"/>
    <n v="11001906"/>
    <s v="Etiq.Tartaro 4 %(18x700)Preservante   "/>
  </r>
  <r>
    <x v="67"/>
    <x v="67"/>
    <n v="11001907"/>
    <s v="Etiq.Tartaro 4 %(24x500)Preservante   "/>
  </r>
  <r>
    <x v="67"/>
    <x v="67"/>
    <n v="11001908"/>
    <s v="Etiq.Tartaro 4 %(36x250)Preservante   "/>
  </r>
  <r>
    <x v="67"/>
    <x v="67"/>
    <n v="11001924"/>
    <s v="Etiqueta V Asiento Anticucho 400gr   "/>
  </r>
  <r>
    <x v="67"/>
    <x v="67"/>
    <n v="11001925"/>
    <s v="Etiqueta Escalopa Posta Apanada"/>
  </r>
  <r>
    <x v="67"/>
    <x v="67"/>
    <n v="11001926"/>
    <s v="Etiqueta Bife Especial Punta Paleta"/>
  </r>
  <r>
    <x v="67"/>
    <x v="67"/>
    <n v="11001927"/>
    <s v="Etiqueta Flat Iron Punta Paleta"/>
  </r>
  <r>
    <x v="67"/>
    <x v="67"/>
    <n v="11001928"/>
    <s v="Etiqueta Molida de Cerdo 200 gr 10% Grasa Trafico P5"/>
  </r>
  <r>
    <x v="67"/>
    <x v="67"/>
    <n v="11001930"/>
    <s v="Etiqueta Molida cerdo  450 gr 10% M.G"/>
  </r>
  <r>
    <x v="67"/>
    <x v="67"/>
    <n v="11001932"/>
    <s v="Etiqueta Molidamix  cerdo  500 gr  10% M"/>
  </r>
  <r>
    <x v="67"/>
    <x v="67"/>
    <n v="11001934"/>
    <s v="Etiqueta Hamburguesa Americana P5 con preservantes"/>
  </r>
  <r>
    <x v="67"/>
    <x v="67"/>
    <n v="11001935"/>
    <s v="Etiqueta  Americana Saborizada P5 con preservantes"/>
  </r>
  <r>
    <x v="67"/>
    <x v="67"/>
    <n v="11001936"/>
    <s v="Etiqueta Albondiga  Preservante"/>
  </r>
  <r>
    <x v="67"/>
    <x v="67"/>
    <n v="11001937"/>
    <s v="Etiqueta Hamburguesa Tradic 500 gr P5 con preservantes "/>
  </r>
  <r>
    <x v="67"/>
    <x v="67"/>
    <n v="11001939"/>
    <s v="Etiqueta Mini hamburguesa preservante"/>
  </r>
  <r>
    <x v="67"/>
    <x v="67"/>
    <n v="11001941"/>
    <s v="Etiqueta Bife Cerdo skinpack "/>
  </r>
  <r>
    <x v="67"/>
    <x v="67"/>
    <n v="11001942"/>
    <s v="Etiqueta Medallones cerdo Skinpack "/>
  </r>
  <r>
    <x v="67"/>
    <x v="67"/>
    <n v="11001943"/>
    <s v="Etiqueta Lómito sándwich ATM "/>
  </r>
  <r>
    <x v="67"/>
    <x v="67"/>
    <n v="11001944"/>
    <s v="Etiqueta Trocitos de cerdo ATM"/>
  </r>
  <r>
    <x v="67"/>
    <x v="67"/>
    <n v="11001945"/>
    <s v="Etiqueta Trozo Cerdo skinpack "/>
  </r>
  <r>
    <x v="67"/>
    <x v="67"/>
    <n v="11001963"/>
    <s v="Film Transparente (linea empanadas Cockt"/>
  </r>
  <r>
    <x v="67"/>
    <x v="67"/>
    <n v="11001967"/>
    <s v="Etiqueta Albóndigas de Cerdo 450gr (12un"/>
  </r>
  <r>
    <x v="67"/>
    <x v="67"/>
    <n v="11001968"/>
    <s v="Etiqueta Hamburguesa de Cerdo 500 gr (12"/>
  </r>
  <r>
    <x v="67"/>
    <x v="67"/>
    <n v="11001970"/>
    <s v="Papel Moret 130 mm"/>
  </r>
  <r>
    <x v="67"/>
    <x v="67"/>
    <n v="11001971"/>
    <s v="Papel soporte Moret 149 mm"/>
  </r>
  <r>
    <x v="68"/>
    <x v="68"/>
    <n v="11000159"/>
    <s v="Cinta Trans. Termica Tharo 110mmx3"/>
  </r>
  <r>
    <x v="69"/>
    <x v="69"/>
    <n v="10003707"/>
    <s v="Etiqueta Marraqueta"/>
  </r>
  <r>
    <x v="69"/>
    <x v="69"/>
    <n v="11001387"/>
    <s v="Etiqueta PVC 150 x 45 Blanca Unidad"/>
  </r>
  <r>
    <x v="69"/>
    <x v="69"/>
    <n v="11001387"/>
    <s v="Etiqueta PVC 150 x 45 Blanca Unidad   "/>
  </r>
  <r>
    <x v="69"/>
    <x v="69"/>
    <n v="11001495"/>
    <s v="Cinta Termotransferible 102mm      "/>
  </r>
  <r>
    <x v="69"/>
    <x v="69"/>
    <n v="11001503"/>
    <s v="Etiqueta 100x60 Blanca         "/>
  </r>
  <r>
    <x v="69"/>
    <x v="69"/>
    <n v="11001804"/>
    <s v="Et. Alto 100x150 Sodio, Grasas Sat. y Calorias"/>
  </r>
  <r>
    <x v="69"/>
    <x v="69"/>
    <n v="11001829"/>
    <s v="ET. 100X150 SOD, GRASAS, P/CONGEL, 1000E/R"/>
  </r>
  <r>
    <x v="70"/>
    <x v="70"/>
    <n v="11001964"/>
    <s v="Black Ink 2770K"/>
  </r>
  <r>
    <x v="71"/>
    <x v="71"/>
    <n v="10003539"/>
    <s v="Film Manual Amarillo 1,5        "/>
  </r>
  <r>
    <x v="71"/>
    <x v="71"/>
    <n v="11000050"/>
    <s v="Film Para Palletizar                   "/>
  </r>
  <r>
    <x v="71"/>
    <x v="71"/>
    <n v="11000601"/>
    <s v="Film Hallulla 530"/>
  </r>
  <r>
    <x v="71"/>
    <x v="71"/>
    <n v="11001446"/>
    <s v="Film Rojo KG"/>
  </r>
  <r>
    <x v="71"/>
    <x v="71"/>
    <n v="11001448"/>
    <s v="Film Azul KG (1,5kg x rollo)"/>
  </r>
  <r>
    <x v="71"/>
    <x v="71"/>
    <n v="11001505"/>
    <s v="Film Amarillo KG                     "/>
  </r>
  <r>
    <x v="71"/>
    <x v="71"/>
    <n v="11001557"/>
    <s v="Film Marraqueta 770x 0.30"/>
  </r>
  <r>
    <x v="72"/>
    <x v="72"/>
    <n v="10004305"/>
    <s v="Provian K  preservante carnes"/>
  </r>
  <r>
    <x v="73"/>
    <x v="73"/>
    <n v="10001122"/>
    <s v="Manteca L Trans GBlanda"/>
  </r>
  <r>
    <x v="73"/>
    <x v="73"/>
    <n v="10002522"/>
    <s v="Manteca L Trans Bolsa (1 KG)"/>
  </r>
  <r>
    <x v="73"/>
    <x v="73"/>
    <n v="10003166"/>
    <s v="Manteca L Trans Bolsa (10 KG)"/>
  </r>
  <r>
    <x v="74"/>
    <x v="74"/>
    <n v="18000000"/>
    <s v="Bota Blanca con Punta de Acero     "/>
  </r>
  <r>
    <x v="74"/>
    <x v="74"/>
    <n v="18000002"/>
    <s v="Zapaton Cuero Negro 35"/>
  </r>
  <r>
    <x v="74"/>
    <x v="74"/>
    <n v="18000003"/>
    <s v="Zapaton Cuero Negro 36"/>
  </r>
  <r>
    <x v="74"/>
    <x v="74"/>
    <n v="18000004"/>
    <s v="Zapaton Cuero Negro 37         "/>
  </r>
  <r>
    <x v="74"/>
    <x v="74"/>
    <n v="18000005"/>
    <s v="Zapaton Cuero Negro 38"/>
  </r>
  <r>
    <x v="74"/>
    <x v="74"/>
    <n v="18000006"/>
    <s v="Zapaton Cuero Negro 39"/>
  </r>
  <r>
    <x v="74"/>
    <x v="74"/>
    <n v="18000007"/>
    <s v="Zapaton Cuero Negro 40"/>
  </r>
  <r>
    <x v="74"/>
    <x v="74"/>
    <n v="18000008"/>
    <s v="Zapaton Cuero Negro 41"/>
  </r>
  <r>
    <x v="74"/>
    <x v="74"/>
    <n v="18000009"/>
    <s v="Zapaton Cuero Negro 42"/>
  </r>
  <r>
    <x v="74"/>
    <x v="74"/>
    <n v="18000010"/>
    <s v="Zapaton Cuero Negro 43"/>
  </r>
  <r>
    <x v="74"/>
    <x v="74"/>
    <n v="18000011"/>
    <s v="Zapaton Cuero Negro 44"/>
  </r>
  <r>
    <x v="75"/>
    <x v="75"/>
    <n v="16000280"/>
    <s v="shampoo"/>
  </r>
  <r>
    <x v="75"/>
    <x v="75"/>
    <n v="16000495"/>
    <s v="Jabon Glicerina"/>
  </r>
  <r>
    <x v="76"/>
    <x v="76"/>
    <n v="10002252"/>
    <s v="Queso Lam. Gau 20 g.(1KG)"/>
  </r>
  <r>
    <x v="76"/>
    <x v="76"/>
    <n v="10002457"/>
    <s v="Queso Hebras 100 % Mozzarella"/>
  </r>
  <r>
    <x v="76"/>
    <x v="76"/>
    <n v="10003596"/>
    <s v="Queso Mozzarella WM"/>
  </r>
  <r>
    <x v="76"/>
    <x v="76"/>
    <n v="10004172"/>
    <s v="Queso Gauda Hebra"/>
  </r>
  <r>
    <x v="76"/>
    <x v="76"/>
    <n v="10004322"/>
    <s v="Queso Mantecoso Granulado"/>
  </r>
  <r>
    <x v="76"/>
    <x v="76"/>
    <n v="10004374"/>
    <s v="Queso Mantecoso Barra"/>
  </r>
  <r>
    <x v="76"/>
    <x v="76"/>
    <n v="10004375"/>
    <s v="Queso Gauda Barra"/>
  </r>
  <r>
    <x v="77"/>
    <x v="77"/>
    <n v="11000063"/>
    <s v="Papel Volantin Blanco"/>
  </r>
  <r>
    <x v="77"/>
    <x v="77"/>
    <n v="11000418"/>
    <s v="Carton Bandeja 18,6 x 10,5 Cm."/>
  </r>
  <r>
    <x v="77"/>
    <x v="77"/>
    <n v="11000421"/>
    <s v="Carton Bandeja 31 x 11 Cm."/>
  </r>
  <r>
    <x v="78"/>
    <x v="78"/>
    <n v="10003806"/>
    <s v="Platano Premium (18 KG) IMP"/>
  </r>
  <r>
    <x v="78"/>
    <x v="78"/>
    <n v="10003917"/>
    <s v="Palta Hass Verde"/>
  </r>
  <r>
    <x v="78"/>
    <x v="78"/>
    <n v="10004234"/>
    <s v="Platano barraganete (caja 18 Kg)"/>
  </r>
  <r>
    <x v="79"/>
    <x v="79"/>
    <n v="11000057"/>
    <s v="Zuncho 12mm Blanco"/>
  </r>
  <r>
    <x v="79"/>
    <x v="79"/>
    <n v="11000601"/>
    <s v="Film Hallulla 530"/>
  </r>
  <r>
    <x v="79"/>
    <x v="79"/>
    <n v="11000846"/>
    <s v="Film Para Palletizar"/>
  </r>
  <r>
    <x v="79"/>
    <x v="79"/>
    <n v="11001557"/>
    <s v="Film Marraqueta 770x 0.30"/>
  </r>
  <r>
    <x v="79"/>
    <x v="79"/>
    <n v="11001635"/>
    <s v="Cinta Acrílica Café 48x100"/>
  </r>
  <r>
    <x v="79"/>
    <x v="79"/>
    <n v="11001636"/>
    <s v="Cinta Acrílica Celeste 48x100"/>
  </r>
  <r>
    <x v="79"/>
    <x v="79"/>
    <n v="11001637"/>
    <s v="Cinta Acrílica Negro 48x100"/>
  </r>
  <r>
    <x v="79"/>
    <x v="79"/>
    <n v="11001638"/>
    <s v="Cinta Acrílica Rosada 48x100"/>
  </r>
  <r>
    <x v="79"/>
    <x v="79"/>
    <n v="11001639"/>
    <s v="Cinta Acrílica Naranja 48x100"/>
  </r>
  <r>
    <x v="79"/>
    <x v="79"/>
    <n v="11001640"/>
    <s v="Cinta Acrílica Azul  48x100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roveedores" cacheId="1" applyNumberFormats="0" applyBorderFormats="0" applyFontFormats="0" applyPatternFormats="0" applyAlignmentFormats="0" applyWidthHeightFormats="1" dataCaption="Valores" updatedVersion="7" minRefreshableVersion="3" useAutoFormatting="1" rowGrandTotals="0" colGrandTotals="0" itemPrintTitles="1" createdVersion="7" indent="0" compact="0" compactData="0" multipleFieldFilters="0" rowHeaderCaption="Proveedores">
  <location ref="S1:T81" firstHeaderRow="1" firstDataRow="1" firstDataCol="2"/>
  <pivotFields count="4">
    <pivotField axis="axisRow" compact="0" outline="0" showAll="0" sortType="ascending" defaultSubtotal="0">
      <items count="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s>
    </pivotField>
    <pivotField axis="axisRow" compact="0" outline="0" showAll="0" defaultSubtotal="0">
      <items count="80">
        <item x="46"/>
        <item x="57"/>
        <item x="48"/>
        <item x="28"/>
        <item x="76"/>
        <item x="30"/>
        <item x="78"/>
        <item x="54"/>
        <item x="33"/>
        <item x="41"/>
        <item x="67"/>
        <item x="27"/>
        <item x="37"/>
        <item x="24"/>
        <item x="12"/>
        <item x="40"/>
        <item x="56"/>
        <item x="31"/>
        <item x="44"/>
        <item x="70"/>
        <item x="7"/>
        <item x="43"/>
        <item x="2"/>
        <item x="51"/>
        <item x="73"/>
        <item x="35"/>
        <item x="5"/>
        <item x="77"/>
        <item x="11"/>
        <item x="0"/>
        <item x="71"/>
        <item x="39"/>
        <item x="50"/>
        <item x="10"/>
        <item x="61"/>
        <item x="72"/>
        <item x="47"/>
        <item x="42"/>
        <item x="58"/>
        <item x="75"/>
        <item x="4"/>
        <item x="17"/>
        <item x="21"/>
        <item x="55"/>
        <item x="64"/>
        <item x="9"/>
        <item x="59"/>
        <item x="69"/>
        <item x="20"/>
        <item x="68"/>
        <item x="13"/>
        <item x="65"/>
        <item x="45"/>
        <item x="22"/>
        <item x="29"/>
        <item x="36"/>
        <item x="62"/>
        <item x="15"/>
        <item x="32"/>
        <item x="60"/>
        <item x="74"/>
        <item x="66"/>
        <item x="38"/>
        <item x="19"/>
        <item x="16"/>
        <item x="25"/>
        <item x="8"/>
        <item x="34"/>
        <item x="23"/>
        <item x="49"/>
        <item x="79"/>
        <item x="63"/>
        <item x="3"/>
        <item x="18"/>
        <item x="14"/>
        <item x="53"/>
        <item x="52"/>
        <item x="26"/>
        <item x="6"/>
        <item x="1"/>
      </items>
    </pivotField>
    <pivotField compact="0" outline="0" showAll="0" defaultSubtotal="0"/>
    <pivotField compact="0" outline="0" showAll="0" defaultSubtotal="0"/>
  </pivotFields>
  <rowFields count="2">
    <field x="0"/>
    <field x="1"/>
  </rowFields>
  <rowItems count="80">
    <i>
      <x/>
      <x v="29"/>
    </i>
    <i>
      <x v="1"/>
      <x v="79"/>
    </i>
    <i>
      <x v="2"/>
      <x v="22"/>
    </i>
    <i>
      <x v="3"/>
      <x v="72"/>
    </i>
    <i>
      <x v="4"/>
      <x v="40"/>
    </i>
    <i>
      <x v="5"/>
      <x v="26"/>
    </i>
    <i>
      <x v="6"/>
      <x v="78"/>
    </i>
    <i>
      <x v="7"/>
      <x v="20"/>
    </i>
    <i>
      <x v="8"/>
      <x v="66"/>
    </i>
    <i>
      <x v="9"/>
      <x v="45"/>
    </i>
    <i>
      <x v="10"/>
      <x v="33"/>
    </i>
    <i>
      <x v="11"/>
      <x v="28"/>
    </i>
    <i>
      <x v="12"/>
      <x v="14"/>
    </i>
    <i>
      <x v="13"/>
      <x v="50"/>
    </i>
    <i>
      <x v="14"/>
      <x v="74"/>
    </i>
    <i>
      <x v="15"/>
      <x v="57"/>
    </i>
    <i>
      <x v="16"/>
      <x v="64"/>
    </i>
    <i>
      <x v="17"/>
      <x v="41"/>
    </i>
    <i>
      <x v="18"/>
      <x v="73"/>
    </i>
    <i>
      <x v="19"/>
      <x v="63"/>
    </i>
    <i>
      <x v="20"/>
      <x v="48"/>
    </i>
    <i>
      <x v="21"/>
      <x v="42"/>
    </i>
    <i>
      <x v="22"/>
      <x v="53"/>
    </i>
    <i>
      <x v="23"/>
      <x v="68"/>
    </i>
    <i>
      <x v="24"/>
      <x v="13"/>
    </i>
    <i>
      <x v="25"/>
      <x v="65"/>
    </i>
    <i>
      <x v="26"/>
      <x v="77"/>
    </i>
    <i>
      <x v="27"/>
      <x v="11"/>
    </i>
    <i>
      <x v="28"/>
      <x v="3"/>
    </i>
    <i>
      <x v="29"/>
      <x v="54"/>
    </i>
    <i>
      <x v="30"/>
      <x v="5"/>
    </i>
    <i>
      <x v="31"/>
      <x v="17"/>
    </i>
    <i>
      <x v="32"/>
      <x v="58"/>
    </i>
    <i>
      <x v="33"/>
      <x v="8"/>
    </i>
    <i>
      <x v="34"/>
      <x v="67"/>
    </i>
    <i>
      <x v="35"/>
      <x v="25"/>
    </i>
    <i>
      <x v="36"/>
      <x v="55"/>
    </i>
    <i>
      <x v="37"/>
      <x v="12"/>
    </i>
    <i>
      <x v="38"/>
      <x v="62"/>
    </i>
    <i>
      <x v="39"/>
      <x v="31"/>
    </i>
    <i>
      <x v="40"/>
      <x v="15"/>
    </i>
    <i>
      <x v="41"/>
      <x v="9"/>
    </i>
    <i>
      <x v="42"/>
      <x v="37"/>
    </i>
    <i>
      <x v="43"/>
      <x v="21"/>
    </i>
    <i>
      <x v="44"/>
      <x v="18"/>
    </i>
    <i>
      <x v="45"/>
      <x v="52"/>
    </i>
    <i>
      <x v="46"/>
      <x/>
    </i>
    <i>
      <x v="47"/>
      <x v="36"/>
    </i>
    <i>
      <x v="48"/>
      <x v="2"/>
    </i>
    <i>
      <x v="49"/>
      <x v="69"/>
    </i>
    <i>
      <x v="50"/>
      <x v="32"/>
    </i>
    <i>
      <x v="51"/>
      <x v="23"/>
    </i>
    <i>
      <x v="52"/>
      <x v="76"/>
    </i>
    <i>
      <x v="53"/>
      <x v="75"/>
    </i>
    <i>
      <x v="54"/>
      <x v="7"/>
    </i>
    <i>
      <x v="55"/>
      <x v="43"/>
    </i>
    <i>
      <x v="56"/>
      <x v="16"/>
    </i>
    <i>
      <x v="57"/>
      <x v="1"/>
    </i>
    <i>
      <x v="58"/>
      <x v="38"/>
    </i>
    <i>
      <x v="59"/>
      <x v="46"/>
    </i>
    <i>
      <x v="60"/>
      <x v="59"/>
    </i>
    <i>
      <x v="61"/>
      <x v="34"/>
    </i>
    <i>
      <x v="62"/>
      <x v="56"/>
    </i>
    <i>
      <x v="63"/>
      <x v="71"/>
    </i>
    <i>
      <x v="64"/>
      <x v="44"/>
    </i>
    <i>
      <x v="65"/>
      <x v="51"/>
    </i>
    <i>
      <x v="66"/>
      <x v="61"/>
    </i>
    <i>
      <x v="67"/>
      <x v="10"/>
    </i>
    <i>
      <x v="68"/>
      <x v="49"/>
    </i>
    <i>
      <x v="69"/>
      <x v="47"/>
    </i>
    <i>
      <x v="70"/>
      <x v="19"/>
    </i>
    <i>
      <x v="71"/>
      <x v="30"/>
    </i>
    <i>
      <x v="72"/>
      <x v="35"/>
    </i>
    <i>
      <x v="73"/>
      <x v="24"/>
    </i>
    <i>
      <x v="74"/>
      <x v="60"/>
    </i>
    <i>
      <x v="75"/>
      <x v="39"/>
    </i>
    <i>
      <x v="76"/>
      <x v="4"/>
    </i>
    <i>
      <x v="77"/>
      <x v="27"/>
    </i>
    <i>
      <x v="78"/>
      <x v="6"/>
    </i>
    <i>
      <x v="79"/>
      <x v="7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laDinámica1" cacheId="0" applyNumberFormats="0" applyBorderFormats="0" applyFontFormats="0" applyPatternFormats="0" applyAlignmentFormats="0" applyWidthHeightFormats="1" dataCaption="Valores" grandTotalCaption="Total " updatedVersion="8" minRefreshableVersion="5" showDrill="0" itemPrintTitles="1" createdVersion="7" indent="0" compact="0" compactData="0" multipleFieldFilters="0">
  <location ref="A14:E27" firstHeaderRow="0" firstDataRow="1" firstDataCol="2"/>
  <pivotFields count="27">
    <pivotField compact="0" outline="0" showAll="0" defaultSubtotal="0"/>
    <pivotField compact="0" outline="0" showAll="0" defaultSubtotal="0"/>
    <pivotField compact="0" outline="0" showAll="0" defaultSubtotal="0">
      <items count="44">
        <item m="1" x="41"/>
        <item x="38"/>
        <item x="37"/>
        <item x="36"/>
        <item x="39"/>
        <item m="1" x="42"/>
        <item m="1" x="40"/>
        <item x="35"/>
        <item x="34"/>
        <item x="33"/>
        <item x="32"/>
        <item x="31"/>
        <item x="29"/>
        <item m="1" x="43"/>
        <item x="30"/>
        <item x="28"/>
        <item x="27"/>
        <item x="25"/>
        <item x="26"/>
        <item x="21"/>
        <item x="24"/>
        <item x="23"/>
        <item x="22"/>
        <item x="20"/>
        <item x="19"/>
        <item x="18"/>
        <item x="17"/>
        <item x="16"/>
        <item x="15"/>
        <item x="14"/>
        <item x="13"/>
        <item x="12"/>
        <item x="10"/>
        <item x="11"/>
        <item x="9"/>
        <item x="8"/>
        <item x="7"/>
        <item x="6"/>
        <item x="5"/>
        <item x="4"/>
        <item x="3"/>
        <item x="2"/>
        <item x="1"/>
        <item x="0"/>
      </items>
    </pivotField>
    <pivotField compact="0" outline="0" showAll="0" defaultSubtotal="0"/>
    <pivotField compact="0" numFmtId="2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Motivo" axis="axisRow" dataField="1" compact="0" outline="0" showAll="0" sortType="descending" defaultSubtotal="0">
      <items count="18">
        <item x="0"/>
        <item x="7"/>
        <item x="16"/>
        <item x="1"/>
        <item x="10"/>
        <item x="6"/>
        <item x="2"/>
        <item x="13"/>
        <item x="4"/>
        <item x="9"/>
        <item x="5"/>
        <item m="1" x="17"/>
        <item x="14"/>
        <item x="15"/>
        <item x="12"/>
        <item x="3"/>
        <item x="8"/>
        <item x="11"/>
      </items>
      <autoSortScope>
        <pivotArea dataOnly="0" outline="0" fieldPosition="0">
          <references count="1">
            <reference field="4294967294" count="1" selected="0">
              <x v="1"/>
            </reference>
          </references>
        </pivotArea>
      </autoSortScope>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7">
        <item x="2"/>
        <item x="6"/>
        <item x="4"/>
        <item x="5"/>
        <item x="0"/>
        <item x="1"/>
        <item x="3"/>
      </items>
    </pivotField>
    <pivotField dataField="1" compact="0" outline="0" showAll="0" defaultSubtotal="0"/>
    <pivotField dataField="1" compact="0" outline="0" showAll="0" defaultSubtotal="0"/>
    <pivotField compact="0" outline="0" showAll="0" defaultSubtotal="0"/>
  </pivotFields>
  <rowFields count="2">
    <field x="17"/>
    <field x="23"/>
  </rowFields>
  <rowItems count="13">
    <i>
      <x v="16"/>
      <x v="4"/>
    </i>
    <i>
      <x v="3"/>
      <x v="2"/>
    </i>
    <i>
      <x/>
      <x v="2"/>
    </i>
    <i r="1">
      <x v="4"/>
    </i>
    <i>
      <x v="14"/>
      <x v="4"/>
    </i>
    <i>
      <x v="10"/>
      <x/>
    </i>
    <i r="1">
      <x v="2"/>
    </i>
    <i>
      <x v="5"/>
      <x v="3"/>
    </i>
    <i>
      <x v="1"/>
      <x v="4"/>
    </i>
    <i>
      <x v="9"/>
      <x v="3"/>
    </i>
    <i>
      <x v="4"/>
      <x/>
    </i>
    <i>
      <x v="17"/>
      <x/>
    </i>
    <i t="grand">
      <x/>
    </i>
  </rowItems>
  <colFields count="1">
    <field x="-2"/>
  </colFields>
  <colItems count="3">
    <i>
      <x/>
    </i>
    <i i="1">
      <x v="1"/>
    </i>
    <i i="2">
      <x v="2"/>
    </i>
  </colItems>
  <dataFields count="3">
    <dataField name="Eventos" fld="17" subtotal="count" baseField="0" baseItem="0"/>
    <dataField name="Cantidad(kg)" fld="24" baseField="17" baseItem="0"/>
    <dataField name="Cantidad(CLP)" fld="25" baseField="0" baseItem="0" numFmtId="43"/>
  </dataFields>
  <formats count="1">
    <format dxfId="11">
      <pivotArea outline="0" fieldPosition="0">
        <references count="1">
          <reference field="4294967294" count="1" selected="0">
            <x v="2"/>
          </reference>
        </references>
      </pivotArea>
    </format>
  </formats>
  <pivotTableStyleInfo name="PivotStyleLight16" showRowHeaders="1" showColHeaders="1" showRowStripes="0" showColStripes="0" showLastColumn="1"/>
  <filters count="2">
    <filter fld="2" type="dateBetween" evalOrder="-1" id="625" name="Fecha">
      <autoFilter ref="A1">
        <filterColumn colId="0">
          <customFilters and="1">
            <customFilter operator="greaterThanOrEqual" val="44805"/>
            <customFilter operator="lessThanOrEqual" val="44834"/>
          </customFilters>
        </filterColumn>
      </autoFilter>
      <extLst>
        <ext xmlns:x15="http://schemas.microsoft.com/office/spreadsheetml/2010/11/main" uri="{0605FD5F-26C8-4aeb-8148-2DB25E43C511}">
          <x15:pivotFilter useWholeDay="1"/>
        </ext>
      </extLst>
    </filter>
    <filter fld="4" type="dateBetween" evalOrder="-1" id="10" name="Hora">
      <autoFilter ref="A1">
        <filterColumn colId="0">
          <customFilters and="1">
            <customFilter operator="greaterThanOrEqual" val="122"/>
            <customFilter operator="lessThanOrEqual" val="15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TablaDinámica10" cacheId="0" applyNumberFormats="0" applyBorderFormats="0" applyFontFormats="0" applyPatternFormats="0" applyAlignmentFormats="0" applyWidthHeightFormats="1" dataCaption="Valores" updatedVersion="8" minRefreshableVersion="5" useAutoFormatting="1" itemPrintTitles="1" createdVersion="7" indent="0" outline="1" outlineData="1" multipleFieldFilters="0" chartFormat="13" rowHeaderCaption="Tipo de evento">
  <location ref="A105:B108" firstHeaderRow="1" firstDataRow="1" firstDataCol="1"/>
  <pivotFields count="27">
    <pivotField showAll="0"/>
    <pivotField showAll="0"/>
    <pivotField numFmtId="165" showAll="0">
      <items count="45">
        <item m="1" x="41"/>
        <item x="38"/>
        <item x="37"/>
        <item x="36"/>
        <item x="39"/>
        <item m="1" x="42"/>
        <item m="1" x="40"/>
        <item x="35"/>
        <item x="34"/>
        <item x="33"/>
        <item x="32"/>
        <item x="31"/>
        <item x="29"/>
        <item m="1" x="43"/>
        <item x="30"/>
        <item x="28"/>
        <item x="27"/>
        <item x="25"/>
        <item x="26"/>
        <item x="21"/>
        <item x="24"/>
        <item x="23"/>
        <item x="22"/>
        <item x="20"/>
        <item x="19"/>
        <item x="18"/>
        <item x="17"/>
        <item x="16"/>
        <item x="15"/>
        <item x="14"/>
        <item x="13"/>
        <item x="12"/>
        <item x="10"/>
        <item x="11"/>
        <item x="9"/>
        <item x="8"/>
        <item x="7"/>
        <item x="6"/>
        <item x="5"/>
        <item x="4"/>
        <item x="3"/>
        <item x="2"/>
        <item x="1"/>
        <item x="0"/>
        <item t="default"/>
      </items>
    </pivotField>
    <pivotField showAll="0"/>
    <pivotField numFmtId="20" showAll="0"/>
    <pivotField showAll="0"/>
    <pivotField showAll="0"/>
    <pivotField showAll="0"/>
    <pivotField showAll="0"/>
    <pivotField showAll="0"/>
    <pivotField showAll="0"/>
    <pivotField axis="axisRow" dataField="1" showAll="0">
      <items count="4">
        <item x="1"/>
        <item x="0"/>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3">
    <i>
      <x/>
    </i>
    <i>
      <x v="1"/>
    </i>
    <i t="grand">
      <x/>
    </i>
  </rowItems>
  <colItems count="1">
    <i/>
  </colItems>
  <dataFields count="1">
    <dataField name="Eventos" fld="11"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1" count="1" selected="0">
            <x v="0"/>
          </reference>
        </references>
      </pivotArea>
    </chartFormat>
    <chartFormat chart="0" format="2">
      <pivotArea type="data" outline="0" fieldPosition="0">
        <references count="2">
          <reference field="4294967294" count="1" selected="0">
            <x v="0"/>
          </reference>
          <reference field="11" count="1" selected="0">
            <x v="1"/>
          </reference>
        </references>
      </pivotArea>
    </chartFormat>
    <chartFormat chart="0" format="3">
      <pivotArea type="data" outline="0" fieldPosition="0">
        <references count="2">
          <reference field="4294967294" count="1" selected="0">
            <x v="0"/>
          </reference>
          <reference field="11" count="1" selected="0">
            <x v="2"/>
          </reference>
        </references>
      </pivotArea>
    </chartFormat>
  </chartFormats>
  <pivotTableStyleInfo showRowHeaders="1" showColHeaders="1" showRowStripes="0" showColStripes="0" showLastColumn="1"/>
  <filters count="1">
    <filter fld="2" type="dateBetween" evalOrder="-1" id="162" name="Fecha">
      <autoFilter ref="A1">
        <filterColumn colId="0">
          <customFilters and="1">
            <customFilter operator="greaterThanOrEqual" val="44805"/>
            <customFilter operator="lessThanOrEqual" val="4483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900-000006000000}" name="TablaDinámica6" cacheId="0" applyNumberFormats="0" applyBorderFormats="0" applyFontFormats="0" applyPatternFormats="0" applyAlignmentFormats="0" applyWidthHeightFormats="1" dataCaption="Valores" grandTotalCaption="Total " updatedVersion="8" minRefreshableVersion="5" showDrill="0" itemPrintTitles="1" createdVersion="7" indent="0" compact="0" compactData="0" multipleFieldFilters="0">
  <location ref="M7:S23" firstHeaderRow="0" firstDataRow="1" firstDataCol="4"/>
  <pivotFields count="27">
    <pivotField compact="0" outline="0" showAll="0" defaultSubtotal="0"/>
    <pivotField compact="0" outline="0" showAll="0" defaultSubtotal="0"/>
    <pivotField compact="0" outline="0" showAll="0" defaultSubtotal="0">
      <items count="44">
        <item m="1" x="41"/>
        <item x="38"/>
        <item x="37"/>
        <item x="36"/>
        <item x="39"/>
        <item m="1" x="42"/>
        <item m="1" x="40"/>
        <item x="35"/>
        <item x="34"/>
        <item x="33"/>
        <item x="32"/>
        <item x="31"/>
        <item x="29"/>
        <item m="1" x="43"/>
        <item x="30"/>
        <item x="28"/>
        <item x="27"/>
        <item x="25"/>
        <item x="26"/>
        <item x="21"/>
        <item x="24"/>
        <item x="23"/>
        <item x="22"/>
        <item x="20"/>
        <item x="19"/>
        <item x="18"/>
        <item x="17"/>
        <item x="16"/>
        <item x="15"/>
        <item x="14"/>
        <item x="13"/>
        <item x="12"/>
        <item x="10"/>
        <item x="11"/>
        <item x="9"/>
        <item x="8"/>
        <item x="7"/>
        <item x="6"/>
        <item x="5"/>
        <item x="4"/>
        <item x="3"/>
        <item x="2"/>
        <item x="1"/>
        <item x="0"/>
      </items>
    </pivotField>
    <pivotField compact="0" outline="0" showAll="0" defaultSubtotal="0"/>
    <pivotField compact="0" numFmtId="2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53">
        <item x="45"/>
        <item x="37"/>
        <item x="48"/>
        <item x="40"/>
        <item x="9"/>
        <item x="17"/>
        <item x="36"/>
        <item x="47"/>
        <item x="51"/>
        <item x="27"/>
        <item x="35"/>
        <item x="38"/>
        <item x="39"/>
        <item x="28"/>
        <item x="50"/>
        <item x="44"/>
        <item x="42"/>
        <item x="43"/>
        <item x="46"/>
        <item x="33"/>
        <item x="49"/>
        <item x="41"/>
        <item x="34"/>
        <item m="1" x="52"/>
        <item x="23"/>
        <item x="24"/>
        <item x="25"/>
        <item x="26"/>
        <item x="29"/>
        <item x="30"/>
        <item x="31"/>
        <item x="32"/>
        <item x="0"/>
        <item x="1"/>
        <item x="2"/>
        <item x="3"/>
        <item x="4"/>
        <item x="5"/>
        <item x="6"/>
        <item x="7"/>
        <item x="8"/>
        <item x="10"/>
        <item x="11"/>
        <item x="12"/>
        <item x="13"/>
        <item x="14"/>
        <item x="15"/>
        <item x="16"/>
        <item x="18"/>
        <item x="19"/>
        <item x="20"/>
        <item x="21"/>
        <item x="22"/>
      </items>
    </pivotField>
    <pivotField compact="0" outline="0" showAll="0" defaultSubtotal="0"/>
    <pivotField compact="0" outline="0" showAll="0" defaultSubtotal="0"/>
    <pivotField name="Motivo" axis="axisRow" dataField="1" compact="0" outline="0" showAll="0" sortType="descending" defaultSubtotal="0">
      <items count="18">
        <item x="0"/>
        <item x="7"/>
        <item x="16"/>
        <item x="1"/>
        <item x="10"/>
        <item x="6"/>
        <item x="2"/>
        <item x="13"/>
        <item x="4"/>
        <item x="9"/>
        <item x="5"/>
        <item m="1" x="17"/>
        <item x="14"/>
        <item x="15"/>
        <item x="12"/>
        <item x="3"/>
        <item x="8"/>
        <item x="11"/>
      </items>
      <autoSortScope>
        <pivotArea dataOnly="0" outline="0" fieldPosition="0">
          <references count="1">
            <reference field="4294967294" count="1" selected="0">
              <x v="1"/>
            </reference>
          </references>
        </pivotArea>
      </autoSortScope>
    </pivotField>
    <pivotField axis="axisRow" compact="0" outline="0" showAll="0" defaultSubtotal="0">
      <items count="70">
        <item x="64"/>
        <item x="63"/>
        <item x="47"/>
        <item x="65"/>
        <item x="48"/>
        <item x="49"/>
        <item x="50"/>
        <item x="54"/>
        <item x="55"/>
        <item x="45"/>
        <item x="66"/>
        <item x="67"/>
        <item x="60"/>
        <item x="44"/>
        <item x="52"/>
        <item x="46"/>
        <item x="68"/>
        <item x="53"/>
        <item x="59"/>
        <item x="56"/>
        <item x="57"/>
        <item x="58"/>
        <item x="62"/>
        <item x="51"/>
        <item x="61"/>
        <item m="1" x="69"/>
        <item x="27"/>
        <item x="28"/>
        <item x="29"/>
        <item x="30"/>
        <item x="31"/>
        <item x="32"/>
        <item x="33"/>
        <item x="34"/>
        <item x="35"/>
        <item x="36"/>
        <item x="37"/>
        <item x="38"/>
        <item x="39"/>
        <item x="40"/>
        <item x="41"/>
        <item x="42"/>
        <item x="43"/>
        <item x="0"/>
        <item x="1"/>
        <item x="2"/>
        <item x="3"/>
        <item x="4"/>
        <item x="5"/>
        <item x="6"/>
        <item x="7"/>
        <item x="8"/>
        <item x="9"/>
        <item x="10"/>
        <item x="11"/>
        <item x="12"/>
        <item x="13"/>
        <item x="14"/>
        <item x="15"/>
        <item x="16"/>
        <item x="17"/>
        <item x="18"/>
        <item x="19"/>
        <item x="20"/>
        <item x="21"/>
        <item x="22"/>
        <item x="23"/>
        <item x="24"/>
        <item x="25"/>
        <item x="26"/>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7">
        <item x="2"/>
        <item x="6"/>
        <item x="4"/>
        <item x="5"/>
        <item x="0"/>
        <item x="1"/>
        <item x="3"/>
      </items>
    </pivotField>
    <pivotField dataField="1" compact="0" outline="0" showAll="0" defaultSubtotal="0"/>
    <pivotField dataField="1" compact="0" outline="0" showAll="0" defaultSubtotal="0"/>
    <pivotField compact="0" outline="0" showAll="0" defaultSubtotal="0"/>
  </pivotFields>
  <rowFields count="4">
    <field x="17"/>
    <field x="23"/>
    <field x="18"/>
    <field x="14"/>
  </rowFields>
  <rowItems count="16">
    <i>
      <x v="16"/>
      <x v="4"/>
      <x v="63"/>
      <x v="4"/>
    </i>
    <i>
      <x v="3"/>
      <x v="2"/>
      <x v="62"/>
      <x v="46"/>
    </i>
    <i>
      <x/>
      <x v="2"/>
      <x v="61"/>
      <x v="32"/>
    </i>
    <i r="1">
      <x v="4"/>
      <x v="64"/>
      <x v="47"/>
    </i>
    <i>
      <x v="14"/>
      <x v="4"/>
      <x v="69"/>
      <x v="52"/>
    </i>
    <i>
      <x v="10"/>
      <x/>
      <x v="42"/>
      <x v="19"/>
    </i>
    <i r="2">
      <x v="57"/>
      <x v="43"/>
    </i>
    <i r="1">
      <x v="2"/>
      <x v="58"/>
      <x v="44"/>
    </i>
    <i>
      <x v="5"/>
      <x v="3"/>
      <x v="59"/>
      <x v="32"/>
    </i>
    <i>
      <x v="1"/>
      <x v="4"/>
      <x v="60"/>
      <x v="45"/>
    </i>
    <i>
      <x v="9"/>
      <x v="3"/>
      <x v="65"/>
      <x v="5"/>
    </i>
    <i r="2">
      <x v="66"/>
      <x v="48"/>
    </i>
    <i>
      <x v="4"/>
      <x/>
      <x v="53"/>
      <x v="50"/>
    </i>
    <i r="2">
      <x v="67"/>
      <x v="49"/>
    </i>
    <i>
      <x v="17"/>
      <x/>
      <x v="68"/>
      <x v="51"/>
    </i>
    <i t="grand">
      <x/>
    </i>
  </rowItems>
  <colFields count="1">
    <field x="-2"/>
  </colFields>
  <colItems count="3">
    <i>
      <x/>
    </i>
    <i i="1">
      <x v="1"/>
    </i>
    <i i="2">
      <x v="2"/>
    </i>
  </colItems>
  <dataFields count="3">
    <dataField name="Eventos" fld="17" subtotal="count" baseField="0" baseItem="0"/>
    <dataField name="Cantidad(kg)" fld="24" baseField="17" baseItem="0"/>
    <dataField name="Cantidad(CLP)" fld="25" baseField="0" baseItem="0"/>
  </dataFields>
  <pivotTableStyleInfo name="PivotStyleDark2" showRowHeaders="1" showColHeaders="1" showRowStripes="0" showColStripes="0" showLastColumn="1"/>
  <filters count="2">
    <filter fld="2" type="dateBetween" evalOrder="-1" id="625" name="Fecha">
      <autoFilter ref="A1">
        <filterColumn colId="0">
          <customFilters and="1">
            <customFilter operator="greaterThanOrEqual" val="44805"/>
            <customFilter operator="lessThanOrEqual" val="44834"/>
          </customFilters>
        </filterColumn>
      </autoFilter>
      <extLst>
        <ext xmlns:x15="http://schemas.microsoft.com/office/spreadsheetml/2010/11/main" uri="{0605FD5F-26C8-4aeb-8148-2DB25E43C511}">
          <x15:pivotFilter useWholeDay="1"/>
        </ext>
      </extLst>
    </filter>
    <filter fld="4" type="dateBetween" evalOrder="-1" id="10" name="Hora">
      <autoFilter ref="A1">
        <filterColumn colId="0">
          <customFilters and="1">
            <customFilter operator="greaterThanOrEqual" val="122"/>
            <customFilter operator="lessThanOrEqual" val="15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900-000002000000}" name="TablaDinámica2" cacheId="0" applyNumberFormats="0" applyBorderFormats="0" applyFontFormats="0" applyPatternFormats="0" applyAlignmentFormats="0" applyWidthHeightFormats="1" dataCaption="Valores" grandTotalCaption="Total" updatedVersion="8" minRefreshableVersion="5" itemPrintTitles="1" createdVersion="7" indent="0" outline="1" outlineData="1" multipleFieldFilters="0" rowHeaderCaption="Encargado">
  <location ref="A29:D43" firstHeaderRow="0" firstDataRow="1" firstDataCol="1"/>
  <pivotFields count="27">
    <pivotField showAll="0"/>
    <pivotField showAll="0"/>
    <pivotField showAll="0">
      <items count="45">
        <item m="1" x="41"/>
        <item x="38"/>
        <item x="37"/>
        <item x="36"/>
        <item x="39"/>
        <item m="1" x="42"/>
        <item m="1" x="40"/>
        <item x="35"/>
        <item x="34"/>
        <item x="33"/>
        <item x="32"/>
        <item x="31"/>
        <item x="29"/>
        <item m="1" x="43"/>
        <item x="30"/>
        <item x="28"/>
        <item x="27"/>
        <item x="25"/>
        <item x="26"/>
        <item x="21"/>
        <item x="24"/>
        <item x="23"/>
        <item x="22"/>
        <item x="20"/>
        <item x="19"/>
        <item x="18"/>
        <item x="17"/>
        <item x="16"/>
        <item x="15"/>
        <item x="14"/>
        <item x="13"/>
        <item x="12"/>
        <item x="10"/>
        <item x="11"/>
        <item x="9"/>
        <item x="8"/>
        <item x="7"/>
        <item x="6"/>
        <item x="5"/>
        <item x="4"/>
        <item x="3"/>
        <item x="2"/>
        <item x="1"/>
        <item x="0"/>
        <item t="default"/>
      </items>
    </pivotField>
    <pivotField showAll="0"/>
    <pivotField numFmtId="20" showAll="0"/>
    <pivotField showAll="0"/>
    <pivotField showAll="0"/>
    <pivotField showAll="0"/>
    <pivotField showAll="0"/>
    <pivotField showAll="0"/>
    <pivotField axis="axisRow" dataField="1" showAll="0" sortType="descending">
      <items count="52">
        <item x="15"/>
        <item x="48"/>
        <item x="27"/>
        <item m="1" x="50"/>
        <item x="28"/>
        <item x="46"/>
        <item x="47"/>
        <item x="45"/>
        <item x="41"/>
        <item x="42"/>
        <item x="43"/>
        <item x="44"/>
        <item x="29"/>
        <item x="40"/>
        <item x="33"/>
        <item x="34"/>
        <item x="35"/>
        <item x="36"/>
        <item x="37"/>
        <item x="38"/>
        <item x="39"/>
        <item m="1" x="49"/>
        <item x="23"/>
        <item x="24"/>
        <item x="25"/>
        <item x="26"/>
        <item x="3"/>
        <item x="10"/>
        <item x="30"/>
        <item x="31"/>
        <item x="17"/>
        <item x="32"/>
        <item x="0"/>
        <item x="1"/>
        <item x="2"/>
        <item x="4"/>
        <item x="5"/>
        <item x="6"/>
        <item x="7"/>
        <item x="8"/>
        <item x="9"/>
        <item x="11"/>
        <item x="12"/>
        <item x="13"/>
        <item x="14"/>
        <item x="16"/>
        <item x="18"/>
        <item x="19"/>
        <item x="20"/>
        <item x="21"/>
        <item x="22"/>
        <item t="default"/>
      </items>
      <autoSortScope>
        <pivotArea dataOnly="0" outline="0" fieldPosition="0">
          <references count="1">
            <reference field="4294967294" count="1" selected="0">
              <x v="1"/>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s>
  <rowFields count="1">
    <field x="10"/>
  </rowFields>
  <rowItems count="14">
    <i>
      <x v="30"/>
    </i>
    <i>
      <x v="45"/>
    </i>
    <i>
      <x/>
    </i>
    <i>
      <x v="50"/>
    </i>
    <i>
      <x v="36"/>
    </i>
    <i>
      <x v="46"/>
    </i>
    <i>
      <x v="43"/>
    </i>
    <i>
      <x v="44"/>
    </i>
    <i>
      <x v="47"/>
    </i>
    <i>
      <x v="41"/>
    </i>
    <i>
      <x v="31"/>
    </i>
    <i>
      <x v="49"/>
    </i>
    <i>
      <x v="48"/>
    </i>
    <i t="grand">
      <x/>
    </i>
  </rowItems>
  <colFields count="1">
    <field x="-2"/>
  </colFields>
  <colItems count="3">
    <i>
      <x/>
    </i>
    <i i="1">
      <x v="1"/>
    </i>
    <i i="2">
      <x v="2"/>
    </i>
  </colItems>
  <dataFields count="3">
    <dataField name="Eventos" fld="10" subtotal="count" baseField="0" baseItem="0"/>
    <dataField name="Cantidad(kg)" fld="24" baseField="10" baseItem="0" numFmtId="167"/>
    <dataField name="Cantidad(CLP)" fld="25" baseField="10" baseItem="0" numFmtId="168"/>
  </dataFields>
  <formats count="20">
    <format dxfId="31">
      <pivotArea type="all" dataOnly="0" outline="0" fieldPosition="0"/>
    </format>
    <format dxfId="30">
      <pivotArea outline="0" collapsedLevelsAreSubtotals="1" fieldPosition="0"/>
    </format>
    <format dxfId="29">
      <pivotArea field="10" type="button" dataOnly="0" labelOnly="1" outline="0" axis="axisRow" fieldPosition="0"/>
    </format>
    <format dxfId="28">
      <pivotArea dataOnly="0" labelOnly="1" fieldPosition="0">
        <references count="1">
          <reference field="10" count="0"/>
        </references>
      </pivotArea>
    </format>
    <format dxfId="27">
      <pivotArea dataOnly="0" labelOnly="1" grandRow="1" outline="0" fieldPosition="0"/>
    </format>
    <format dxfId="26">
      <pivotArea dataOnly="0" labelOnly="1" outline="0" fieldPosition="0">
        <references count="1">
          <reference field="4294967294" count="3">
            <x v="0"/>
            <x v="1"/>
            <x v="2"/>
          </reference>
        </references>
      </pivotArea>
    </format>
    <format dxfId="25">
      <pivotArea dataOnly="0" labelOnly="1" outline="0" fieldPosition="0">
        <references count="1">
          <reference field="4294967294" count="1">
            <x v="1"/>
          </reference>
        </references>
      </pivotArea>
    </format>
    <format dxfId="24">
      <pivotArea dataOnly="0" labelOnly="1" outline="0" fieldPosition="0">
        <references count="1">
          <reference field="4294967294" count="1">
            <x v="2"/>
          </reference>
        </references>
      </pivotArea>
    </format>
    <format dxfId="23">
      <pivotArea dataOnly="0" labelOnly="1" outline="0" fieldPosition="0">
        <references count="1">
          <reference field="4294967294" count="1">
            <x v="0"/>
          </reference>
        </references>
      </pivotArea>
    </format>
    <format dxfId="22">
      <pivotArea collapsedLevelsAreSubtotals="1" fieldPosition="0">
        <references count="2">
          <reference field="4294967294" count="1" selected="0">
            <x v="2"/>
          </reference>
          <reference field="10" count="0"/>
        </references>
      </pivotArea>
    </format>
    <format dxfId="21">
      <pivotArea collapsedLevelsAreSubtotals="1" fieldPosition="0">
        <references count="2">
          <reference field="4294967294" count="1" selected="0">
            <x v="1"/>
          </reference>
          <reference field="10" count="0"/>
        </references>
      </pivotArea>
    </format>
    <format dxfId="20">
      <pivotArea field="10" type="button" dataOnly="0" labelOnly="1" outline="0" axis="axisRow" fieldPosition="0"/>
    </format>
    <format dxfId="19">
      <pivotArea dataOnly="0" labelOnly="1" outline="0" fieldPosition="0">
        <references count="1">
          <reference field="4294967294" count="3">
            <x v="0"/>
            <x v="1"/>
            <x v="2"/>
          </reference>
        </references>
      </pivotArea>
    </format>
    <format dxfId="18">
      <pivotArea dataOnly="0" labelOnly="1" outline="0" fieldPosition="0">
        <references count="1">
          <reference field="4294967294" count="3">
            <x v="0"/>
            <x v="1"/>
            <x v="2"/>
          </reference>
        </references>
      </pivotArea>
    </format>
    <format dxfId="17">
      <pivotArea field="10" grandRow="1" outline="0" collapsedLevelsAreSubtotals="1" axis="axisRow" fieldPosition="0">
        <references count="1">
          <reference field="4294967294" count="2" selected="0">
            <x v="1"/>
            <x v="2"/>
          </reference>
        </references>
      </pivotArea>
    </format>
    <format dxfId="16">
      <pivotArea outline="0" collapsedLevelsAreSubtotals="1" fieldPosition="0">
        <references count="1">
          <reference field="4294967294" count="1" selected="0">
            <x v="1"/>
          </reference>
        </references>
      </pivotArea>
    </format>
    <format dxfId="15">
      <pivotArea collapsedLevelsAreSubtotals="1" fieldPosition="0">
        <references count="2">
          <reference field="4294967294" count="1" selected="0">
            <x v="2"/>
          </reference>
          <reference field="10" count="8">
            <x v="8"/>
            <x v="13"/>
            <x v="15"/>
            <x v="16"/>
            <x v="17"/>
            <x v="18"/>
            <x v="19"/>
            <x v="20"/>
          </reference>
        </references>
      </pivotArea>
    </format>
    <format dxfId="14">
      <pivotArea field="10" grandRow="1" outline="0" collapsedLevelsAreSubtotals="1" axis="axisRow" fieldPosition="0">
        <references count="1">
          <reference field="4294967294" count="1" selected="0">
            <x v="2"/>
          </reference>
        </references>
      </pivotArea>
    </format>
    <format dxfId="13">
      <pivotArea outline="0" collapsedLevelsAreSubtotals="1" fieldPosition="0">
        <references count="1">
          <reference field="4294967294" count="1" selected="0">
            <x v="2"/>
          </reference>
        </references>
      </pivotArea>
    </format>
    <format dxfId="12">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filters count="1">
    <filter fld="2" type="dateBetween" evalOrder="-1" id="614" name="Fecha">
      <autoFilter ref="A1">
        <filterColumn colId="0">
          <customFilters and="1">
            <customFilter operator="greaterThanOrEqual" val="44805"/>
            <customFilter operator="lessThanOrEqual" val="4483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900-000007000000}" name="TablaDinámica8" cacheId="0" applyNumberFormats="0" applyBorderFormats="0" applyFontFormats="0" applyPatternFormats="0" applyAlignmentFormats="0" applyWidthHeightFormats="1" dataCaption="Valores" updatedVersion="8" minRefreshableVersion="5" showDrill="0" useAutoFormatting="1" rowGrandTotals="0" colGrandTotals="0" itemPrintTitles="1" createdVersion="7" indent="0" showHeaders="0" outline="1" outlineData="1" multipleFieldFilters="0" rowHeaderCaption="Mes">
  <location ref="I16:I23" firstHeaderRow="0" firstDataRow="0" firstDataCol="1"/>
  <pivotFields count="27">
    <pivotField showAll="0"/>
    <pivotField showAll="0"/>
    <pivotField axis="axisRow" numFmtId="165" showAll="0">
      <items count="45">
        <item x="37"/>
        <item x="39"/>
        <item m="1" x="42"/>
        <item m="1" x="40"/>
        <item m="1" x="43"/>
        <item x="36"/>
        <item x="38"/>
        <item m="1" x="41"/>
        <item x="32"/>
        <item x="33"/>
        <item x="34"/>
        <item x="21"/>
        <item x="35"/>
        <item x="26"/>
        <item x="27"/>
        <item x="28"/>
        <item x="29"/>
        <item x="30"/>
        <item x="31"/>
        <item x="18"/>
        <item x="19"/>
        <item x="20"/>
        <item x="22"/>
        <item x="23"/>
        <item x="24"/>
        <item x="25"/>
        <item x="15"/>
        <item x="0"/>
        <item x="1"/>
        <item x="2"/>
        <item x="3"/>
        <item x="4"/>
        <item x="5"/>
        <item x="6"/>
        <item x="7"/>
        <item x="8"/>
        <item x="9"/>
        <item x="10"/>
        <item x="11"/>
        <item x="12"/>
        <item x="13"/>
        <item x="14"/>
        <item x="16"/>
        <item x="17"/>
        <item t="default"/>
      </items>
    </pivotField>
    <pivotField showAll="0"/>
    <pivotField numFmtId="20"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8">
    <i>
      <x v="26"/>
    </i>
    <i>
      <x v="37"/>
    </i>
    <i>
      <x v="38"/>
    </i>
    <i>
      <x v="39"/>
    </i>
    <i>
      <x v="40"/>
    </i>
    <i>
      <x v="41"/>
    </i>
    <i>
      <x v="42"/>
    </i>
    <i>
      <x v="43"/>
    </i>
  </rowItems>
  <colItems count="1">
    <i/>
  </colItems>
  <formats count="7">
    <format dxfId="38">
      <pivotArea field="2" type="button" dataOnly="0" labelOnly="1" outline="0" axis="axisRow" fieldPosition="0"/>
    </format>
    <format dxfId="37">
      <pivotArea type="all" dataOnly="0" outline="0" fieldPosition="0"/>
    </format>
    <format dxfId="36">
      <pivotArea field="2" type="button" dataOnly="0" labelOnly="1" outline="0" axis="axisRow" fieldPosition="0"/>
    </format>
    <format dxfId="35">
      <pivotArea dataOnly="0" labelOnly="1" fieldPosition="0">
        <references count="1">
          <reference field="2" count="0"/>
        </references>
      </pivotArea>
    </format>
    <format dxfId="34">
      <pivotArea type="all" dataOnly="0" outline="0" fieldPosition="0"/>
    </format>
    <format dxfId="33">
      <pivotArea field="2" type="button" dataOnly="0" labelOnly="1" outline="0" axis="axisRow" fieldPosition="0"/>
    </format>
    <format dxfId="32">
      <pivotArea dataOnly="0" labelOnly="1" fieldPosition="0">
        <references count="1">
          <reference field="2" count="0"/>
        </references>
      </pivotArea>
    </format>
  </formats>
  <pivotTableStyleInfo name="Estilo de tabla dinámica 1" showRowHeaders="1" showColHeaders="1" showRowStripes="0" showColStripes="0" showLastColumn="1"/>
  <filters count="1">
    <filter fld="2" type="dateBetween" evalOrder="-1" id="599" name="Fecha">
      <autoFilter ref="A1">
        <filterColumn colId="0">
          <customFilters and="1">
            <customFilter operator="greaterThanOrEqual" val="44805"/>
            <customFilter operator="lessThanOrEqual" val="4483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900-000004000000}" name="TablaDinámica4" cacheId="0" applyNumberFormats="0" applyBorderFormats="0" applyFontFormats="0" applyPatternFormats="0" applyAlignmentFormats="0" applyWidthHeightFormats="1" dataCaption="Valores" grandTotalCaption="Total" updatedVersion="8" minRefreshableVersion="5" itemPrintTitles="1" createdVersion="7" indent="0" outline="1" outlineData="1" multipleFieldFilters="0" rowHeaderCaption="PT/SE/MP/ME">
  <location ref="A54:D69" firstHeaderRow="0" firstDataRow="1" firstDataCol="1"/>
  <pivotFields count="27">
    <pivotField showAll="0"/>
    <pivotField showAll="0"/>
    <pivotField showAll="0">
      <items count="41">
        <item x="38"/>
        <item x="37"/>
        <item x="36"/>
        <item x="39"/>
        <item x="35"/>
        <item x="34"/>
        <item x="33"/>
        <item x="32"/>
        <item x="31"/>
        <item x="29"/>
        <item x="30"/>
        <item x="28"/>
        <item x="27"/>
        <item x="25"/>
        <item x="26"/>
        <item x="21"/>
        <item x="24"/>
        <item x="23"/>
        <item x="22"/>
        <item x="20"/>
        <item x="19"/>
        <item x="18"/>
        <item x="17"/>
        <item x="16"/>
        <item x="15"/>
        <item x="14"/>
        <item x="13"/>
        <item x="12"/>
        <item x="10"/>
        <item x="11"/>
        <item x="9"/>
        <item x="8"/>
        <item x="7"/>
        <item x="6"/>
        <item x="5"/>
        <item x="4"/>
        <item x="3"/>
        <item x="2"/>
        <item x="1"/>
        <item x="0"/>
        <item t="default"/>
      </items>
    </pivotField>
    <pivotField showAll="0"/>
    <pivotField numFmtId="20" showAll="0"/>
    <pivotField showAll="0"/>
    <pivotField showAll="0"/>
    <pivotField showAll="0"/>
    <pivotField showAll="0"/>
    <pivotField showAll="0"/>
    <pivotField showAll="0"/>
    <pivotField showAll="0"/>
    <pivotField showAll="0"/>
    <pivotField showAll="0"/>
    <pivotField axis="axisRow" dataField="1" showAll="0" sortType="descending">
      <items count="54">
        <item x="49"/>
        <item x="50"/>
        <item x="27"/>
        <item x="51"/>
        <item x="48"/>
        <item x="43"/>
        <item x="44"/>
        <item x="33"/>
        <item x="45"/>
        <item x="46"/>
        <item x="39"/>
        <item x="36"/>
        <item x="47"/>
        <item x="42"/>
        <item x="9"/>
        <item x="40"/>
        <item x="41"/>
        <item x="34"/>
        <item x="28"/>
        <item x="17"/>
        <item x="35"/>
        <item x="37"/>
        <item x="38"/>
        <item m="1" x="52"/>
        <item x="23"/>
        <item x="24"/>
        <item x="25"/>
        <item x="26"/>
        <item x="29"/>
        <item x="30"/>
        <item x="31"/>
        <item x="32"/>
        <item x="0"/>
        <item x="1"/>
        <item x="2"/>
        <item x="3"/>
        <item x="4"/>
        <item x="5"/>
        <item x="6"/>
        <item x="7"/>
        <item x="8"/>
        <item x="10"/>
        <item x="11"/>
        <item x="12"/>
        <item x="13"/>
        <item x="14"/>
        <item x="15"/>
        <item x="16"/>
        <item x="18"/>
        <item x="19"/>
        <item x="20"/>
        <item x="21"/>
        <item x="22"/>
        <item t="default"/>
      </items>
      <autoSortScope>
        <pivotArea dataOnly="0" outline="0" fieldPosition="0">
          <references count="1">
            <reference field="4294967294" count="1" selected="0">
              <x v="1"/>
            </reference>
          </references>
        </pivotArea>
      </autoSortScope>
    </pivotField>
    <pivotField showAll="0"/>
    <pivotField showAll="0"/>
    <pivotField showAll="0"/>
    <pivotField showAll="0"/>
    <pivotField showAll="0"/>
    <pivotField showAll="0"/>
    <pivotField showAll="0"/>
    <pivotField showAll="0"/>
    <pivotField showAll="0"/>
    <pivotField dataField="1" showAll="0"/>
    <pivotField dataField="1" showAll="0"/>
    <pivotField showAll="0"/>
  </pivotFields>
  <rowFields count="1">
    <field x="14"/>
  </rowFields>
  <rowItems count="15">
    <i>
      <x v="14"/>
    </i>
    <i>
      <x v="46"/>
    </i>
    <i>
      <x v="32"/>
    </i>
    <i>
      <x v="52"/>
    </i>
    <i>
      <x v="44"/>
    </i>
    <i>
      <x v="47"/>
    </i>
    <i>
      <x v="45"/>
    </i>
    <i>
      <x v="19"/>
    </i>
    <i>
      <x v="43"/>
    </i>
    <i>
      <x v="7"/>
    </i>
    <i>
      <x v="50"/>
    </i>
    <i>
      <x v="49"/>
    </i>
    <i>
      <x v="48"/>
    </i>
    <i>
      <x v="51"/>
    </i>
    <i t="grand">
      <x/>
    </i>
  </rowItems>
  <colFields count="1">
    <field x="-2"/>
  </colFields>
  <colItems count="3">
    <i>
      <x/>
    </i>
    <i i="1">
      <x v="1"/>
    </i>
    <i i="2">
      <x v="2"/>
    </i>
  </colItems>
  <dataFields count="3">
    <dataField name="Eventos" fld="14" subtotal="count" baseField="0" baseItem="0"/>
    <dataField name="Cantidad(kg)" fld="24" baseField="14" baseItem="0"/>
    <dataField name="Cantidad(CLP)" fld="25" baseField="14" baseItem="0" numFmtId="43"/>
  </dataFields>
  <formats count="1">
    <format dxfId="39">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filters count="1">
    <filter fld="2" type="dateBetween" evalOrder="-1" id="614" name="Fecha">
      <autoFilter ref="A1">
        <filterColumn colId="0">
          <customFilters and="1">
            <customFilter operator="greaterThanOrEqual" val="44805"/>
            <customFilter operator="lessThanOrEqual" val="4483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900-000003000000}" name="TablaDinámica3" cacheId="0" applyNumberFormats="0" applyBorderFormats="0" applyFontFormats="0" applyPatternFormats="0" applyAlignmentFormats="0" applyWidthHeightFormats="1" dataCaption="Valores" grandTotalCaption="Total" updatedVersion="8" minRefreshableVersion="5" itemPrintTitles="1" createdVersion="7" indent="0" outline="1" outlineData="1" multipleFieldFilters="0" chartFormat="1" rowHeaderCaption="Destino">
  <location ref="A46:D51" firstHeaderRow="0" firstDataRow="1" firstDataCol="1"/>
  <pivotFields count="27">
    <pivotField showAll="0"/>
    <pivotField showAll="0"/>
    <pivotField showAll="0">
      <items count="45">
        <item m="1" x="41"/>
        <item x="38"/>
        <item x="37"/>
        <item x="36"/>
        <item x="39"/>
        <item m="1" x="42"/>
        <item m="1" x="40"/>
        <item x="35"/>
        <item x="34"/>
        <item x="33"/>
        <item x="32"/>
        <item x="31"/>
        <item x="29"/>
        <item m="1" x="43"/>
        <item x="30"/>
        <item x="28"/>
        <item x="27"/>
        <item x="25"/>
        <item x="26"/>
        <item x="21"/>
        <item x="24"/>
        <item x="23"/>
        <item x="22"/>
        <item x="20"/>
        <item x="19"/>
        <item x="18"/>
        <item x="17"/>
        <item x="16"/>
        <item x="15"/>
        <item x="14"/>
        <item x="13"/>
        <item x="12"/>
        <item x="10"/>
        <item x="11"/>
        <item x="9"/>
        <item x="8"/>
        <item x="7"/>
        <item x="6"/>
        <item x="5"/>
        <item x="4"/>
        <item x="3"/>
        <item x="2"/>
        <item x="1"/>
        <item x="0"/>
        <item t="default"/>
      </items>
    </pivotField>
    <pivotField showAll="0"/>
    <pivotField numFmtId="20"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descending">
      <items count="8">
        <item x="2"/>
        <item x="4"/>
        <item x="1"/>
        <item x="5"/>
        <item x="0"/>
        <item x="6"/>
        <item x="3"/>
        <item t="default"/>
      </items>
      <autoSortScope>
        <pivotArea dataOnly="0" outline="0" fieldPosition="0">
          <references count="1">
            <reference field="4294967294" count="1" selected="0">
              <x v="1"/>
            </reference>
          </references>
        </pivotArea>
      </autoSortScope>
    </pivotField>
    <pivotField dataField="1" showAll="0"/>
    <pivotField dataField="1" showAll="0"/>
    <pivotField showAll="0"/>
  </pivotFields>
  <rowFields count="1">
    <field x="23"/>
  </rowFields>
  <rowItems count="5">
    <i>
      <x v="4"/>
    </i>
    <i>
      <x v="1"/>
    </i>
    <i>
      <x v="3"/>
    </i>
    <i>
      <x/>
    </i>
    <i t="grand">
      <x/>
    </i>
  </rowItems>
  <colFields count="1">
    <field x="-2"/>
  </colFields>
  <colItems count="3">
    <i>
      <x/>
    </i>
    <i i="1">
      <x v="1"/>
    </i>
    <i i="2">
      <x v="2"/>
    </i>
  </colItems>
  <dataFields count="3">
    <dataField name="Eventos" fld="23" subtotal="count" baseField="0" baseItem="0"/>
    <dataField name="Cantidad(kg)" fld="24" baseField="23" baseItem="0"/>
    <dataField name="Cantidad(CLP)" fld="25" baseField="23" baseItem="0" numFmtId="169"/>
  </dataFields>
  <formats count="24">
    <format dxfId="63">
      <pivotArea type="all" dataOnly="0" outline="0" fieldPosition="0"/>
    </format>
    <format dxfId="62">
      <pivotArea outline="0" collapsedLevelsAreSubtotals="1" fieldPosition="0"/>
    </format>
    <format dxfId="61">
      <pivotArea field="23" type="button" dataOnly="0" labelOnly="1" outline="0" axis="axisRow" fieldPosition="0"/>
    </format>
    <format dxfId="60">
      <pivotArea dataOnly="0" labelOnly="1" fieldPosition="0">
        <references count="1">
          <reference field="23" count="0"/>
        </references>
      </pivotArea>
    </format>
    <format dxfId="59">
      <pivotArea dataOnly="0" labelOnly="1" grandRow="1" outline="0" fieldPosition="0"/>
    </format>
    <format dxfId="58">
      <pivotArea dataOnly="0" labelOnly="1" outline="0" fieldPosition="0">
        <references count="1">
          <reference field="4294967294" count="3">
            <x v="0"/>
            <x v="1"/>
            <x v="2"/>
          </reference>
        </references>
      </pivotArea>
    </format>
    <format dxfId="57">
      <pivotArea collapsedLevelsAreSubtotals="1" fieldPosition="0">
        <references count="2">
          <reference field="4294967294" count="1" selected="0">
            <x v="2"/>
          </reference>
          <reference field="23" count="1">
            <x v="2"/>
          </reference>
        </references>
      </pivotArea>
    </format>
    <format dxfId="56">
      <pivotArea field="23" grandRow="1" outline="0" collapsedLevelsAreSubtotals="1" axis="axisRow" fieldPosition="0">
        <references count="1">
          <reference field="4294967294" count="1" selected="0">
            <x v="0"/>
          </reference>
        </references>
      </pivotArea>
    </format>
    <format dxfId="55">
      <pivotArea field="23" grandRow="1" outline="0" collapsedLevelsAreSubtotals="1" axis="axisRow" fieldPosition="0">
        <references count="1">
          <reference field="4294967294" count="1" selected="0">
            <x v="1"/>
          </reference>
        </references>
      </pivotArea>
    </format>
    <format dxfId="54">
      <pivotArea dataOnly="0" labelOnly="1" fieldPosition="0">
        <references count="1">
          <reference field="23" count="1">
            <x v="2"/>
          </reference>
        </references>
      </pivotArea>
    </format>
    <format dxfId="53">
      <pivotArea dataOnly="0" labelOnly="1" fieldPosition="0">
        <references count="1">
          <reference field="23" count="1">
            <x v="1"/>
          </reference>
        </references>
      </pivotArea>
    </format>
    <format dxfId="52">
      <pivotArea collapsedLevelsAreSubtotals="1" fieldPosition="0">
        <references count="2">
          <reference field="4294967294" count="2" selected="0">
            <x v="1"/>
            <x v="2"/>
          </reference>
          <reference field="23" count="0"/>
        </references>
      </pivotArea>
    </format>
    <format dxfId="51">
      <pivotArea field="23" grandRow="1" outline="0" collapsedLevelsAreSubtotals="1" axis="axisRow" fieldPosition="0">
        <references count="1">
          <reference field="4294967294" count="2" selected="0">
            <x v="1"/>
            <x v="2"/>
          </reference>
        </references>
      </pivotArea>
    </format>
    <format dxfId="50">
      <pivotArea dataOnly="0" labelOnly="1" outline="0" fieldPosition="0">
        <references count="1">
          <reference field="4294967294" count="3">
            <x v="0"/>
            <x v="1"/>
            <x v="2"/>
          </reference>
        </references>
      </pivotArea>
    </format>
    <format dxfId="49">
      <pivotArea field="23" grandRow="1" outline="0" collapsedLevelsAreSubtotals="1" axis="axisRow" fieldPosition="0">
        <references count="1">
          <reference field="4294967294" count="2" selected="0">
            <x v="1"/>
            <x v="2"/>
          </reference>
        </references>
      </pivotArea>
    </format>
    <format dxfId="48">
      <pivotArea collapsedLevelsAreSubtotals="1" fieldPosition="0">
        <references count="2">
          <reference field="4294967294" count="2" selected="0">
            <x v="1"/>
            <x v="2"/>
          </reference>
          <reference field="23" count="3">
            <x v="0"/>
            <x v="3"/>
            <x v="4"/>
          </reference>
        </references>
      </pivotArea>
    </format>
    <format dxfId="47">
      <pivotArea dataOnly="0" labelOnly="1" outline="0" fieldPosition="0">
        <references count="1">
          <reference field="4294967294" count="1">
            <x v="0"/>
          </reference>
        </references>
      </pivotArea>
    </format>
    <format dxfId="46">
      <pivotArea type="all" dataOnly="0" outline="0" fieldPosition="0"/>
    </format>
    <format dxfId="45">
      <pivotArea outline="0" collapsedLevelsAreSubtotals="1" fieldPosition="0"/>
    </format>
    <format dxfId="44">
      <pivotArea field="23" type="button" dataOnly="0" labelOnly="1" outline="0" axis="axisRow" fieldPosition="0"/>
    </format>
    <format dxfId="43">
      <pivotArea dataOnly="0" labelOnly="1" fieldPosition="0">
        <references count="1">
          <reference field="23" count="4">
            <x v="0"/>
            <x v="3"/>
            <x v="4"/>
            <x v="5"/>
          </reference>
        </references>
      </pivotArea>
    </format>
    <format dxfId="42">
      <pivotArea dataOnly="0" labelOnly="1" grandRow="1" outline="0" fieldPosition="0"/>
    </format>
    <format dxfId="41">
      <pivotArea dataOnly="0" labelOnly="1" outline="0" fieldPosition="0">
        <references count="1">
          <reference field="4294967294" count="3">
            <x v="0"/>
            <x v="1"/>
            <x v="2"/>
          </reference>
        </references>
      </pivotArea>
    </format>
    <format dxfId="40">
      <pivotArea outline="0" collapsedLevelsAreSubtotals="1" fieldPosition="0">
        <references count="1">
          <reference field="4294967294" count="1" selected="0">
            <x v="2"/>
          </reference>
        </references>
      </pivotArea>
    </format>
  </formats>
  <chartFormats count="2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2">
          <reference field="4294967294" count="1" selected="0">
            <x v="0"/>
          </reference>
          <reference field="23" count="1" selected="0">
            <x v="1"/>
          </reference>
        </references>
      </pivotArea>
    </chartFormat>
    <chartFormat chart="0" format="4">
      <pivotArea type="data" outline="0" fieldPosition="0">
        <references count="2">
          <reference field="4294967294" count="1" selected="0">
            <x v="0"/>
          </reference>
          <reference field="23" count="1" selected="0">
            <x v="2"/>
          </reference>
        </references>
      </pivotArea>
    </chartFormat>
    <chartFormat chart="0" format="5">
      <pivotArea type="data" outline="0" fieldPosition="0">
        <references count="2">
          <reference field="4294967294" count="1" selected="0">
            <x v="0"/>
          </reference>
          <reference field="23" count="1" selected="0">
            <x v="0"/>
          </reference>
        </references>
      </pivotArea>
    </chartFormat>
    <chartFormat chart="0" format="6">
      <pivotArea type="data" outline="0" fieldPosition="0">
        <references count="2">
          <reference field="4294967294" count="1" selected="0">
            <x v="1"/>
          </reference>
          <reference field="23" count="1" selected="0">
            <x v="1"/>
          </reference>
        </references>
      </pivotArea>
    </chartFormat>
    <chartFormat chart="0" format="7">
      <pivotArea type="data" outline="0" fieldPosition="0">
        <references count="2">
          <reference field="4294967294" count="1" selected="0">
            <x v="1"/>
          </reference>
          <reference field="23" count="1" selected="0">
            <x v="2"/>
          </reference>
        </references>
      </pivotArea>
    </chartFormat>
    <chartFormat chart="0" format="8">
      <pivotArea type="data" outline="0" fieldPosition="0">
        <references count="2">
          <reference field="4294967294" count="1" selected="0">
            <x v="1"/>
          </reference>
          <reference field="23" count="1" selected="0">
            <x v="0"/>
          </reference>
        </references>
      </pivotArea>
    </chartFormat>
    <chartFormat chart="0" format="9">
      <pivotArea type="data" outline="0" fieldPosition="0">
        <references count="2">
          <reference field="4294967294" count="1" selected="0">
            <x v="2"/>
          </reference>
          <reference field="23" count="1" selected="0">
            <x v="1"/>
          </reference>
        </references>
      </pivotArea>
    </chartFormat>
    <chartFormat chart="0" format="10">
      <pivotArea type="data" outline="0" fieldPosition="0">
        <references count="2">
          <reference field="4294967294" count="1" selected="0">
            <x v="2"/>
          </reference>
          <reference field="23" count="1" selected="0">
            <x v="2"/>
          </reference>
        </references>
      </pivotArea>
    </chartFormat>
    <chartFormat chart="0" format="11">
      <pivotArea type="data" outline="0" fieldPosition="0">
        <references count="2">
          <reference field="4294967294" count="1" selected="0">
            <x v="2"/>
          </reference>
          <reference field="23" count="1" selected="0">
            <x v="0"/>
          </reference>
        </references>
      </pivotArea>
    </chartFormat>
    <chartFormat chart="0" format="12">
      <pivotArea type="data" outline="0" fieldPosition="0">
        <references count="2">
          <reference field="4294967294" count="1" selected="0">
            <x v="0"/>
          </reference>
          <reference field="23" count="1" selected="0">
            <x v="3"/>
          </reference>
        </references>
      </pivotArea>
    </chartFormat>
    <chartFormat chart="0" format="13">
      <pivotArea type="data" outline="0" fieldPosition="0">
        <references count="2">
          <reference field="4294967294" count="1" selected="0">
            <x v="1"/>
          </reference>
          <reference field="23" count="1" selected="0">
            <x v="3"/>
          </reference>
        </references>
      </pivotArea>
    </chartFormat>
    <chartFormat chart="0" format="14">
      <pivotArea type="data" outline="0" fieldPosition="0">
        <references count="2">
          <reference field="4294967294" count="1" selected="0">
            <x v="2"/>
          </reference>
          <reference field="23" count="1" selected="0">
            <x v="3"/>
          </reference>
        </references>
      </pivotArea>
    </chartFormat>
    <chartFormat chart="0" format="15">
      <pivotArea type="data" outline="0" fieldPosition="0">
        <references count="2">
          <reference field="4294967294" count="1" selected="0">
            <x v="0"/>
          </reference>
          <reference field="23" count="1" selected="0">
            <x v="4"/>
          </reference>
        </references>
      </pivotArea>
    </chartFormat>
    <chartFormat chart="0" format="16">
      <pivotArea type="data" outline="0" fieldPosition="0">
        <references count="2">
          <reference field="4294967294" count="1" selected="0">
            <x v="1"/>
          </reference>
          <reference field="23" count="1" selected="0">
            <x v="4"/>
          </reference>
        </references>
      </pivotArea>
    </chartFormat>
    <chartFormat chart="0" format="17">
      <pivotArea type="data" outline="0" fieldPosition="0">
        <references count="2">
          <reference field="4294967294" count="1" selected="0">
            <x v="2"/>
          </reference>
          <reference field="23" count="1" selected="0">
            <x v="4"/>
          </reference>
        </references>
      </pivotArea>
    </chartFormat>
    <chartFormat chart="0" format="18">
      <pivotArea type="data" outline="0" fieldPosition="0">
        <references count="2">
          <reference field="4294967294" count="1" selected="0">
            <x v="0"/>
          </reference>
          <reference field="23" count="1" selected="0">
            <x v="5"/>
          </reference>
        </references>
      </pivotArea>
    </chartFormat>
    <chartFormat chart="0" format="19">
      <pivotArea type="data" outline="0" fieldPosition="0">
        <references count="2">
          <reference field="4294967294" count="1" selected="0">
            <x v="1"/>
          </reference>
          <reference field="23" count="1" selected="0">
            <x v="5"/>
          </reference>
        </references>
      </pivotArea>
    </chartFormat>
    <chartFormat chart="0" format="20">
      <pivotArea type="data" outline="0" fieldPosition="0">
        <references count="2">
          <reference field="4294967294" count="1" selected="0">
            <x v="2"/>
          </reference>
          <reference field="23" count="1" selected="0">
            <x v="5"/>
          </reference>
        </references>
      </pivotArea>
    </chartFormat>
  </chartFormats>
  <pivotTableStyleInfo name="PivotStyleLight16" showRowHeaders="1" showColHeaders="1" showRowStripes="0" showColStripes="0" showLastColumn="1"/>
  <filters count="1">
    <filter fld="2" type="dateBetween" evalOrder="-1" id="614" name="Fecha">
      <autoFilter ref="A1">
        <filterColumn colId="0">
          <customFilters and="1">
            <customFilter operator="greaterThanOrEqual" val="44805"/>
            <customFilter operator="lessThanOrEqual" val="4483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900-000005000000}" name="TablaDinámica5" cacheId="0" applyNumberFormats="0" applyBorderFormats="0" applyFontFormats="0" applyPatternFormats="0" applyAlignmentFormats="0" applyWidthHeightFormats="1" dataCaption="Valores" grandTotalCaption="Total" updatedVersion="8" minRefreshableVersion="5" itemPrintTitles="1" createdVersion="7" indent="0" outline="1" outlineData="1" multipleFieldFilters="0" rowHeaderCaption="Línea/Área">
  <location ref="H61:K68" firstHeaderRow="0" firstDataRow="1" firstDataCol="1"/>
  <pivotFields count="27">
    <pivotField showAll="0"/>
    <pivotField showAll="0"/>
    <pivotField showAll="0">
      <items count="45">
        <item m="1" x="41"/>
        <item x="38"/>
        <item x="37"/>
        <item x="36"/>
        <item x="39"/>
        <item m="1" x="42"/>
        <item m="1" x="40"/>
        <item x="35"/>
        <item x="34"/>
        <item x="33"/>
        <item x="32"/>
        <item x="31"/>
        <item x="29"/>
        <item m="1" x="43"/>
        <item x="30"/>
        <item x="28"/>
        <item x="27"/>
        <item x="25"/>
        <item x="26"/>
        <item x="21"/>
        <item x="24"/>
        <item x="23"/>
        <item x="22"/>
        <item x="20"/>
        <item x="19"/>
        <item x="18"/>
        <item x="17"/>
        <item x="16"/>
        <item x="15"/>
        <item x="14"/>
        <item x="13"/>
        <item x="12"/>
        <item x="10"/>
        <item x="11"/>
        <item x="9"/>
        <item x="8"/>
        <item x="7"/>
        <item x="6"/>
        <item x="5"/>
        <item x="4"/>
        <item x="3"/>
        <item x="2"/>
        <item x="1"/>
        <item x="0"/>
        <item t="default"/>
      </items>
    </pivotField>
    <pivotField showAll="0"/>
    <pivotField numFmtId="20" showAll="0"/>
    <pivotField showAll="0"/>
    <pivotField axis="axisRow" dataField="1" showAll="0" sortType="descending">
      <items count="13">
        <item x="4"/>
        <item x="6"/>
        <item x="8"/>
        <item x="5"/>
        <item x="10"/>
        <item x="2"/>
        <item x="0"/>
        <item x="3"/>
        <item x="9"/>
        <item m="1" x="11"/>
        <item x="1"/>
        <item x="7"/>
        <item t="default"/>
      </items>
      <autoSortScope>
        <pivotArea dataOnly="0" outline="0" fieldPosition="0">
          <references count="1">
            <reference field="4294967294" count="1" selected="0">
              <x v="1"/>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s>
  <rowFields count="1">
    <field x="6"/>
  </rowFields>
  <rowItems count="7">
    <i>
      <x v="5"/>
    </i>
    <i>
      <x v="2"/>
    </i>
    <i>
      <x v="6"/>
    </i>
    <i>
      <x v="1"/>
    </i>
    <i>
      <x v="7"/>
    </i>
    <i>
      <x v="11"/>
    </i>
    <i t="grand">
      <x/>
    </i>
  </rowItems>
  <colFields count="1">
    <field x="-2"/>
  </colFields>
  <colItems count="3">
    <i>
      <x/>
    </i>
    <i i="1">
      <x v="1"/>
    </i>
    <i i="2">
      <x v="2"/>
    </i>
  </colItems>
  <dataFields count="3">
    <dataField name="Eventos" fld="6" subtotal="count" baseField="0" baseItem="0"/>
    <dataField name=" Cantidad(kg)" fld="24" baseField="6" baseItem="0" numFmtId="167"/>
    <dataField name="Cantidad(CLP)" fld="25" baseField="6" baseItem="0" numFmtId="43"/>
  </dataFields>
  <formats count="14">
    <format dxfId="77">
      <pivotArea type="all" dataOnly="0" outline="0" fieldPosition="0"/>
    </format>
    <format dxfId="76">
      <pivotArea outline="0" collapsedLevelsAreSubtotals="1" fieldPosition="0"/>
    </format>
    <format dxfId="75">
      <pivotArea field="6" type="button" dataOnly="0" labelOnly="1" outline="0" axis="axisRow" fieldPosition="0"/>
    </format>
    <format dxfId="74">
      <pivotArea dataOnly="0" labelOnly="1" fieldPosition="0">
        <references count="1">
          <reference field="6" count="0"/>
        </references>
      </pivotArea>
    </format>
    <format dxfId="73">
      <pivotArea dataOnly="0" labelOnly="1" grandRow="1" outline="0" fieldPosition="0"/>
    </format>
    <format dxfId="72">
      <pivotArea dataOnly="0" labelOnly="1" outline="0" fieldPosition="0">
        <references count="1">
          <reference field="4294967294" count="3">
            <x v="0"/>
            <x v="1"/>
            <x v="2"/>
          </reference>
        </references>
      </pivotArea>
    </format>
    <format dxfId="71">
      <pivotArea field="6" type="button" dataOnly="0" labelOnly="1" outline="0" axis="axisRow" fieldPosition="0"/>
    </format>
    <format dxfId="70">
      <pivotArea outline="0" collapsedLevelsAreSubtotals="1" fieldPosition="0"/>
    </format>
    <format dxfId="69">
      <pivotArea outline="0" collapsedLevelsAreSubtotals="1" fieldPosition="0">
        <references count="1">
          <reference field="4294967294" count="2" selected="0">
            <x v="1"/>
            <x v="2"/>
          </reference>
        </references>
      </pivotArea>
    </format>
    <format dxfId="68">
      <pivotArea dataOnly="0" labelOnly="1" outline="0" fieldPosition="0">
        <references count="1">
          <reference field="4294967294" count="3">
            <x v="0"/>
            <x v="1"/>
            <x v="2"/>
          </reference>
        </references>
      </pivotArea>
    </format>
    <format dxfId="67">
      <pivotArea field="6" grandRow="1" outline="0" collapsedLevelsAreSubtotals="1" axis="axisRow" fieldPosition="0">
        <references count="1">
          <reference field="4294967294" count="2" selected="0">
            <x v="1"/>
            <x v="2"/>
          </reference>
        </references>
      </pivotArea>
    </format>
    <format dxfId="66">
      <pivotArea outline="0" collapsedLevelsAreSubtotals="1" fieldPosition="0">
        <references count="1">
          <reference field="4294967294" count="1" selected="0">
            <x v="1"/>
          </reference>
        </references>
      </pivotArea>
    </format>
    <format dxfId="65">
      <pivotArea field="6" grandRow="1" outline="0" collapsedLevelsAreSubtotals="1" axis="axisRow" fieldPosition="0">
        <references count="1">
          <reference field="4294967294" count="1" selected="0">
            <x v="2"/>
          </reference>
        </references>
      </pivotArea>
    </format>
    <format dxfId="64">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filters count="1">
    <filter fld="2" type="dateBetween" evalOrder="-1" id="614" name="Fecha">
      <autoFilter ref="A1">
        <filterColumn colId="0">
          <customFilters and="1">
            <customFilter operator="greaterThanOrEqual" val="44805"/>
            <customFilter operator="lessThanOrEqual" val="4483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ipo_de_Evento" displayName="Tipo_de_Evento" ref="A1:A3" totalsRowShown="0" headerRowDxfId="305" dataDxfId="303" headerRowBorderDxfId="304" tableBorderDxfId="302" totalsRowBorderDxfId="301">
  <autoFilter ref="A1:A3" xr:uid="{00000000-0009-0000-0100-000002000000}">
    <filterColumn colId="0" hiddenButton="1"/>
  </autoFilter>
  <tableColumns count="1">
    <tableColumn id="1" xr3:uid="{00000000-0010-0000-0000-000001000000}" name="Tipo_de_Evento" dataDxfId="300"/>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1000000}" name="Linea_de_Proceso" displayName="Linea_de_Proceso" ref="E1:E15" totalsRowShown="0" headerRowDxfId="299" dataDxfId="297" headerRowBorderDxfId="298" tableBorderDxfId="296" totalsRowBorderDxfId="295">
  <autoFilter ref="E1:E15" xr:uid="{00000000-0009-0000-0100-00001B000000}">
    <filterColumn colId="0" hiddenButton="1"/>
  </autoFilter>
  <tableColumns count="1">
    <tableColumn id="1" xr3:uid="{00000000-0010-0000-0100-000001000000}" name="Linea_de_Proceso" dataDxfId="29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2000000}" name="Panadería_L1" displayName="Panadería_L1" ref="F1:F6" totalsRowShown="0" headerRowDxfId="293" dataDxfId="291" headerRowBorderDxfId="292" tableBorderDxfId="290" totalsRowBorderDxfId="289">
  <autoFilter ref="F1:F6" xr:uid="{00000000-0009-0000-0100-00001D000000}">
    <filterColumn colId="0" hiddenButton="1"/>
  </autoFilter>
  <tableColumns count="1">
    <tableColumn id="1" xr3:uid="{00000000-0010-0000-0200-000001000000}" name="Panadería_L1" dataDxfId="28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3000000}" name="Panadería_L2" displayName="Panadería_L2" ref="G1:G9" totalsRowShown="0" headerRowDxfId="287" dataDxfId="285" headerRowBorderDxfId="286" tableBorderDxfId="284">
  <autoFilter ref="G1:G9" xr:uid="{00000000-0009-0000-0100-00001E000000}"/>
  <tableColumns count="1">
    <tableColumn id="1" xr3:uid="{00000000-0010-0000-0300-000001000000}" name="Panadería_L2" dataDxfId="28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4000000}" name="Panadería_L3" displayName="Panadería_L3" ref="H1:H6" totalsRowShown="0" headerRowDxfId="282" dataDxfId="280" headerRowBorderDxfId="281" tableBorderDxfId="279">
  <autoFilter ref="H1:H6" xr:uid="{00000000-0009-0000-0100-00001F000000}"/>
  <tableColumns count="1">
    <tableColumn id="1" xr3:uid="{00000000-0010-0000-0400-000001000000}" name="Panadería_L3" dataDxfId="2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5000000}" name="Panadería_L4" displayName="Panadería_L4" ref="I1:I9" totalsRowShown="0" headerRowDxfId="277" dataDxfId="275" headerRowBorderDxfId="276" tableBorderDxfId="274">
  <autoFilter ref="I1:I9" xr:uid="{00000000-0009-0000-0100-000020000000}"/>
  <tableColumns count="1">
    <tableColumn id="1" xr3:uid="{00000000-0010-0000-0500-000001000000}" name="Panadería_L4" dataDxfId="27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6000000}" name="Panadería_L5" displayName="Panadería_L5" ref="J1:J6" totalsRowShown="0" headerRowDxfId="272" dataDxfId="270" headerRowBorderDxfId="271" tableBorderDxfId="269">
  <autoFilter ref="J1:J6" xr:uid="{00000000-0009-0000-0100-000021000000}"/>
  <tableColumns count="1">
    <tableColumn id="1" xr3:uid="{00000000-0010-0000-0600-000001000000}" name="Panadería_L5" dataDxfId="26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7000000}" name="Pizza" displayName="Pizza" ref="K1:K10" totalsRowShown="0" headerRowDxfId="267" dataDxfId="265" headerRowBorderDxfId="266" tableBorderDxfId="264">
  <autoFilter ref="K1:K10" xr:uid="{00000000-0009-0000-0100-000022000000}"/>
  <tableColumns count="1">
    <tableColumn id="1" xr3:uid="{00000000-0010-0000-0700-000001000000}" name="Pizza" dataDxfId="26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8000000}" name="Empanadas" displayName="Empanadas" ref="L1:L7" totalsRowShown="0" headerRowDxfId="262" dataDxfId="260" headerRowBorderDxfId="261" tableBorderDxfId="259">
  <autoFilter ref="L1:L7" xr:uid="{00000000-0009-0000-0100-000023000000}"/>
  <tableColumns count="1">
    <tableColumn id="1" xr3:uid="{00000000-0010-0000-0800-000001000000}" name="Empanadas" dataDxfId="25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9000000}" name="Bollería" displayName="Bollería" ref="M1:M7" totalsRowShown="0" headerRowDxfId="257" dataDxfId="255" headerRowBorderDxfId="256" tableBorderDxfId="254">
  <autoFilter ref="M1:M7" xr:uid="{00000000-0009-0000-0100-000024000000}"/>
  <tableColumns count="1">
    <tableColumn id="1" xr3:uid="{00000000-0010-0000-0900-000001000000}" name="Bollería" dataDxfId="25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A000000}" name="Recepción" displayName="Recepción" ref="N1:N2" totalsRowShown="0" headerRowDxfId="252" dataDxfId="250" headerRowBorderDxfId="251" tableBorderDxfId="249">
  <autoFilter ref="N1:N2" xr:uid="{00000000-0009-0000-0100-000025000000}"/>
  <tableColumns count="1">
    <tableColumn id="1" xr3:uid="{00000000-0010-0000-0A00-000001000000}" name="Recepción" dataDxfId="24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B000000}" name="Multivac_1" displayName="Multivac_1" ref="O1:O3" totalsRowShown="0" headerRowDxfId="247" dataDxfId="245" headerRowBorderDxfId="246" tableBorderDxfId="244">
  <autoFilter ref="O1:O3" xr:uid="{00000000-0009-0000-0100-000026000000}"/>
  <tableColumns count="1">
    <tableColumn id="1" xr3:uid="{00000000-0010-0000-0B00-000001000000}" name="Multivac_1" dataDxfId="24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C000000}" name="Multivac_2" displayName="Multivac_2" ref="P1:P3" totalsRowShown="0" headerRowDxfId="242" dataDxfId="240" headerRowBorderDxfId="241" tableBorderDxfId="239">
  <autoFilter ref="P1:P3" xr:uid="{00000000-0009-0000-0100-000027000000}"/>
  <tableColumns count="1">
    <tableColumn id="1" xr3:uid="{00000000-0010-0000-0C00-000001000000}" name="Multivac_2" dataDxfId="23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D000000}" name="Despacho" displayName="Despacho" ref="Q1:Q2" totalsRowShown="0" headerRowDxfId="237" dataDxfId="235" headerRowBorderDxfId="236" tableBorderDxfId="234">
  <autoFilter ref="Q1:Q2" xr:uid="{00000000-0009-0000-0100-000028000000}"/>
  <tableColumns count="1">
    <tableColumn id="1" xr3:uid="{00000000-0010-0000-0D00-000001000000}" name="Despacho" dataDxfId="23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E000000}" name="Camaras" displayName="Camaras" ref="R1:R5" totalsRowShown="0" headerRowDxfId="232" headerRowBorderDxfId="231" tableBorderDxfId="230">
  <autoFilter ref="R1:R5" xr:uid="{00000000-0009-0000-0100-00002A000000}"/>
  <tableColumns count="1">
    <tableColumn id="1" xr3:uid="{00000000-0010-0000-0E00-000001000000}" name="Camara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F000000}" name="Otro" displayName="Otro" ref="S1:S2" totalsRowShown="0" headerRowDxfId="229" headerRowBorderDxfId="228" tableBorderDxfId="227">
  <autoFilter ref="S1:S2" xr:uid="{00000000-0009-0000-0100-00002B000000}"/>
  <tableColumns count="1">
    <tableColumn id="1" xr3:uid="{00000000-0010-0000-0F00-000001000000}" name="Otro"/>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0000000}" name="Tipo_de_Peligro" displayName="Tipo_de_Peligro" ref="D1:D11" totalsRowShown="0" headerRowDxfId="226" dataDxfId="224" headerRowBorderDxfId="225" tableBorderDxfId="223" totalsRowBorderDxfId="222">
  <autoFilter ref="D1:D11" xr:uid="{00000000-0009-0000-0100-00002D000000}"/>
  <tableColumns count="1">
    <tableColumn id="1" xr3:uid="{00000000-0010-0000-1000-000001000000}" name="Tipo_de_Peligro" dataDxfId="22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1000000}" name="Planta" displayName="Planta" ref="T1:T2" totalsRowShown="0" headerRowDxfId="220" dataDxfId="218" headerRowBorderDxfId="219" tableBorderDxfId="217">
  <autoFilter ref="T1:T2" xr:uid="{00000000-0009-0000-0100-000018000000}"/>
  <tableColumns count="1">
    <tableColumn id="1" xr3:uid="{00000000-0010-0000-1100-000001000000}" name="Planta" dataDxfId="21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2000000}" name="AnalistaC" displayName="AnalistaC" ref="U1:U11" totalsRowShown="0" headerRowDxfId="215" dataDxfId="213" headerRowBorderDxfId="214">
  <autoFilter ref="U1:U11" xr:uid="{00000000-0009-0000-0100-000019000000}"/>
  <tableColumns count="1">
    <tableColumn id="1" xr3:uid="{00000000-0010-0000-1200-000001000000}" name="Analista" dataDxfId="21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3000000}" name="Supervisores" displayName="Supervisores" ref="V1:V11" totalsRowShown="0" dataDxfId="211">
  <autoFilter ref="V1:V11" xr:uid="{00000000-0009-0000-0100-00001A000000}"/>
  <tableColumns count="1">
    <tableColumn id="1" xr3:uid="{00000000-0010-0000-1300-000001000000}" name="Supervisor" dataDxfId="210"/>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4000000}" name="Proveedor" displayName="Proveedor" ref="W1:W84" totalsRowShown="0" headerRowDxfId="209" dataDxfId="207" headerRowBorderDxfId="208" tableBorderDxfId="206" totalsRowBorderDxfId="205">
  <autoFilter ref="W1:W84" xr:uid="{00000000-0009-0000-0100-00001C000000}"/>
  <tableColumns count="1">
    <tableColumn id="2" xr3:uid="{00000000-0010-0000-1400-000002000000}" name="Proveedor" dataDxfId="20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5000000}" name="Productos_B" displayName="Productos_B" ref="Y1:Z13" totalsRowShown="0" headerRowDxfId="203" dataDxfId="201" headerRowBorderDxfId="202" tableBorderDxfId="200">
  <autoFilter ref="Y1:Z13" xr:uid="{00000000-0009-0000-0100-000029000000}"/>
  <tableColumns count="2">
    <tableColumn id="1" xr3:uid="{00000000-0010-0000-1500-000001000000}" name="P_Bollería" dataDxfId="199"/>
    <tableColumn id="2" xr3:uid="{00000000-0010-0000-1500-000002000000}" name="SAP_P_Bollería" dataDxfId="19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6000000}" name="Tabla44" displayName="Tabla44" ref="AA1:AB39" totalsRowShown="0" headerRowDxfId="197" dataDxfId="195" headerRowBorderDxfId="196">
  <autoFilter ref="AA1:AB39" xr:uid="{00000000-0009-0000-0100-00002C000000}"/>
  <tableColumns count="2">
    <tableColumn id="1" xr3:uid="{00000000-0010-0000-1600-000001000000}" name="P_Empanadas" dataDxfId="194"/>
    <tableColumn id="2" xr3:uid="{00000000-0010-0000-1600-000002000000}" name="SAP_P_Empanadas" dataDxfId="19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7000000}" name="Tabla46" displayName="Tabla46" ref="AC1:AD17" totalsRowShown="0" headerRowDxfId="192" dataDxfId="191">
  <autoFilter ref="AC1:AD17" xr:uid="{00000000-0009-0000-0100-00002E000000}"/>
  <tableColumns count="2">
    <tableColumn id="1" xr3:uid="{00000000-0010-0000-1700-000001000000}" name="P_Pizza" dataDxfId="190"/>
    <tableColumn id="2" xr3:uid="{00000000-0010-0000-1700-000002000000}" name="SAP_P_Pizza" dataDxfId="189"/>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8000000}" name="P_L1" displayName="P_L1" ref="AE1:AF19" totalsRowShown="0" headerRowDxfId="188" dataDxfId="187">
  <autoFilter ref="AE1:AF19" xr:uid="{00000000-0009-0000-0100-00002F000000}"/>
  <tableColumns count="2">
    <tableColumn id="1" xr3:uid="{00000000-0010-0000-1800-000001000000}" name="P_L1" dataDxfId="186"/>
    <tableColumn id="2" xr3:uid="{00000000-0010-0000-1800-000002000000}" name="SAP_P_L1" dataDxfId="18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9000000}" name="P_L2" displayName="P_L2" ref="AG1:AH20" totalsRowShown="0" headerRowDxfId="184">
  <autoFilter ref="AG1:AH20" xr:uid="{00000000-0009-0000-0100-000030000000}"/>
  <tableColumns count="2">
    <tableColumn id="1" xr3:uid="{00000000-0010-0000-1900-000001000000}" name="P_L2"/>
    <tableColumn id="2" xr3:uid="{00000000-0010-0000-1900-000002000000}" name="SAP_P_L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A000000}" name="P_L4" displayName="P_L4" ref="AI1:AJ38" totalsRowShown="0" headerRowDxfId="183">
  <autoFilter ref="AI1:AJ38" xr:uid="{00000000-0009-0000-0100-000031000000}"/>
  <tableColumns count="2">
    <tableColumn id="1" xr3:uid="{00000000-0010-0000-1A00-000001000000}" name="P_L4"/>
    <tableColumn id="2" xr3:uid="{00000000-0010-0000-1A00-000002000000}" name="SAP_P_L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B000000}" name="P_L3" displayName="P_L3" ref="AK1:AL6" totalsRowShown="0" headerRowDxfId="182" tableBorderDxfId="181">
  <autoFilter ref="AK1:AL6" xr:uid="{00000000-0009-0000-0100-000032000000}"/>
  <tableColumns count="2">
    <tableColumn id="1" xr3:uid="{00000000-0010-0000-1B00-000001000000}" name="P_L3" dataDxfId="180"/>
    <tableColumn id="2" xr3:uid="{00000000-0010-0000-1B00-000002000000}" name="SAP_P_L3" dataDxfId="17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1C000000}" name="P_L5" displayName="P_L5" ref="AM1:AN7" totalsRowShown="0" headerRowDxfId="178" tableBorderDxfId="177">
  <autoFilter ref="AM1:AN7" xr:uid="{00000000-0009-0000-0100-000033000000}"/>
  <tableColumns count="2">
    <tableColumn id="1" xr3:uid="{00000000-0010-0000-1C00-000001000000}" name="P_L5" dataDxfId="176"/>
    <tableColumn id="2" xr3:uid="{00000000-0010-0000-1C00-000002000000}" name="SAP_P_L5" dataDxfId="175"/>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1D000000}" name="P_M1" displayName="P_M1" ref="AO1:AP13" totalsRowShown="0" headerRowDxfId="174" tableBorderDxfId="173">
  <autoFilter ref="AO1:AP13" xr:uid="{00000000-0009-0000-0100-000034000000}"/>
  <tableColumns count="2">
    <tableColumn id="1" xr3:uid="{00000000-0010-0000-1D00-000001000000}" name="P_M1"/>
    <tableColumn id="2" xr3:uid="{00000000-0010-0000-1D00-000002000000}" name="SAP_P_M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1E000000}" name="P_M2" displayName="P_M2" ref="AQ1:AR14" totalsRowShown="0" headerRowDxfId="172">
  <autoFilter ref="AQ1:AR14" xr:uid="{00000000-0009-0000-0100-000035000000}"/>
  <tableColumns count="2">
    <tableColumn id="1" xr3:uid="{00000000-0010-0000-1E00-000001000000}" name="P_M2"/>
    <tableColumn id="2" xr3:uid="{00000000-0010-0000-1E00-000002000000}" name="SAP_P_M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1F000000}" name="P_V1" displayName="P_V1" ref="AS1:AT12" totalsRowShown="0" headerRowDxfId="171" tableBorderDxfId="170">
  <autoFilter ref="AS1:AT12" xr:uid="{00000000-0009-0000-0100-000036000000}"/>
  <tableColumns count="2">
    <tableColumn id="1" xr3:uid="{00000000-0010-0000-1F00-000001000000}" name="P_V1" dataDxfId="169"/>
    <tableColumn id="2" xr3:uid="{00000000-0010-0000-1F00-000002000000}" name="SAP_P_V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0000000}" name="P_V2" displayName="P_V2" ref="AU1:AV13" totalsRowShown="0" headerRowDxfId="168">
  <autoFilter ref="AU1:AV13" xr:uid="{00000000-0009-0000-0100-000037000000}"/>
  <tableColumns count="2">
    <tableColumn id="1" xr3:uid="{00000000-0010-0000-2000-000001000000}" name="P_V2"/>
    <tableColumn id="2" xr3:uid="{00000000-0010-0000-2000-000002000000}" name="SAP_P_V2"/>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1000000}" name="MP" displayName="MP" ref="AW1:AX164" totalsRowShown="0" headerRowDxfId="167" dataDxfId="166" tableBorderDxfId="165">
  <autoFilter ref="AW1:AX164" xr:uid="{00000000-0009-0000-0100-000038000000}"/>
  <tableColumns count="2">
    <tableColumn id="1" xr3:uid="{00000000-0010-0000-2100-000001000000}" name="MP" dataDxfId="164" dataCellStyle="Normal 2"/>
    <tableColumn id="2" xr3:uid="{00000000-0010-0000-2100-000002000000}" name="SAP_MP" dataDxfId="163" dataCellStyle="Normal 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2000000}" name="Destino_1" displayName="Destino_1" ref="AY1:AY2" totalsRowShown="0" dataDxfId="162">
  <autoFilter ref="AY1:AY2" xr:uid="{00000000-0009-0000-0100-000039000000}"/>
  <tableColumns count="1">
    <tableColumn id="1" xr3:uid="{00000000-0010-0000-2200-000001000000}" name="Destino_1" dataDxfId="16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3000000}" name="Destino_2" displayName="Destino_2" ref="AZ1:AZ11" totalsRowShown="0" dataDxfId="160">
  <autoFilter ref="AZ1:AZ11" xr:uid="{00000000-0009-0000-0100-00003A000000}"/>
  <tableColumns count="1">
    <tableColumn id="1" xr3:uid="{00000000-0010-0000-2300-000001000000}" name="Destino_2" dataDxfId="159"/>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4000000}" name="S_Mantencion" displayName="S_Mantencion" ref="BA1:BA11" totalsRowShown="0" dataDxfId="158" tableBorderDxfId="157">
  <autoFilter ref="BA1:BA11" xr:uid="{00000000-0009-0000-0100-00003B000000}"/>
  <tableColumns count="1">
    <tableColumn id="1" xr3:uid="{00000000-0010-0000-2400-000001000000}" name="S_Matencion" dataDxfId="156"/>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5000000}" name="Tipo_EE" displayName="Tipo_EE" ref="BB1:BB9" totalsRowShown="0" dataDxfId="155" tableBorderDxfId="154">
  <autoFilter ref="BB1:BB9" xr:uid="{00000000-0009-0000-0100-00003C000000}"/>
  <tableColumns count="1">
    <tableColumn id="1" xr3:uid="{00000000-0010-0000-2500-000001000000}" name="Tipo_EE" dataDxfId="153"/>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6000000}" name="Origen_EE" displayName="Origen_EE" ref="BC1:BC5" totalsRowShown="0">
  <autoFilter ref="BC1:BC5" xr:uid="{00000000-0009-0000-0100-00003D000000}"/>
  <tableColumns count="1">
    <tableColumn id="1" xr3:uid="{00000000-0010-0000-2600-000001000000}" name="Origen_EE"/>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7000000}" name="Criticidad" displayName="Criticidad" ref="BD1:BE4" totalsRowShown="0">
  <autoFilter ref="BD1:BE4" xr:uid="{00000000-0009-0000-0100-00003E000000}"/>
  <tableColumns count="2">
    <tableColumn id="1" xr3:uid="{00000000-0010-0000-2700-000001000000}" name="Criticidad"/>
    <tableColumn id="2" xr3:uid="{00000000-0010-0000-2700-000002000000}" name="Tamaño_EE"/>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8000000}" name="Turno" displayName="Turno" ref="B1:B4" totalsRowShown="0" headerRowDxfId="152" dataDxfId="150" headerRowBorderDxfId="151" tableBorderDxfId="149">
  <autoFilter ref="B1:B4" xr:uid="{00000000-0009-0000-0100-00003F000000}"/>
  <tableColumns count="1">
    <tableColumn id="1" xr3:uid="{00000000-0010-0000-2800-000001000000}" name="Turno" dataDxfId="148"/>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9000000}" name="NC" displayName="NC" ref="C1:C9" totalsRowShown="0" headerRowDxfId="147" dataDxfId="145" headerRowBorderDxfId="146" tableBorderDxfId="144">
  <autoFilter ref="C1:C9" xr:uid="{00000000-0009-0000-0100-000040000000}"/>
  <tableColumns count="1">
    <tableColumn id="1" xr3:uid="{00000000-0010-0000-2900-000001000000}" name="NC" dataDxfId="143"/>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F5B31FE-179C-4F9E-903B-D53F986EDA08}" name="Dia" displayName="Dia" ref="BG1:BG32" totalsRowShown="0">
  <autoFilter ref="BG1:BG32" xr:uid="{3F5B31FE-179C-4F9E-903B-D53F986EDA08}"/>
  <tableColumns count="1">
    <tableColumn id="1" xr3:uid="{80D9F383-0A76-429F-A8F8-A35419238D67}" name="Día"/>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647F76B-01E2-437C-A05F-792E44315E0A}" name="MesNumero" displayName="MesNumero" ref="BH1:BH13" totalsRowShown="0">
  <autoFilter ref="BH1:BH13" xr:uid="{0647F76B-01E2-437C-A05F-792E44315E0A}"/>
  <tableColumns count="1">
    <tableColumn id="1" xr3:uid="{56ADCD4D-2A77-4C86-B551-3D572788FAF6}" name="Mes"/>
  </tableColumns>
  <tableStyleInfo name="TableStyleLight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3C6148D-2B14-434C-80A1-60BD955ECCC9}" name="Años" displayName="Años" ref="BI1:BI5" totalsRowShown="0">
  <autoFilter ref="BI1:BI5" xr:uid="{73C6148D-2B14-434C-80A1-60BD955ECCC9}"/>
  <tableColumns count="1">
    <tableColumn id="1" xr3:uid="{CFA47B11-F9E1-408D-A116-13A16B11E6A9}" name="Año"/>
  </tableColumns>
  <tableStyleInfo name="TableStyleLight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2A000000}" name="Linea_Proceso" displayName="Linea_Proceso" ref="A1:A16" totalsRowShown="0" headerRowDxfId="142" dataDxfId="140" headerRowBorderDxfId="141" tableBorderDxfId="139" totalsRowBorderDxfId="138">
  <autoFilter ref="A1:A16" xr:uid="{00000000-0009-0000-0100-000043000000}"/>
  <tableColumns count="1">
    <tableColumn id="1" xr3:uid="{00000000-0010-0000-2A00-000001000000}" name="Línea_Proceso" dataDxfId="13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2B000000}" name="Areas" displayName="Areas" ref="B1:D65" totalsRowShown="0">
  <autoFilter ref="B1:D65" xr:uid="{00000000-0009-0000-0100-000044000000}"/>
  <tableColumns count="3">
    <tableColumn id="1" xr3:uid="{00000000-0010-0000-2B00-000001000000}" name="Linea de Proceso"/>
    <tableColumn id="2" xr3:uid="{00000000-0010-0000-2B00-000002000000}" name="Área"/>
    <tableColumn id="3" xr3:uid="{00000000-0010-0000-2B00-000003000000}" name="Supervisores"/>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2C000000}" name="Productos" displayName="Productos" ref="E1:G436" totalsRowShown="0">
  <autoFilter ref="E1:G436" xr:uid="{00000000-0009-0000-0100-000045000000}">
    <filterColumn colId="1">
      <filters>
        <filter val="Empanada Horno Suprema"/>
        <filter val="Empanada Horno Suprema Rf"/>
        <filter val="Masa Pre Pizza Pack"/>
        <filter val="Masa Pre Pizza Ultra Delgada"/>
        <filter val="Semi Elaborado Hallullita especial preco"/>
      </filters>
    </filterColumn>
  </autoFilter>
  <tableColumns count="3">
    <tableColumn id="1" xr3:uid="{00000000-0010-0000-2C00-000001000000}" name="Línea de Proceso" dataDxfId="136"/>
    <tableColumn id="2" xr3:uid="{00000000-0010-0000-2C00-000002000000}" name="Productos" dataDxfId="135"/>
    <tableColumn id="3" xr3:uid="{00000000-0010-0000-2C00-000003000000}" name="SAP_Productos" dataDxfId="134"/>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2D000000}" name="Analista" displayName="Analista" ref="I1:I17" totalsRowShown="0" headerRowDxfId="133" dataDxfId="131" headerRowBorderDxfId="132">
  <autoFilter ref="I1:I17" xr:uid="{00000000-0009-0000-0100-000046000000}"/>
  <tableColumns count="1">
    <tableColumn id="1" xr3:uid="{00000000-0010-0000-2D00-000001000000}" name="Analista" dataDxfId="130"/>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2E000000}" name="MPrimas" displayName="MPrimas" ref="N1:Q444" totalsRowShown="0">
  <autoFilter ref="N1:Q444" xr:uid="{00000000-0009-0000-0100-000047000000}"/>
  <sortState xmlns:xlrd2="http://schemas.microsoft.com/office/spreadsheetml/2017/richdata2" ref="N2:Q443">
    <sortCondition ref="N1:N443"/>
  </sortState>
  <tableColumns count="4">
    <tableColumn id="1" xr3:uid="{00000000-0010-0000-2E00-000001000000}" name="Proveedor"/>
    <tableColumn id="2" xr3:uid="{00000000-0010-0000-2E00-000002000000}" name="RUT"/>
    <tableColumn id="3" xr3:uid="{00000000-0010-0000-2E00-000003000000}" name="Material"/>
    <tableColumn id="4" xr3:uid="{00000000-0010-0000-2E00-000004000000}" name="Descripcion"/>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2F000000}" name="Supervisores_Panadería" displayName="Supervisores_Panadería" ref="U1:U16" totalsRowShown="0" dataDxfId="129" tableBorderDxfId="128">
  <autoFilter ref="U1:U16" xr:uid="{00000000-0009-0000-0100-000005000000}"/>
  <tableColumns count="1">
    <tableColumn id="1" xr3:uid="{00000000-0010-0000-2F00-000001000000}" name="Supervisores_Panadería" dataDxfId="127"/>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30000000}" name="Supervisores_PEB" displayName="Supervisores_PEB" ref="V1:V16" totalsRowShown="0" tableBorderDxfId="126">
  <autoFilter ref="V1:V16" xr:uid="{00000000-0009-0000-0100-000006000000}"/>
  <tableColumns count="1">
    <tableColumn id="1" xr3:uid="{00000000-0010-0000-3000-000001000000}" name="Supervisores_PEB"/>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31000000}" name="Supervisores_Recepción" displayName="Supervisores_Recepción" ref="W1:W4" totalsRowShown="0" tableBorderDxfId="125">
  <autoFilter ref="W1:W4" xr:uid="{00000000-0009-0000-0100-000007000000}"/>
  <tableColumns count="1">
    <tableColumn id="1" xr3:uid="{00000000-0010-0000-3100-000001000000}" name="Supervisores_Recepción"/>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32000000}" name="Supervisores_Despacho" displayName="Supervisores_Despacho" ref="X1:X4" totalsRowShown="0" headerRowDxfId="124" dataDxfId="123">
  <autoFilter ref="X1:X4" xr:uid="{00000000-0009-0000-0100-000008000000}"/>
  <tableColumns count="1">
    <tableColumn id="1" xr3:uid="{00000000-0010-0000-3200-000001000000}" name="Supervisores_Despacho" dataDxfId="12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3000000}" name="NC_Panadería" displayName="NC_Panadería" ref="Z1:Z17" totalsRowShown="0" tableBorderDxfId="121">
  <autoFilter ref="Z1:Z17" xr:uid="{00000000-0009-0000-0100-000003000000}"/>
  <tableColumns count="1">
    <tableColumn id="1" xr3:uid="{00000000-0010-0000-3300-000001000000}" name="NC_Panadería"/>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34000000}" name="NC_PBE" displayName="NC_PBE" ref="AA1:AA17" totalsRowShown="0" tableBorderDxfId="120">
  <autoFilter ref="AA1:AA17" xr:uid="{00000000-0009-0000-0100-000004000000}"/>
  <tableColumns count="1">
    <tableColumn id="1" xr3:uid="{00000000-0010-0000-3400-000001000000}" name="NC_PBE"/>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35000000}" name="NC_DR" displayName="NC_DR" ref="AB1:AB12" totalsRowShown="0">
  <autoFilter ref="AB1:AB12" xr:uid="{00000000-0009-0000-0100-000009000000}"/>
  <tableColumns count="1">
    <tableColumn id="1" xr3:uid="{00000000-0010-0000-3500-000001000000}" name="NC_DR"/>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36000000}" name="NCL" displayName="NCL" ref="H1:H65" totalsRowShown="0">
  <autoFilter ref="H1:H65" xr:uid="{00000000-0009-0000-0100-00000A000000}"/>
  <tableColumns count="1">
    <tableColumn id="1" xr3:uid="{00000000-0010-0000-3600-000001000000}" name="NCL"/>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37000000}" name="Mes" displayName="Mes" ref="L1:M13" totalsRowShown="0">
  <autoFilter ref="L1:M13" xr:uid="{00000000-0009-0000-0100-00000B000000}"/>
  <tableColumns count="2">
    <tableColumn id="1" xr3:uid="{00000000-0010-0000-3700-000001000000}" name="NumMes" dataDxfId="119"/>
    <tableColumn id="2" xr3:uid="{00000000-0010-0000-3700-000002000000}" name="Mes"/>
  </tableColumns>
  <tableStyleInfo name="TableStyleLight1"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8000000}" name="BD_Bloqueados" displayName="BD_Bloqueados" ref="A1:AN674" totalsRowShown="0" dataDxfId="118">
  <autoFilter ref="A1:AN674" xr:uid="{00000000-000C-0000-FFFF-FFFF38000000}">
    <filterColumn colId="2">
      <filters>
        <dateGroupItem year="2024" month="8" dateTimeGrouping="month"/>
      </filters>
    </filterColumn>
  </autoFilter>
  <sortState xmlns:xlrd2="http://schemas.microsoft.com/office/spreadsheetml/2017/richdata2" ref="A25:AN60">
    <sortCondition ref="L9:L674" customList="Bloqueo PT/SE,Bloqueo MMPP/MMEE"/>
    <sortCondition ref="X9:X674" customList="Merma,Reproceso,Liberado,Merma (kg No Informados),No Informado,Devolución,Donación"/>
    <sortCondition descending="1" ref="Y9:Y674"/>
  </sortState>
  <tableColumns count="40">
    <tableColumn id="21" xr3:uid="{00000000-0010-0000-3800-000015000000}" name="ID" dataDxfId="117"/>
    <tableColumn id="22" xr3:uid="{00000000-0010-0000-3800-000016000000}" name="Planta" dataDxfId="116"/>
    <tableColumn id="23" xr3:uid="{00000000-0010-0000-3800-000017000000}" name="Fecha" dataDxfId="115"/>
    <tableColumn id="24" xr3:uid="{00000000-0010-0000-3800-000018000000}" name="Semana" dataDxfId="114"/>
    <tableColumn id="25" xr3:uid="{00000000-0010-0000-3800-000019000000}" name="Hora" dataDxfId="113"/>
    <tableColumn id="26" xr3:uid="{00000000-0010-0000-3800-00001A000000}" name="Turno" dataDxfId="112"/>
    <tableColumn id="1" xr3:uid="{00000000-0010-0000-3800-000001000000}" name="Línea" dataDxfId="111"/>
    <tableColumn id="2" xr3:uid="{00000000-0010-0000-3800-000002000000}" name="Área" dataDxfId="110"/>
    <tableColumn id="3" xr3:uid="{00000000-0010-0000-3800-000003000000}" name="Analista " dataDxfId="109"/>
    <tableColumn id="4" xr3:uid="{00000000-0010-0000-3800-000004000000}" name="Supervisor" dataDxfId="108"/>
    <tableColumn id="5" xr3:uid="{00000000-0010-0000-3800-000005000000}" name="Operario" dataDxfId="107"/>
    <tableColumn id="6" xr3:uid="{00000000-0010-0000-3800-000006000000}" name="Tipo de Bloqueo" dataDxfId="106"/>
    <tableColumn id="7" xr3:uid="{00000000-0010-0000-3800-000007000000}" name="Proveedor" dataDxfId="105"/>
    <tableColumn id="8" xr3:uid="{00000000-0010-0000-3800-000008000000}" name="RUT_Proveedor" dataDxfId="104"/>
    <tableColumn id="9" xr3:uid="{00000000-0010-0000-3800-000009000000}" name="Material" dataDxfId="103"/>
    <tableColumn id="10" xr3:uid="{00000000-0010-0000-3800-00000A000000}" name="SAP_Material" dataDxfId="102"/>
    <tableColumn id="11" xr3:uid="{00000000-0010-0000-3800-00000B000000}" name="Tipo Peligro" dataDxfId="101"/>
    <tableColumn id="12" xr3:uid="{00000000-0010-0000-3800-00000C000000}" name="NC" dataDxfId="100"/>
    <tableColumn id="13" xr3:uid="{00000000-0010-0000-3800-00000D000000}" name="Descripción_NC" dataDxfId="99"/>
    <tableColumn id="14" xr3:uid="{00000000-0010-0000-3800-00000E000000}" name="Causa Raiz" dataDxfId="98"/>
    <tableColumn id="15" xr3:uid="{00000000-0010-0000-3800-00000F000000}" name="Acciones Inmediatas" dataDxfId="97"/>
    <tableColumn id="16" xr3:uid="{00000000-0010-0000-3800-000010000000}" name="Acciones Correctivas" dataDxfId="96"/>
    <tableColumn id="17" xr3:uid="{00000000-0010-0000-3800-000011000000}" name="Destino 1" dataDxfId="95"/>
    <tableColumn id="18" xr3:uid="{00000000-0010-0000-3800-000012000000}" name="Destino 2" dataDxfId="94"/>
    <tableColumn id="19" xr3:uid="{00000000-0010-0000-3800-000013000000}" name="Cantidad (kg)" dataDxfId="93"/>
    <tableColumn id="20" xr3:uid="{00000000-0010-0000-3800-000014000000}" name="Cantidad (CLP)" dataDxfId="92"/>
    <tableColumn id="27" xr3:uid="{00000000-0010-0000-3800-00001B000000}" name="Lote" dataDxfId="91"/>
    <tableColumn id="28" xr3:uid="{00000000-0010-0000-3800-00001C000000}" name="Detalle NC" dataDxfId="90"/>
    <tableColumn id="29" xr3:uid="{00000000-0010-0000-3800-00001D000000}" name="Detalle Causa" dataDxfId="89"/>
    <tableColumn id="30" xr3:uid="{00000000-0010-0000-3800-00001E000000}" name="Formato (kg)" dataDxfId="88"/>
    <tableColumn id="31" xr3:uid="{00000000-0010-0000-3800-00001F000000}" name="UMV" dataDxfId="87"/>
    <tableColumn id="32" xr3:uid="{00000000-0010-0000-3800-000020000000}" name="MMPP" dataDxfId="86"/>
    <tableColumn id="33" xr3:uid="{00000000-0010-0000-3800-000021000000}" name="Envases y embalajes" dataDxfId="85"/>
    <tableColumn id="34" xr3:uid="{00000000-0010-0000-3800-000022000000}" name="Semielab." dataDxfId="84"/>
    <tableColumn id="35" xr3:uid="{00000000-0010-0000-3800-000023000000}" name="M.OBRA" dataDxfId="83"/>
    <tableColumn id="36" xr3:uid="{00000000-0010-0000-3800-000024000000}" name="ENERGI" dataDxfId="82"/>
    <tableColumn id="37" xr3:uid="{00000000-0010-0000-3800-000025000000}" name="GASN" dataDxfId="81"/>
    <tableColumn id="38" xr3:uid="{00000000-0010-0000-3800-000026000000}" name="Mes" dataDxfId="80"/>
    <tableColumn id="39" xr3:uid="{00000000-0010-0000-3800-000027000000}" name="Año" dataDxfId="79"/>
    <tableColumn id="40" xr3:uid="{00000000-0010-0000-3800-000028000000}" name="Sub Error Operacional" dataDxfId="78"/>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39000000}" name="BD_EExtraños" displayName="BD_EExtraños" ref="A1:AB2" insertRow="1" totalsRowShown="0">
  <autoFilter ref="A1:AB2" xr:uid="{00000000-0009-0000-0100-000042000000}"/>
  <tableColumns count="28">
    <tableColumn id="24" xr3:uid="{00000000-0010-0000-3900-000018000000}" name="ID"/>
    <tableColumn id="25" xr3:uid="{00000000-0010-0000-3900-000019000000}" name="Planta"/>
    <tableColumn id="26" xr3:uid="{00000000-0010-0000-3900-00001A000000}" name="Fecha"/>
    <tableColumn id="27" xr3:uid="{00000000-0010-0000-3900-00001B000000}" name="Semana"/>
    <tableColumn id="28" xr3:uid="{00000000-0010-0000-3900-00001C000000}" name="Hora"/>
    <tableColumn id="29" xr3:uid="{00000000-0010-0000-3900-00001D000000}" name="Turno"/>
    <tableColumn id="23" xr3:uid="{00000000-0010-0000-3900-000017000000}" name="Línea"/>
    <tableColumn id="2" xr3:uid="{00000000-0010-0000-3900-000002000000}" name="Área"/>
    <tableColumn id="3" xr3:uid="{00000000-0010-0000-3900-000003000000}" name="Analista "/>
    <tableColumn id="4" xr3:uid="{00000000-0010-0000-3900-000004000000}" name="Supervisor"/>
    <tableColumn id="5" xr3:uid="{00000000-0010-0000-3900-000005000000}" name="Operario"/>
    <tableColumn id="6" xr3:uid="{00000000-0010-0000-3900-000006000000}" name="Proveedor"/>
    <tableColumn id="7" xr3:uid="{00000000-0010-0000-3900-000007000000}" name="SAP_Proveedor"/>
    <tableColumn id="8" xr3:uid="{00000000-0010-0000-3900-000008000000}" name="Material"/>
    <tableColumn id="9" xr3:uid="{00000000-0010-0000-3900-000009000000}" name="SAP_Material"/>
    <tableColumn id="10" xr3:uid="{00000000-0010-0000-3900-00000A000000}" name="Tipo de Evento"/>
    <tableColumn id="11" xr3:uid="{00000000-0010-0000-3900-00000B000000}" name="S_Mantencion"/>
    <tableColumn id="12" xr3:uid="{00000000-0010-0000-3900-00000C000000}" name="Tipo EE"/>
    <tableColumn id="13" xr3:uid="{00000000-0010-0000-3900-00000D000000}" name="Tamaños EE(cm2)"/>
    <tableColumn id="14" xr3:uid="{00000000-0010-0000-3900-00000E000000}" name="Origen EE"/>
    <tableColumn id="15" xr3:uid="{00000000-0010-0000-3900-00000F000000}" name="Causa Raiz"/>
    <tableColumn id="16" xr3:uid="{00000000-0010-0000-3900-000010000000}" name="Criticidad"/>
    <tableColumn id="17" xr3:uid="{00000000-0010-0000-3900-000011000000}" name="Acciones Inmediatas"/>
    <tableColumn id="18" xr3:uid="{00000000-0010-0000-3900-000012000000}" name="Acciones Correctivas"/>
    <tableColumn id="22" xr3:uid="{00000000-0010-0000-3900-000016000000}" name="Destino 1"/>
    <tableColumn id="21" xr3:uid="{00000000-0010-0000-3900-000015000000}" name="Destino 2"/>
    <tableColumn id="19" xr3:uid="{00000000-0010-0000-3900-000013000000}" name="Cantidad (kg)"/>
    <tableColumn id="20" xr3:uid="{00000000-0010-0000-3900-000014000000}" name="Cantidad (CLP)"/>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3A000000}" name="Acumulados" displayName="Acumulados" ref="A1:D29" totalsRowShown="0">
  <autoFilter ref="A1:D29" xr:uid="{00000000-0009-0000-0100-000001000000}"/>
  <tableColumns count="4">
    <tableColumn id="1" xr3:uid="{00000000-0010-0000-3A00-000001000000}" name="Fecha"/>
    <tableColumn id="2" xr3:uid="{00000000-0010-0000-3A00-000002000000}" name="Semanas"/>
    <tableColumn id="3" xr3:uid="{00000000-0010-0000-3A00-000003000000}" name="Total Acumulado (kg)" dataDxfId="10"/>
    <tableColumn id="4" xr3:uid="{00000000-0010-0000-3A00-000004000000}" name="Indicador" dataDxfId="9">
      <calculatedColumnFormula>100-(SUMIFS(BD_Bloqueados[Cantidad (kg)],BD_Bloqueados[Año],G2,BD_Bloqueados[Mes],F2,BD_Bloqueados[Tipo de Bloqueo],"Bloqueo PT/SE")/Acumulados[[#This Row],[Total Acumulado (kg)]])*100</calculatedColumnFormula>
    </tableColumn>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EBE9E37-40E0-466D-B3B4-D4FEC03CB674}" name="Tabla12" displayName="Tabla12" ref="A1:AC21" totalsRowShown="0">
  <autoFilter ref="A1:AC21" xr:uid="{AEBE9E37-40E0-466D-B3B4-D4FEC03CB674}"/>
  <tableColumns count="29">
    <tableColumn id="1" xr3:uid="{67392DD4-8F42-4A57-94D1-A36DA543279F}" name="ID"/>
    <tableColumn id="2" xr3:uid="{98C30B96-06EE-4F28-9731-EF1705060C9F}" name="Planta"/>
    <tableColumn id="3" xr3:uid="{E16B663A-59A3-4144-BD48-9A4C37957BE5}" name="Fecha"/>
    <tableColumn id="4" xr3:uid="{A44EE5C5-D94D-4168-AFEC-C852A621E5BC}" name="Semana"/>
    <tableColumn id="5" xr3:uid="{1D675268-629E-4FFE-91ED-90564028F201}" name="Hora"/>
    <tableColumn id="6" xr3:uid="{161E4161-0A89-4DE4-A149-9B6184022AF6}" name="Turno"/>
    <tableColumn id="7" xr3:uid="{6C030A64-3ECF-4495-96FA-39F2CC2303B4}" name="Línea"/>
    <tableColumn id="8" xr3:uid="{DB7A66C2-4006-4780-BCDC-5468C4094BDD}" name="Área"/>
    <tableColumn id="9" xr3:uid="{FE486EE1-A866-4329-A3F3-BF400684739F}" name="Analista "/>
    <tableColumn id="10" xr3:uid="{72939FB5-538E-45FB-AC05-3838E5D44C35}" name="Supervisor"/>
    <tableColumn id="11" xr3:uid="{325CA141-1A88-4FA5-9B99-897862867F28}" name="Operario"/>
    <tableColumn id="12" xr3:uid="{28DC3498-C2FB-4B54-A3C5-B0FBAB94146B}" name="Tipo de Bloqueo"/>
    <tableColumn id="13" xr3:uid="{A342260B-B337-43B0-A6E5-D1E5340C0169}" name="Proveedor"/>
    <tableColumn id="14" xr3:uid="{9A2481BE-7C67-46FB-9D4E-2E8069C14F24}" name="RUT_Proveedor"/>
    <tableColumn id="15" xr3:uid="{61FD0C85-94A9-4A5D-BD39-8CE378FB4718}" name="Material"/>
    <tableColumn id="16" xr3:uid="{FF24FDC6-26B9-4495-AA76-05A818BA14B0}" name="SAP_Material"/>
    <tableColumn id="17" xr3:uid="{89F73B1C-555C-4B8C-BB5E-EBDC182225A4}" name="Tipo Peligro"/>
    <tableColumn id="18" xr3:uid="{4C5043A2-9517-4186-9F1E-21F8BE2ACB78}" name="NC"/>
    <tableColumn id="19" xr3:uid="{670E7BA1-9CCC-4AC4-91EC-D3D51C11CA3E}" name="Descripción_NC"/>
    <tableColumn id="20" xr3:uid="{BEA173BB-BFA0-40D6-A8ED-D0D12F58449B}" name="Causa Raiz"/>
    <tableColumn id="21" xr3:uid="{C981BFA9-35E4-48EA-AAF9-79A200CC8C32}" name="Acciones Inmediatas"/>
    <tableColumn id="22" xr3:uid="{9070F394-4248-43D4-BA0E-4387136C1CAF}" name="Acciones Correctivas"/>
    <tableColumn id="23" xr3:uid="{FDA8A332-ACA3-4300-8A41-985E27F826F9}" name="Destino 1"/>
    <tableColumn id="24" xr3:uid="{39E2D59B-F60B-4281-A372-3F56C55DA665}" name="Destino 2"/>
    <tableColumn id="25" xr3:uid="{29CC4B0D-375E-464F-8FC9-25EFB8875003}" name="Cantidad (kg)"/>
    <tableColumn id="26" xr3:uid="{F5B4564B-C72D-4635-BD0D-897C104DAC07}" name="Cantidad (CLP)"/>
    <tableColumn id="27" xr3:uid="{EF9C1A9E-5117-4053-A764-8C43C7EEF1F6}" name="Lote"/>
    <tableColumn id="28" xr3:uid="{A9C44047-2EC9-4779-BC6C-FA0953F436D5}" name="Detalle NC"/>
    <tableColumn id="29" xr3:uid="{7910A51D-B1BE-482B-907C-133A6878B8F1}" name="Detalle Causa"/>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1" dT="2022-05-26T11:44:59.28" personId="{07DB1F2F-F9F5-4166-B857-414C66FE855C}" id="{D4212AAB-6B9A-4D9C-BFD7-3594DAC40F50}">
    <text>Esta columna está Relacionado con la Línea de proceso de la Columna B. No se insertó en esa tabla para no Modificar las configuraciones existente en el ambiente de VBA</text>
  </threadedComment>
  <threadedComment ref="Z1" dT="2022-05-26T11:42:24.45" personId="{07DB1F2F-F9F5-4166-B857-414C66FE855C}" id="{577F1FEA-6514-471F-8A3B-B08AE6F9AFE7}">
    <text>NC de las Líneas de Panadería</text>
  </threadedComment>
  <threadedComment ref="AA1" dT="2022-05-26T11:41:53.78" personId="{07DB1F2F-F9F5-4166-B857-414C66FE855C}" id="{624E7B69-8826-4CF2-91A6-6647D8595FC2}">
    <text>NC para las Líneas de Pizza, Bollería y Empanadas</text>
  </threadedComment>
  <threadedComment ref="AB1" dT="2022-05-26T11:41:22.38" personId="{07DB1F2F-F9F5-4166-B857-414C66FE855C}" id="{2AEBBC54-A74C-4B42-A9EA-4DAE068C656D}">
    <text>NC Disponibles para las Líneas de Despacho y Recepción</text>
  </threadedComment>
</ThreadedComments>
</file>

<file path=xl/threadedComments/threadedComment2.xml><?xml version="1.0" encoding="utf-8"?>
<ThreadedComments xmlns="http://schemas.microsoft.com/office/spreadsheetml/2018/threadedcomments" xmlns:x="http://schemas.openxmlformats.org/spreadsheetml/2006/main">
  <threadedComment ref="X602" dT="2022-11-03T16:09:59.49" personId="{07DB1F2F-F9F5-4166-B857-414C66FE855C}" id="{C00C870A-0416-4D1D-AA69-C1199376BA27}">
    <text>Como no se informó cantidad por parte de Producción el Film Quedó Bloqueado y no se emitió Reclamo</text>
  </threadedComment>
</ThreadedComments>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00000000-0013-0000-FFFF-FFFF01000000}" sourceName="Fecha">
  <pivotTables>
    <pivotTable tabId="11" name="TablaDinámica8"/>
    <pivotTable tabId="11" name="TablaDinámica1"/>
    <pivotTable tabId="11" name="TablaDinámica2"/>
    <pivotTable tabId="11" name="TablaDinámica3"/>
    <pivotTable tabId="11" name="TablaDinámica4"/>
    <pivotTable tabId="11" name="TablaDinámica5"/>
    <pivotTable tabId="11" name="TablaDinámica6"/>
    <pivotTable tabId="11" name="TablaDinámica10"/>
  </pivotTables>
  <state minimalRefreshVersion="6" lastRefreshVersion="6" pivotCacheId="802626312" filterType="dateBetween">
    <selection startDate="2022-09-01T00:00:00" endDate="2022-09-30T00:00:00"/>
    <bounds startDate="2022-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0000000-0014-0000-FFFF-FFFF01000000}" cache="NativeTimeline_Fecha" caption="Fecha" showHeader="0" showTimeLevel="0" level="2" selectionLevel="2" scrollPosition="2022-01-01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8" Type="http://schemas.openxmlformats.org/officeDocument/2006/relationships/table" Target="../tables/table7.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20" Type="http://schemas.openxmlformats.org/officeDocument/2006/relationships/table" Target="../tables/table19.xml"/><Relationship Id="rId41" Type="http://schemas.openxmlformats.org/officeDocument/2006/relationships/table" Target="../tables/table40.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0.xml"/><Relationship Id="rId13" Type="http://schemas.openxmlformats.org/officeDocument/2006/relationships/table" Target="../tables/table55.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49.xml"/><Relationship Id="rId12" Type="http://schemas.openxmlformats.org/officeDocument/2006/relationships/table" Target="../tables/table54.xml"/><Relationship Id="rId17" Type="http://schemas.openxmlformats.org/officeDocument/2006/relationships/table" Target="../tables/table59.xml"/><Relationship Id="rId2" Type="http://schemas.openxmlformats.org/officeDocument/2006/relationships/printerSettings" Target="../printerSettings/printerSettings2.bin"/><Relationship Id="rId16" Type="http://schemas.openxmlformats.org/officeDocument/2006/relationships/table" Target="../tables/table58.xml"/><Relationship Id="rId1" Type="http://schemas.openxmlformats.org/officeDocument/2006/relationships/pivotTable" Target="../pivotTables/pivotTable1.xml"/><Relationship Id="rId6" Type="http://schemas.openxmlformats.org/officeDocument/2006/relationships/table" Target="../tables/table48.xml"/><Relationship Id="rId11" Type="http://schemas.openxmlformats.org/officeDocument/2006/relationships/table" Target="../tables/table53.xml"/><Relationship Id="rId5" Type="http://schemas.openxmlformats.org/officeDocument/2006/relationships/table" Target="../tables/table47.xml"/><Relationship Id="rId15" Type="http://schemas.openxmlformats.org/officeDocument/2006/relationships/table" Target="../tables/table57.xml"/><Relationship Id="rId10" Type="http://schemas.openxmlformats.org/officeDocument/2006/relationships/table" Target="../tables/table52.xml"/><Relationship Id="rId19" Type="http://schemas.microsoft.com/office/2017/10/relationships/threadedComment" Target="../threadedComments/threadedComment1.xml"/><Relationship Id="rId4" Type="http://schemas.openxmlformats.org/officeDocument/2006/relationships/table" Target="../tables/table46.xml"/><Relationship Id="rId9" Type="http://schemas.openxmlformats.org/officeDocument/2006/relationships/table" Target="../tables/table51.xml"/><Relationship Id="rId14" Type="http://schemas.openxmlformats.org/officeDocument/2006/relationships/table" Target="../tables/table5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60.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5.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microsoft.com/office/2011/relationships/timeline" Target="../timelines/timeline1.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ctrlProp" Target="../ctrlProps/ctrlProp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vmlDrawing" Target="../drawings/vmlDrawing5.vml"/><Relationship Id="rId5" Type="http://schemas.openxmlformats.org/officeDocument/2006/relationships/pivotTable" Target="../pivotTables/pivotTable6.xml"/><Relationship Id="rId10" Type="http://schemas.openxmlformats.org/officeDocument/2006/relationships/drawing" Target="../drawings/drawing5.xml"/><Relationship Id="rId4" Type="http://schemas.openxmlformats.org/officeDocument/2006/relationships/pivotTable" Target="../pivotTables/pivotTable5.xml"/><Relationship Id="rId9"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62.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6.vml"/><Relationship Id="rId7" Type="http://schemas.openxmlformats.org/officeDocument/2006/relationships/ctrlProp" Target="../ctrlProps/ctrlProp12.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6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3AB86-7AC9-417F-AB96-ED67FF8B1347}">
  <sheetPr codeName="Hoja16"/>
  <dimension ref="A1:R12"/>
  <sheetViews>
    <sheetView workbookViewId="0">
      <selection activeCell="T9" sqref="T9"/>
    </sheetView>
  </sheetViews>
  <sheetFormatPr baseColWidth="10" defaultColWidth="10.81640625" defaultRowHeight="14"/>
  <cols>
    <col min="1" max="9" width="10.81640625" style="286"/>
    <col min="10" max="13" width="10.81640625" style="286" customWidth="1"/>
    <col min="14" max="16384" width="10.81640625" style="286"/>
  </cols>
  <sheetData>
    <row r="1" spans="1:18" ht="15.65" customHeight="1">
      <c r="A1" s="321"/>
      <c r="B1" s="322"/>
      <c r="C1" s="322"/>
      <c r="D1" s="323"/>
      <c r="E1" s="321" t="s">
        <v>0</v>
      </c>
      <c r="F1" s="322"/>
      <c r="G1" s="322"/>
      <c r="H1" s="322"/>
      <c r="I1" s="322"/>
      <c r="J1" s="322"/>
      <c r="K1" s="322"/>
      <c r="L1" s="322"/>
      <c r="M1" s="322"/>
      <c r="N1" s="323"/>
      <c r="O1" s="330" t="s">
        <v>1</v>
      </c>
      <c r="P1" s="331"/>
      <c r="Q1" s="330" t="s">
        <v>2</v>
      </c>
      <c r="R1" s="331"/>
    </row>
    <row r="2" spans="1:18" ht="15.65" customHeight="1">
      <c r="A2" s="324"/>
      <c r="B2" s="325"/>
      <c r="C2" s="325"/>
      <c r="D2" s="326"/>
      <c r="E2" s="327"/>
      <c r="F2" s="328"/>
      <c r="G2" s="328"/>
      <c r="H2" s="328"/>
      <c r="I2" s="328"/>
      <c r="J2" s="328"/>
      <c r="K2" s="328"/>
      <c r="L2" s="328"/>
      <c r="M2" s="328"/>
      <c r="N2" s="329"/>
      <c r="O2" s="330" t="s">
        <v>3</v>
      </c>
      <c r="P2" s="331"/>
      <c r="Q2" s="330">
        <v>2</v>
      </c>
      <c r="R2" s="331"/>
    </row>
    <row r="3" spans="1:18" ht="15.65" customHeight="1">
      <c r="A3" s="324"/>
      <c r="B3" s="325"/>
      <c r="C3" s="325"/>
      <c r="D3" s="326"/>
      <c r="E3" s="321" t="s">
        <v>4</v>
      </c>
      <c r="F3" s="322"/>
      <c r="G3" s="322"/>
      <c r="H3" s="322"/>
      <c r="I3" s="322"/>
      <c r="J3" s="322"/>
      <c r="K3" s="322"/>
      <c r="L3" s="322"/>
      <c r="M3" s="322"/>
      <c r="N3" s="323"/>
      <c r="O3" s="330" t="s">
        <v>5</v>
      </c>
      <c r="P3" s="331"/>
      <c r="Q3" s="332">
        <v>45470</v>
      </c>
      <c r="R3" s="333"/>
    </row>
    <row r="4" spans="1:18" ht="15.65" customHeight="1">
      <c r="A4" s="327"/>
      <c r="B4" s="328"/>
      <c r="C4" s="328"/>
      <c r="D4" s="329"/>
      <c r="E4" s="327"/>
      <c r="F4" s="328"/>
      <c r="G4" s="328"/>
      <c r="H4" s="328"/>
      <c r="I4" s="328"/>
      <c r="J4" s="328"/>
      <c r="K4" s="328"/>
      <c r="L4" s="328"/>
      <c r="M4" s="328"/>
      <c r="N4" s="329"/>
      <c r="O4" s="330" t="s">
        <v>6</v>
      </c>
      <c r="P4" s="331"/>
      <c r="Q4" s="330"/>
      <c r="R4" s="331"/>
    </row>
    <row r="5" spans="1:18" ht="15.65" customHeight="1">
      <c r="A5" s="318" t="s">
        <v>7</v>
      </c>
      <c r="B5" s="319"/>
      <c r="C5" s="319"/>
      <c r="D5" s="319"/>
      <c r="E5" s="319"/>
      <c r="F5" s="320"/>
      <c r="G5" s="334" t="s">
        <v>8</v>
      </c>
      <c r="H5" s="335"/>
      <c r="I5" s="335"/>
      <c r="J5" s="335"/>
      <c r="K5" s="335"/>
      <c r="L5" s="336"/>
      <c r="M5" s="337" t="s">
        <v>9</v>
      </c>
      <c r="N5" s="338"/>
      <c r="O5" s="338"/>
      <c r="P5" s="338"/>
      <c r="Q5" s="338"/>
      <c r="R5" s="339"/>
    </row>
    <row r="6" spans="1:18" ht="15.65" customHeight="1">
      <c r="A6" s="340" t="s">
        <v>10</v>
      </c>
      <c r="B6" s="341"/>
      <c r="C6" s="341"/>
      <c r="D6" s="341"/>
      <c r="E6" s="341"/>
      <c r="F6" s="342"/>
      <c r="G6" s="340" t="s">
        <v>11</v>
      </c>
      <c r="H6" s="341"/>
      <c r="I6" s="341"/>
      <c r="J6" s="341"/>
      <c r="K6" s="341"/>
      <c r="L6" s="342"/>
      <c r="M6" s="343" t="s">
        <v>11</v>
      </c>
      <c r="N6" s="344"/>
      <c r="O6" s="344"/>
      <c r="P6" s="344"/>
      <c r="Q6" s="344"/>
      <c r="R6" s="345"/>
    </row>
    <row r="7" spans="1:18" ht="15.65" customHeight="1">
      <c r="A7" s="340"/>
      <c r="B7" s="341"/>
      <c r="C7" s="341"/>
      <c r="D7" s="341"/>
      <c r="E7" s="341"/>
      <c r="F7" s="342"/>
      <c r="G7" s="287"/>
      <c r="H7" s="288"/>
      <c r="I7" s="288"/>
      <c r="J7" s="288"/>
      <c r="K7" s="288"/>
      <c r="L7" s="289"/>
      <c r="M7" s="290"/>
      <c r="N7" s="291"/>
      <c r="O7" s="291"/>
      <c r="P7" s="291"/>
      <c r="Q7" s="291"/>
      <c r="R7" s="292"/>
    </row>
    <row r="8" spans="1:18" ht="15.65" customHeight="1">
      <c r="A8" s="293"/>
      <c r="B8" s="294"/>
      <c r="C8" s="294"/>
      <c r="D8" s="294"/>
      <c r="E8" s="294"/>
      <c r="F8" s="295"/>
      <c r="G8" s="296"/>
      <c r="H8" s="297"/>
      <c r="I8" s="297"/>
      <c r="J8" s="297"/>
      <c r="K8" s="297"/>
      <c r="L8" s="298"/>
      <c r="M8" s="299"/>
      <c r="N8" s="300"/>
      <c r="O8" s="300"/>
      <c r="P8" s="300"/>
      <c r="Q8" s="300"/>
      <c r="R8" s="301"/>
    </row>
    <row r="9" spans="1:18" ht="14.5" customHeight="1">
      <c r="A9" s="352" t="s">
        <v>12</v>
      </c>
      <c r="B9" s="353"/>
      <c r="C9" s="353"/>
      <c r="D9" s="353"/>
      <c r="E9" s="353"/>
      <c r="F9" s="353"/>
      <c r="G9" s="353"/>
      <c r="H9" s="353"/>
      <c r="I9" s="353"/>
      <c r="J9" s="353"/>
      <c r="K9" s="353"/>
      <c r="L9" s="353"/>
      <c r="M9" s="353"/>
      <c r="N9" s="353"/>
      <c r="O9" s="353"/>
      <c r="P9" s="353"/>
      <c r="Q9" s="353"/>
      <c r="R9" s="354"/>
    </row>
    <row r="10" spans="1:18" ht="14.5" customHeight="1">
      <c r="A10" s="352" t="s">
        <v>13</v>
      </c>
      <c r="B10" s="353"/>
      <c r="C10" s="353"/>
      <c r="D10" s="353"/>
      <c r="E10" s="353"/>
      <c r="F10" s="354"/>
      <c r="G10" s="352" t="s">
        <v>14</v>
      </c>
      <c r="H10" s="353"/>
      <c r="I10" s="353"/>
      <c r="J10" s="353"/>
      <c r="K10" s="353"/>
      <c r="L10" s="354"/>
      <c r="M10" s="352" t="s">
        <v>15</v>
      </c>
      <c r="N10" s="353"/>
      <c r="O10" s="353"/>
      <c r="P10" s="353"/>
      <c r="Q10" s="353"/>
      <c r="R10" s="354"/>
    </row>
    <row r="11" spans="1:18" ht="36.65" customHeight="1">
      <c r="A11" s="346">
        <v>2</v>
      </c>
      <c r="B11" s="347"/>
      <c r="C11" s="347"/>
      <c r="D11" s="347"/>
      <c r="E11" s="347"/>
      <c r="F11" s="348"/>
      <c r="G11" s="349">
        <v>45470</v>
      </c>
      <c r="H11" s="350"/>
      <c r="I11" s="350"/>
      <c r="J11" s="350"/>
      <c r="K11" s="350"/>
      <c r="L11" s="351"/>
      <c r="M11" s="355" t="s">
        <v>16</v>
      </c>
      <c r="N11" s="356"/>
      <c r="O11" s="356"/>
      <c r="P11" s="356"/>
      <c r="Q11" s="356"/>
      <c r="R11" s="357"/>
    </row>
    <row r="12" spans="1:18" ht="14.5" customHeight="1">
      <c r="A12" s="346"/>
      <c r="B12" s="347"/>
      <c r="C12" s="347"/>
      <c r="D12" s="347"/>
      <c r="E12" s="347"/>
      <c r="F12" s="348"/>
      <c r="G12" s="349"/>
      <c r="H12" s="350"/>
      <c r="I12" s="350"/>
      <c r="J12" s="350"/>
      <c r="K12" s="350"/>
      <c r="L12" s="351"/>
      <c r="M12" s="346"/>
      <c r="N12" s="347"/>
      <c r="O12" s="347"/>
      <c r="P12" s="347"/>
      <c r="Q12" s="347"/>
      <c r="R12" s="348"/>
    </row>
  </sheetData>
  <mergeCells count="28">
    <mergeCell ref="A6:F6"/>
    <mergeCell ref="G6:L6"/>
    <mergeCell ref="M6:R6"/>
    <mergeCell ref="A12:F12"/>
    <mergeCell ref="G12:L12"/>
    <mergeCell ref="M12:R12"/>
    <mergeCell ref="A7:F7"/>
    <mergeCell ref="A9:R9"/>
    <mergeCell ref="A10:F10"/>
    <mergeCell ref="G10:L10"/>
    <mergeCell ref="M10:R10"/>
    <mergeCell ref="A11:F11"/>
    <mergeCell ref="G11:L11"/>
    <mergeCell ref="M11:R11"/>
    <mergeCell ref="A5:F5"/>
    <mergeCell ref="A1:D4"/>
    <mergeCell ref="E1:N2"/>
    <mergeCell ref="O1:P1"/>
    <mergeCell ref="Q1:R1"/>
    <mergeCell ref="O2:P2"/>
    <mergeCell ref="Q2:R2"/>
    <mergeCell ref="E3:N4"/>
    <mergeCell ref="O3:P3"/>
    <mergeCell ref="Q3:R3"/>
    <mergeCell ref="O4:P4"/>
    <mergeCell ref="Q4:R4"/>
    <mergeCell ref="G5:L5"/>
    <mergeCell ref="M5:R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7"/>
  <dimension ref="A1:BI164"/>
  <sheetViews>
    <sheetView topLeftCell="AS2" workbookViewId="0">
      <selection activeCell="BA16" sqref="BA16"/>
    </sheetView>
  </sheetViews>
  <sheetFormatPr baseColWidth="10" defaultColWidth="11.453125" defaultRowHeight="14.5"/>
  <cols>
    <col min="1" max="3" width="20.453125" customWidth="1"/>
    <col min="4" max="4" width="21.54296875" customWidth="1"/>
    <col min="5" max="5" width="16.54296875" customWidth="1"/>
    <col min="6" max="6" width="12.54296875" customWidth="1"/>
    <col min="7" max="7" width="14.453125" customWidth="1"/>
    <col min="8" max="8" width="12.54296875" customWidth="1"/>
    <col min="9" max="9" width="14.453125" customWidth="1"/>
    <col min="10" max="10" width="12.54296875" customWidth="1"/>
    <col min="14" max="14" width="16.54296875" customWidth="1"/>
    <col min="16" max="16" width="9.453125" customWidth="1"/>
    <col min="18" max="18" width="17.54296875" customWidth="1"/>
    <col min="22" max="22" width="11.54296875" customWidth="1"/>
    <col min="25" max="25" width="34.453125" customWidth="1"/>
    <col min="26" max="26" width="10.54296875" customWidth="1"/>
    <col min="27" max="27" width="38.453125" customWidth="1"/>
    <col min="28" max="28" width="11.54296875" customWidth="1"/>
    <col min="29" max="29" width="30.54296875" customWidth="1"/>
    <col min="30" max="30" width="13.54296875" customWidth="1"/>
    <col min="31" max="31" width="26.453125" customWidth="1"/>
    <col min="32" max="32" width="14.453125" customWidth="1"/>
    <col min="33" max="33" width="28.453125" customWidth="1"/>
    <col min="35" max="35" width="22.54296875" customWidth="1"/>
    <col min="37" max="37" width="16.453125" customWidth="1"/>
    <col min="42" max="42" width="11.54296875" customWidth="1"/>
    <col min="44" max="44" width="11.54296875" customWidth="1"/>
    <col min="46" max="46" width="11.453125" customWidth="1"/>
    <col min="48" max="48" width="11.453125" customWidth="1"/>
    <col min="49" max="49" width="12.54296875" customWidth="1"/>
    <col min="52" max="52" width="11.453125" customWidth="1"/>
    <col min="53" max="53" width="13.54296875" customWidth="1"/>
    <col min="55" max="55" width="11.453125" customWidth="1"/>
  </cols>
  <sheetData>
    <row r="1" spans="1:61" ht="26">
      <c r="A1" s="3" t="s">
        <v>17</v>
      </c>
      <c r="B1" s="3" t="s">
        <v>18</v>
      </c>
      <c r="C1" s="3" t="s">
        <v>19</v>
      </c>
      <c r="D1" s="4" t="s">
        <v>20</v>
      </c>
      <c r="E1" s="3" t="s">
        <v>21</v>
      </c>
      <c r="F1" s="3" t="s">
        <v>22</v>
      </c>
      <c r="G1" s="18" t="s">
        <v>23</v>
      </c>
      <c r="H1" s="18" t="s">
        <v>24</v>
      </c>
      <c r="I1" s="18" t="s">
        <v>25</v>
      </c>
      <c r="J1" s="18" t="s">
        <v>26</v>
      </c>
      <c r="K1" s="18" t="s">
        <v>27</v>
      </c>
      <c r="L1" s="18" t="s">
        <v>28</v>
      </c>
      <c r="M1" s="18" t="s">
        <v>29</v>
      </c>
      <c r="N1" s="18" t="s">
        <v>30</v>
      </c>
      <c r="O1" s="18" t="s">
        <v>31</v>
      </c>
      <c r="P1" s="18" t="s">
        <v>32</v>
      </c>
      <c r="Q1" s="18" t="s">
        <v>33</v>
      </c>
      <c r="R1" s="18" t="s">
        <v>34</v>
      </c>
      <c r="S1" s="18" t="s">
        <v>35</v>
      </c>
      <c r="T1" s="3" t="s">
        <v>36</v>
      </c>
      <c r="U1" s="3" t="s">
        <v>37</v>
      </c>
      <c r="V1" t="s">
        <v>38</v>
      </c>
      <c r="W1" s="23" t="s">
        <v>39</v>
      </c>
      <c r="X1" s="23" t="s">
        <v>40</v>
      </c>
      <c r="Y1" s="33" t="s">
        <v>41</v>
      </c>
      <c r="Z1" s="33" t="s">
        <v>42</v>
      </c>
      <c r="AA1" s="34" t="s">
        <v>43</v>
      </c>
      <c r="AB1" s="34" t="s">
        <v>44</v>
      </c>
      <c r="AC1" s="36" t="s">
        <v>45</v>
      </c>
      <c r="AD1" s="36" t="s">
        <v>46</v>
      </c>
      <c r="AE1" s="36" t="s">
        <v>47</v>
      </c>
      <c r="AF1" s="36" t="s">
        <v>48</v>
      </c>
      <c r="AG1" s="36" t="s">
        <v>49</v>
      </c>
      <c r="AH1" s="36" t="s">
        <v>50</v>
      </c>
      <c r="AI1" s="36" t="s">
        <v>51</v>
      </c>
      <c r="AJ1" s="36" t="s">
        <v>52</v>
      </c>
      <c r="AK1" s="36" t="s">
        <v>53</v>
      </c>
      <c r="AL1" s="36" t="s">
        <v>54</v>
      </c>
      <c r="AM1" s="36" t="s">
        <v>55</v>
      </c>
      <c r="AN1" s="36" t="s">
        <v>56</v>
      </c>
      <c r="AO1" s="36" t="s">
        <v>57</v>
      </c>
      <c r="AP1" s="36" t="s">
        <v>58</v>
      </c>
      <c r="AQ1" s="36" t="s">
        <v>59</v>
      </c>
      <c r="AR1" s="36" t="s">
        <v>60</v>
      </c>
      <c r="AS1" s="36" t="s">
        <v>61</v>
      </c>
      <c r="AT1" s="36" t="s">
        <v>62</v>
      </c>
      <c r="AU1" s="36" t="s">
        <v>63</v>
      </c>
      <c r="AV1" s="36" t="s">
        <v>64</v>
      </c>
      <c r="AW1" s="59" t="s">
        <v>65</v>
      </c>
      <c r="AX1" s="59" t="s">
        <v>66</v>
      </c>
      <c r="AY1" t="s">
        <v>67</v>
      </c>
      <c r="AZ1" t="s">
        <v>68</v>
      </c>
      <c r="BA1" t="s">
        <v>69</v>
      </c>
      <c r="BB1" t="s">
        <v>70</v>
      </c>
      <c r="BC1" t="s">
        <v>71</v>
      </c>
      <c r="BD1" t="s">
        <v>72</v>
      </c>
      <c r="BE1" t="s">
        <v>73</v>
      </c>
      <c r="BG1" t="s">
        <v>74</v>
      </c>
      <c r="BH1" t="s">
        <v>75</v>
      </c>
      <c r="BI1" t="s">
        <v>76</v>
      </c>
    </row>
    <row r="2" spans="1:61">
      <c r="A2" s="6" t="s">
        <v>77</v>
      </c>
      <c r="B2" s="14" t="s">
        <v>78</v>
      </c>
      <c r="C2" s="7" t="s">
        <v>79</v>
      </c>
      <c r="D2" s="9" t="s">
        <v>80</v>
      </c>
      <c r="E2" s="7" t="s">
        <v>22</v>
      </c>
      <c r="F2" s="16" t="s">
        <v>81</v>
      </c>
      <c r="G2" s="14" t="s">
        <v>81</v>
      </c>
      <c r="H2" s="14" t="s">
        <v>82</v>
      </c>
      <c r="I2" s="14" t="s">
        <v>81</v>
      </c>
      <c r="J2" s="14" t="s">
        <v>82</v>
      </c>
      <c r="K2" s="14" t="s">
        <v>81</v>
      </c>
      <c r="L2" s="14" t="s">
        <v>81</v>
      </c>
      <c r="M2" s="14" t="s">
        <v>83</v>
      </c>
      <c r="N2" s="14" t="s">
        <v>30</v>
      </c>
      <c r="O2" s="2" t="s">
        <v>84</v>
      </c>
      <c r="P2" s="2" t="s">
        <v>85</v>
      </c>
      <c r="Q2" s="2" t="s">
        <v>33</v>
      </c>
      <c r="R2" s="14" t="s">
        <v>86</v>
      </c>
      <c r="S2" t="s">
        <v>35</v>
      </c>
      <c r="T2" s="132">
        <v>2</v>
      </c>
      <c r="U2" s="20" t="s">
        <v>87</v>
      </c>
      <c r="V2" s="20" t="s">
        <v>88</v>
      </c>
      <c r="W2" s="1" t="s">
        <v>89</v>
      </c>
      <c r="X2" s="7">
        <v>77471270</v>
      </c>
      <c r="Y2" s="30" t="s">
        <v>90</v>
      </c>
      <c r="Z2" s="32">
        <v>12001435</v>
      </c>
      <c r="AA2" s="32" t="s">
        <v>91</v>
      </c>
      <c r="AB2" s="30">
        <v>13000011</v>
      </c>
      <c r="AC2" s="35" t="s">
        <v>92</v>
      </c>
      <c r="AD2" s="28">
        <v>13030409</v>
      </c>
      <c r="AE2" s="31" t="s">
        <v>93</v>
      </c>
      <c r="AF2" s="31">
        <v>12001396</v>
      </c>
      <c r="AG2" t="s">
        <v>94</v>
      </c>
      <c r="AH2">
        <v>12001397</v>
      </c>
      <c r="AI2" s="41" t="s">
        <v>93</v>
      </c>
      <c r="AJ2" s="42">
        <v>12001396</v>
      </c>
      <c r="AK2" s="43" t="s">
        <v>95</v>
      </c>
      <c r="AL2" s="44">
        <v>12001398</v>
      </c>
      <c r="AM2" s="37" t="s">
        <v>96</v>
      </c>
      <c r="AN2" s="38">
        <v>12001411</v>
      </c>
      <c r="AO2" s="37" t="s">
        <v>97</v>
      </c>
      <c r="AP2" s="38">
        <v>13030492</v>
      </c>
      <c r="AQ2" t="s">
        <v>98</v>
      </c>
      <c r="AR2">
        <v>13030538</v>
      </c>
      <c r="AS2" s="49" t="s">
        <v>92</v>
      </c>
      <c r="AT2" s="50">
        <v>13030409</v>
      </c>
      <c r="AU2" t="s">
        <v>99</v>
      </c>
      <c r="AV2">
        <v>13001756</v>
      </c>
      <c r="AW2" s="60" t="s">
        <v>100</v>
      </c>
      <c r="AX2" s="60">
        <v>10000002</v>
      </c>
      <c r="AY2" s="8" t="s">
        <v>101</v>
      </c>
      <c r="AZ2" s="7" t="s">
        <v>102</v>
      </c>
      <c r="BA2" s="10" t="s">
        <v>103</v>
      </c>
      <c r="BB2" s="22" t="s">
        <v>104</v>
      </c>
      <c r="BC2" t="s">
        <v>105</v>
      </c>
      <c r="BD2" t="s">
        <v>106</v>
      </c>
      <c r="BE2" t="s">
        <v>107</v>
      </c>
      <c r="BG2">
        <v>1</v>
      </c>
      <c r="BH2">
        <v>1</v>
      </c>
      <c r="BI2">
        <v>2024</v>
      </c>
    </row>
    <row r="3" spans="1:61">
      <c r="A3" s="8" t="s">
        <v>108</v>
      </c>
      <c r="B3" s="7" t="s">
        <v>109</v>
      </c>
      <c r="C3" s="7" t="s">
        <v>110</v>
      </c>
      <c r="D3" s="9" t="s">
        <v>111</v>
      </c>
      <c r="E3" s="7" t="s">
        <v>23</v>
      </c>
      <c r="F3" s="17" t="s">
        <v>112</v>
      </c>
      <c r="G3" s="7" t="s">
        <v>112</v>
      </c>
      <c r="H3" s="7" t="s">
        <v>112</v>
      </c>
      <c r="I3" s="7" t="s">
        <v>112</v>
      </c>
      <c r="J3" s="7" t="s">
        <v>112</v>
      </c>
      <c r="K3" s="7" t="s">
        <v>112</v>
      </c>
      <c r="L3" s="7" t="s">
        <v>112</v>
      </c>
      <c r="M3" s="7" t="s">
        <v>113</v>
      </c>
      <c r="N3" s="7"/>
      <c r="O3" s="2" t="s">
        <v>114</v>
      </c>
      <c r="P3" s="2" t="s">
        <v>114</v>
      </c>
      <c r="Q3" s="7"/>
      <c r="R3" s="7" t="s">
        <v>115</v>
      </c>
      <c r="T3" s="82"/>
      <c r="U3" s="20" t="s">
        <v>116</v>
      </c>
      <c r="V3" s="20" t="s">
        <v>117</v>
      </c>
      <c r="W3" s="24" t="s">
        <v>118</v>
      </c>
      <c r="X3" s="7">
        <v>96973910</v>
      </c>
      <c r="Y3" s="30" t="s">
        <v>119</v>
      </c>
      <c r="Z3" s="32">
        <v>12001437</v>
      </c>
      <c r="AA3" s="32" t="s">
        <v>120</v>
      </c>
      <c r="AB3" s="30">
        <v>13000012</v>
      </c>
      <c r="AC3" s="35" t="s">
        <v>121</v>
      </c>
      <c r="AD3" s="28">
        <v>13030435</v>
      </c>
      <c r="AE3" s="31" t="s">
        <v>95</v>
      </c>
      <c r="AF3" s="31">
        <v>12001398</v>
      </c>
      <c r="AG3" t="s">
        <v>122</v>
      </c>
      <c r="AH3">
        <v>12001446</v>
      </c>
      <c r="AI3" s="43" t="s">
        <v>123</v>
      </c>
      <c r="AJ3" s="44">
        <v>13030401</v>
      </c>
      <c r="AK3" s="41" t="s">
        <v>124</v>
      </c>
      <c r="AL3" s="42">
        <v>13001004</v>
      </c>
      <c r="AM3" s="37" t="s">
        <v>125</v>
      </c>
      <c r="AN3" s="38">
        <v>13030301</v>
      </c>
      <c r="AO3" s="39" t="s">
        <v>126</v>
      </c>
      <c r="AP3" s="40">
        <v>13030553</v>
      </c>
      <c r="AQ3" t="s">
        <v>99</v>
      </c>
      <c r="AR3">
        <v>13001756</v>
      </c>
      <c r="AS3" s="51" t="s">
        <v>121</v>
      </c>
      <c r="AT3" s="52">
        <v>13030435</v>
      </c>
      <c r="AU3" t="s">
        <v>127</v>
      </c>
      <c r="AV3">
        <v>13030317</v>
      </c>
      <c r="AW3" s="60" t="s">
        <v>128</v>
      </c>
      <c r="AX3" s="60">
        <v>10000277</v>
      </c>
      <c r="AY3" s="2"/>
      <c r="AZ3" s="5" t="s">
        <v>129</v>
      </c>
      <c r="BA3" s="10" t="s">
        <v>130</v>
      </c>
      <c r="BB3" s="22" t="s">
        <v>131</v>
      </c>
      <c r="BC3" t="s">
        <v>132</v>
      </c>
      <c r="BD3" t="s">
        <v>133</v>
      </c>
      <c r="BE3" t="s">
        <v>134</v>
      </c>
      <c r="BG3">
        <v>2</v>
      </c>
      <c r="BH3">
        <v>2</v>
      </c>
      <c r="BI3">
        <v>2025</v>
      </c>
    </row>
    <row r="4" spans="1:61">
      <c r="A4" s="8" t="s">
        <v>135</v>
      </c>
      <c r="B4" s="8" t="s">
        <v>136</v>
      </c>
      <c r="C4" s="7" t="s">
        <v>137</v>
      </c>
      <c r="D4" s="9" t="s">
        <v>138</v>
      </c>
      <c r="E4" s="7" t="s">
        <v>24</v>
      </c>
      <c r="F4" s="16" t="s">
        <v>139</v>
      </c>
      <c r="G4" s="7" t="s">
        <v>139</v>
      </c>
      <c r="H4" s="7" t="s">
        <v>139</v>
      </c>
      <c r="I4" s="7" t="s">
        <v>139</v>
      </c>
      <c r="J4" s="7" t="s">
        <v>139</v>
      </c>
      <c r="K4" s="7" t="s">
        <v>140</v>
      </c>
      <c r="L4" s="7" t="s">
        <v>139</v>
      </c>
      <c r="M4" s="7" t="s">
        <v>141</v>
      </c>
      <c r="N4" s="8"/>
      <c r="O4" s="7"/>
      <c r="P4" s="7"/>
      <c r="Q4" s="7"/>
      <c r="R4" s="19" t="s">
        <v>142</v>
      </c>
      <c r="S4" s="8"/>
      <c r="T4" s="82"/>
      <c r="U4" s="20" t="s">
        <v>143</v>
      </c>
      <c r="V4" s="20" t="s">
        <v>144</v>
      </c>
      <c r="W4" s="1" t="s">
        <v>145</v>
      </c>
      <c r="X4" s="7">
        <v>79984240</v>
      </c>
      <c r="Y4" s="31" t="s">
        <v>146</v>
      </c>
      <c r="Z4" s="32">
        <v>12001436</v>
      </c>
      <c r="AA4" s="32" t="s">
        <v>147</v>
      </c>
      <c r="AB4" s="30">
        <v>13000013</v>
      </c>
      <c r="AC4" s="35" t="s">
        <v>148</v>
      </c>
      <c r="AD4" s="28">
        <v>13030495</v>
      </c>
      <c r="AE4" s="31" t="s">
        <v>149</v>
      </c>
      <c r="AF4" s="31">
        <v>12001406</v>
      </c>
      <c r="AG4" t="s">
        <v>96</v>
      </c>
      <c r="AH4">
        <v>12001411</v>
      </c>
      <c r="AI4" s="41" t="s">
        <v>150</v>
      </c>
      <c r="AJ4" s="42">
        <v>13030403</v>
      </c>
      <c r="AK4" s="43" t="s">
        <v>151</v>
      </c>
      <c r="AL4" s="44">
        <v>13030199</v>
      </c>
      <c r="AM4" s="39" t="s">
        <v>152</v>
      </c>
      <c r="AN4" s="40">
        <v>13030322</v>
      </c>
      <c r="AO4" s="37" t="s">
        <v>153</v>
      </c>
      <c r="AP4" s="38">
        <v>13030554</v>
      </c>
      <c r="AQ4" t="s">
        <v>127</v>
      </c>
      <c r="AR4">
        <v>13030317</v>
      </c>
      <c r="AS4" s="49" t="s">
        <v>148</v>
      </c>
      <c r="AT4" s="50">
        <v>13030495</v>
      </c>
      <c r="AU4" t="s">
        <v>154</v>
      </c>
      <c r="AV4">
        <v>13030471</v>
      </c>
      <c r="AW4" s="60" t="s">
        <v>155</v>
      </c>
      <c r="AX4" s="60">
        <v>10000591</v>
      </c>
      <c r="AY4" s="2"/>
      <c r="AZ4" s="5" t="s">
        <v>156</v>
      </c>
      <c r="BA4" s="10" t="s">
        <v>157</v>
      </c>
      <c r="BB4" s="22" t="s">
        <v>158</v>
      </c>
      <c r="BC4" t="s">
        <v>159</v>
      </c>
      <c r="BD4" t="s">
        <v>160</v>
      </c>
      <c r="BE4" t="s">
        <v>161</v>
      </c>
      <c r="BG4">
        <v>3</v>
      </c>
      <c r="BH4">
        <v>3</v>
      </c>
      <c r="BI4">
        <v>2026</v>
      </c>
    </row>
    <row r="5" spans="1:61">
      <c r="A5" s="7"/>
      <c r="B5" s="14"/>
      <c r="C5" s="5" t="s">
        <v>162</v>
      </c>
      <c r="D5" s="9" t="s">
        <v>163</v>
      </c>
      <c r="E5" s="7" t="s">
        <v>25</v>
      </c>
      <c r="F5" s="17" t="s">
        <v>164</v>
      </c>
      <c r="G5" s="7" t="s">
        <v>164</v>
      </c>
      <c r="H5" s="8" t="s">
        <v>165</v>
      </c>
      <c r="I5" s="7" t="s">
        <v>164</v>
      </c>
      <c r="J5" s="8" t="s">
        <v>165</v>
      </c>
      <c r="K5" s="7" t="s">
        <v>139</v>
      </c>
      <c r="L5" s="7" t="s">
        <v>166</v>
      </c>
      <c r="M5" s="7" t="s">
        <v>166</v>
      </c>
      <c r="N5" s="7"/>
      <c r="O5" s="7"/>
      <c r="P5" s="7"/>
      <c r="Q5" s="7"/>
      <c r="R5" s="15" t="s">
        <v>167</v>
      </c>
      <c r="S5" s="8"/>
      <c r="T5" s="82"/>
      <c r="U5" s="20" t="s">
        <v>168</v>
      </c>
      <c r="V5" s="20" t="s">
        <v>169</v>
      </c>
      <c r="W5" s="24" t="s">
        <v>170</v>
      </c>
      <c r="X5" s="7">
        <v>96647600</v>
      </c>
      <c r="Y5" s="31" t="s">
        <v>171</v>
      </c>
      <c r="Z5" s="32">
        <v>12001434</v>
      </c>
      <c r="AA5" s="32" t="s">
        <v>172</v>
      </c>
      <c r="AB5" s="30">
        <v>13000751</v>
      </c>
      <c r="AC5" s="35" t="s">
        <v>173</v>
      </c>
      <c r="AD5" s="28">
        <v>13030544</v>
      </c>
      <c r="AE5" s="31" t="s">
        <v>123</v>
      </c>
      <c r="AF5" s="31">
        <v>13030401</v>
      </c>
      <c r="AG5" t="s">
        <v>174</v>
      </c>
      <c r="AH5">
        <v>13000270</v>
      </c>
      <c r="AI5" s="43" t="s">
        <v>175</v>
      </c>
      <c r="AJ5" s="44">
        <v>13030467</v>
      </c>
      <c r="AK5" s="41" t="s">
        <v>176</v>
      </c>
      <c r="AL5" s="42">
        <v>13030406</v>
      </c>
      <c r="AM5" s="37" t="s">
        <v>177</v>
      </c>
      <c r="AN5" s="38">
        <v>13030489</v>
      </c>
      <c r="AO5" s="39" t="s">
        <v>178</v>
      </c>
      <c r="AP5" s="40">
        <v>13030506</v>
      </c>
      <c r="AQ5" t="s">
        <v>154</v>
      </c>
      <c r="AR5">
        <v>13030471</v>
      </c>
      <c r="AS5" s="51" t="s">
        <v>173</v>
      </c>
      <c r="AT5" s="52">
        <v>13030544</v>
      </c>
      <c r="AU5" t="s">
        <v>179</v>
      </c>
      <c r="AV5">
        <v>13030505</v>
      </c>
      <c r="AW5" s="60" t="s">
        <v>180</v>
      </c>
      <c r="AX5" s="60">
        <v>10004180</v>
      </c>
      <c r="AY5" s="2"/>
      <c r="AZ5" s="5"/>
      <c r="BA5" s="10" t="s">
        <v>181</v>
      </c>
      <c r="BB5" s="22" t="s">
        <v>182</v>
      </c>
      <c r="BC5" t="s">
        <v>183</v>
      </c>
      <c r="BG5">
        <v>4</v>
      </c>
      <c r="BH5">
        <v>4</v>
      </c>
      <c r="BI5">
        <v>2027</v>
      </c>
    </row>
    <row r="6" spans="1:61">
      <c r="C6" s="67" t="s">
        <v>184</v>
      </c>
      <c r="D6" s="13" t="s">
        <v>185</v>
      </c>
      <c r="E6" s="7" t="s">
        <v>26</v>
      </c>
      <c r="F6" s="16" t="s">
        <v>186</v>
      </c>
      <c r="G6" s="8" t="s">
        <v>187</v>
      </c>
      <c r="H6" s="8" t="s">
        <v>188</v>
      </c>
      <c r="I6" s="8" t="s">
        <v>187</v>
      </c>
      <c r="J6" s="8" t="s">
        <v>114</v>
      </c>
      <c r="K6" s="7" t="s">
        <v>189</v>
      </c>
      <c r="L6" s="8" t="s">
        <v>165</v>
      </c>
      <c r="M6" s="8" t="s">
        <v>165</v>
      </c>
      <c r="N6" s="7"/>
      <c r="O6" s="7"/>
      <c r="P6" s="7"/>
      <c r="Q6" s="7"/>
      <c r="R6" s="7"/>
      <c r="S6" s="7"/>
      <c r="T6" s="14"/>
      <c r="U6" s="20" t="s">
        <v>190</v>
      </c>
      <c r="V6" s="20" t="s">
        <v>191</v>
      </c>
      <c r="W6" s="1" t="s">
        <v>192</v>
      </c>
      <c r="X6" s="7">
        <v>82321000</v>
      </c>
      <c r="Y6" s="30" t="s">
        <v>193</v>
      </c>
      <c r="Z6" s="32">
        <v>13030558</v>
      </c>
      <c r="AA6" s="32" t="s">
        <v>194</v>
      </c>
      <c r="AB6" s="30">
        <v>13001720</v>
      </c>
      <c r="AC6" s="35" t="s">
        <v>195</v>
      </c>
      <c r="AD6" s="28">
        <v>13030093</v>
      </c>
      <c r="AE6" s="31" t="s">
        <v>150</v>
      </c>
      <c r="AF6" s="31">
        <v>13030403</v>
      </c>
      <c r="AG6" t="s">
        <v>196</v>
      </c>
      <c r="AH6">
        <v>13030097</v>
      </c>
      <c r="AI6" s="41" t="s">
        <v>197</v>
      </c>
      <c r="AJ6" s="42">
        <v>13030469</v>
      </c>
      <c r="AK6" s="45" t="s">
        <v>198</v>
      </c>
      <c r="AL6" s="46">
        <v>12001376</v>
      </c>
      <c r="AM6" s="39" t="s">
        <v>199</v>
      </c>
      <c r="AN6" s="40">
        <v>13030519</v>
      </c>
      <c r="AO6" t="s">
        <v>200</v>
      </c>
      <c r="AP6">
        <v>13030428</v>
      </c>
      <c r="AQ6" t="s">
        <v>179</v>
      </c>
      <c r="AR6">
        <v>13030505</v>
      </c>
      <c r="AS6" s="49" t="s">
        <v>195</v>
      </c>
      <c r="AT6" s="50">
        <v>13030093</v>
      </c>
      <c r="AU6" s="37" t="s">
        <v>201</v>
      </c>
      <c r="AV6" s="38">
        <v>13030488</v>
      </c>
      <c r="AW6" s="60" t="s">
        <v>202</v>
      </c>
      <c r="AX6" s="60">
        <v>10003328</v>
      </c>
      <c r="AY6" s="2"/>
      <c r="AZ6" s="5"/>
      <c r="BA6" s="10" t="s">
        <v>203</v>
      </c>
      <c r="BB6" s="22" t="s">
        <v>204</v>
      </c>
      <c r="BG6">
        <v>5</v>
      </c>
      <c r="BH6">
        <v>5</v>
      </c>
    </row>
    <row r="7" spans="1:61">
      <c r="C7" s="5" t="s">
        <v>205</v>
      </c>
      <c r="D7" s="9" t="s">
        <v>206</v>
      </c>
      <c r="E7" s="7" t="s">
        <v>27</v>
      </c>
      <c r="F7" s="16"/>
      <c r="G7" s="57" t="s">
        <v>207</v>
      </c>
      <c r="H7" s="7"/>
      <c r="I7" s="8" t="s">
        <v>208</v>
      </c>
      <c r="J7" s="7"/>
      <c r="K7" s="8" t="s">
        <v>209</v>
      </c>
      <c r="L7" s="7" t="s">
        <v>210</v>
      </c>
      <c r="M7" s="8" t="s">
        <v>211</v>
      </c>
      <c r="N7" s="7"/>
      <c r="O7" s="7"/>
      <c r="P7" s="7"/>
      <c r="Q7" s="7"/>
      <c r="R7" s="7"/>
      <c r="S7" s="7"/>
      <c r="T7" s="7"/>
      <c r="U7" s="20" t="s">
        <v>212</v>
      </c>
      <c r="V7" s="20" t="s">
        <v>213</v>
      </c>
      <c r="W7" s="24" t="s">
        <v>214</v>
      </c>
      <c r="X7" s="7">
        <v>77051060</v>
      </c>
      <c r="Y7" s="30" t="s">
        <v>215</v>
      </c>
      <c r="Z7" s="32">
        <v>13030560</v>
      </c>
      <c r="AA7" s="32" t="s">
        <v>216</v>
      </c>
      <c r="AB7" s="30">
        <v>13001721</v>
      </c>
      <c r="AC7" s="35" t="s">
        <v>217</v>
      </c>
      <c r="AD7" s="28">
        <v>13030104</v>
      </c>
      <c r="AE7" s="31" t="s">
        <v>175</v>
      </c>
      <c r="AF7" s="31">
        <v>13030467</v>
      </c>
      <c r="AG7" t="s">
        <v>218</v>
      </c>
      <c r="AH7">
        <v>13030176</v>
      </c>
      <c r="AI7" s="43" t="s">
        <v>219</v>
      </c>
      <c r="AJ7" s="44">
        <v>13030543</v>
      </c>
      <c r="AM7" s="47" t="s">
        <v>220</v>
      </c>
      <c r="AN7" s="48">
        <v>12001374</v>
      </c>
      <c r="AO7" t="s">
        <v>221</v>
      </c>
      <c r="AP7">
        <v>13030431</v>
      </c>
      <c r="AQ7" s="37" t="s">
        <v>201</v>
      </c>
      <c r="AR7" s="38">
        <v>13030488</v>
      </c>
      <c r="AS7" s="51" t="s">
        <v>217</v>
      </c>
      <c r="AT7" s="52">
        <v>13030104</v>
      </c>
      <c r="AU7" s="39" t="s">
        <v>222</v>
      </c>
      <c r="AV7" s="40">
        <v>13030504</v>
      </c>
      <c r="AW7" s="60" t="s">
        <v>223</v>
      </c>
      <c r="AX7" s="60">
        <v>10000164</v>
      </c>
      <c r="AY7" s="2"/>
      <c r="AZ7" s="5"/>
      <c r="BA7" s="10" t="s">
        <v>224</v>
      </c>
      <c r="BB7" s="22" t="s">
        <v>225</v>
      </c>
      <c r="BG7">
        <v>6</v>
      </c>
      <c r="BH7">
        <v>6</v>
      </c>
    </row>
    <row r="8" spans="1:61">
      <c r="C8" s="5" t="s">
        <v>226</v>
      </c>
      <c r="D8" s="13" t="s">
        <v>227</v>
      </c>
      <c r="E8" s="7" t="s">
        <v>28</v>
      </c>
      <c r="F8" s="56"/>
      <c r="G8" s="57" t="s">
        <v>228</v>
      </c>
      <c r="H8" s="7"/>
      <c r="I8" s="8" t="s">
        <v>229</v>
      </c>
      <c r="J8" s="7" t="s">
        <v>230</v>
      </c>
      <c r="K8" s="7" t="s">
        <v>231</v>
      </c>
      <c r="L8" s="8"/>
      <c r="M8" s="7"/>
      <c r="N8" s="7"/>
      <c r="O8" s="7"/>
      <c r="P8" s="7"/>
      <c r="Q8" s="7"/>
      <c r="R8" s="7"/>
      <c r="S8" s="7"/>
      <c r="T8" s="7"/>
      <c r="U8" s="20" t="s">
        <v>232</v>
      </c>
      <c r="V8" s="20" t="s">
        <v>233</v>
      </c>
      <c r="W8" s="1" t="s">
        <v>234</v>
      </c>
      <c r="X8" s="7">
        <v>76111152</v>
      </c>
      <c r="Y8" s="30" t="s">
        <v>235</v>
      </c>
      <c r="Z8" s="32">
        <v>13030557</v>
      </c>
      <c r="AA8" s="32" t="s">
        <v>236</v>
      </c>
      <c r="AB8" s="30">
        <v>13001723</v>
      </c>
      <c r="AC8" s="35" t="s">
        <v>237</v>
      </c>
      <c r="AD8" s="28">
        <v>13030190</v>
      </c>
      <c r="AE8" s="31" t="s">
        <v>197</v>
      </c>
      <c r="AF8" s="31">
        <v>13030469</v>
      </c>
      <c r="AG8" t="s">
        <v>238</v>
      </c>
      <c r="AH8">
        <v>13030210</v>
      </c>
      <c r="AI8" s="41" t="s">
        <v>239</v>
      </c>
      <c r="AJ8" s="42">
        <v>13030098</v>
      </c>
      <c r="AO8" t="s">
        <v>99</v>
      </c>
      <c r="AP8">
        <v>13001756</v>
      </c>
      <c r="AQ8" s="39" t="s">
        <v>222</v>
      </c>
      <c r="AR8" s="40">
        <v>13030504</v>
      </c>
      <c r="AS8" s="49" t="s">
        <v>237</v>
      </c>
      <c r="AT8" s="50">
        <v>13030190</v>
      </c>
      <c r="AU8" s="37" t="s">
        <v>97</v>
      </c>
      <c r="AV8" s="38">
        <v>13030492</v>
      </c>
      <c r="AW8" s="60" t="s">
        <v>240</v>
      </c>
      <c r="AX8" s="60">
        <v>11001704</v>
      </c>
      <c r="AY8" s="2"/>
      <c r="AZ8" s="5"/>
      <c r="BA8" s="10" t="s">
        <v>241</v>
      </c>
      <c r="BB8" s="22" t="s">
        <v>242</v>
      </c>
      <c r="BG8">
        <v>7</v>
      </c>
      <c r="BH8">
        <v>7</v>
      </c>
    </row>
    <row r="9" spans="1:61">
      <c r="C9" s="11" t="s">
        <v>243</v>
      </c>
      <c r="D9" s="13" t="s">
        <v>244</v>
      </c>
      <c r="E9" s="7" t="s">
        <v>29</v>
      </c>
      <c r="F9" s="56"/>
      <c r="G9" s="58" t="s">
        <v>245</v>
      </c>
      <c r="H9" s="7"/>
      <c r="I9" s="8" t="s">
        <v>246</v>
      </c>
      <c r="J9" s="7"/>
      <c r="K9" s="8" t="s">
        <v>247</v>
      </c>
      <c r="L9" s="7"/>
      <c r="M9" s="7"/>
      <c r="N9" s="7"/>
      <c r="O9" s="7"/>
      <c r="P9" s="7"/>
      <c r="Q9" s="7"/>
      <c r="R9" s="7"/>
      <c r="S9" s="7"/>
      <c r="T9" s="7"/>
      <c r="U9" s="20" t="s">
        <v>248</v>
      </c>
      <c r="V9" s="22" t="s">
        <v>249</v>
      </c>
      <c r="W9" s="24" t="s">
        <v>250</v>
      </c>
      <c r="X9" s="7">
        <v>76073937</v>
      </c>
      <c r="Y9" s="30" t="s">
        <v>251</v>
      </c>
      <c r="Z9" s="32">
        <v>13030559</v>
      </c>
      <c r="AA9" s="32" t="s">
        <v>252</v>
      </c>
      <c r="AB9" s="30">
        <v>13001807</v>
      </c>
      <c r="AC9" s="35" t="s">
        <v>253</v>
      </c>
      <c r="AD9" s="28">
        <v>13030191</v>
      </c>
      <c r="AE9" s="31" t="s">
        <v>219</v>
      </c>
      <c r="AF9" s="31">
        <v>13030543</v>
      </c>
      <c r="AG9" t="s">
        <v>254</v>
      </c>
      <c r="AH9">
        <v>13030321</v>
      </c>
      <c r="AI9" t="s">
        <v>255</v>
      </c>
      <c r="AJ9">
        <v>13030177</v>
      </c>
      <c r="AK9" t="s">
        <v>230</v>
      </c>
      <c r="AO9" t="s">
        <v>127</v>
      </c>
      <c r="AP9">
        <v>13030317</v>
      </c>
      <c r="AQ9" s="37" t="s">
        <v>97</v>
      </c>
      <c r="AR9" s="38">
        <v>13030492</v>
      </c>
      <c r="AS9" s="51" t="s">
        <v>253</v>
      </c>
      <c r="AT9" s="52">
        <v>13030191</v>
      </c>
      <c r="AU9" s="39" t="s">
        <v>126</v>
      </c>
      <c r="AV9" s="40">
        <v>13030553</v>
      </c>
      <c r="AW9" s="60" t="s">
        <v>256</v>
      </c>
      <c r="AX9" s="60">
        <v>11001467</v>
      </c>
      <c r="AY9" s="2"/>
      <c r="AZ9" s="5"/>
      <c r="BA9" s="10" t="s">
        <v>257</v>
      </c>
      <c r="BB9" s="66" t="s">
        <v>35</v>
      </c>
      <c r="BG9">
        <v>8</v>
      </c>
      <c r="BH9">
        <v>8</v>
      </c>
    </row>
    <row r="10" spans="1:61">
      <c r="D10" s="9" t="s">
        <v>243</v>
      </c>
      <c r="E10" s="7" t="s">
        <v>30</v>
      </c>
      <c r="F10" s="7"/>
      <c r="G10" s="7"/>
      <c r="H10" s="7"/>
      <c r="I10" s="7"/>
      <c r="J10" s="7"/>
      <c r="K10" s="8" t="s">
        <v>258</v>
      </c>
      <c r="L10" s="7"/>
      <c r="M10" s="7"/>
      <c r="N10" s="7"/>
      <c r="O10" s="7"/>
      <c r="P10" s="7"/>
      <c r="Q10" s="7"/>
      <c r="R10" s="7"/>
      <c r="S10" s="7"/>
      <c r="T10" s="7"/>
      <c r="U10" s="21" t="s">
        <v>259</v>
      </c>
      <c r="V10" s="20" t="s">
        <v>260</v>
      </c>
      <c r="W10" s="1" t="s">
        <v>261</v>
      </c>
      <c r="X10" s="7">
        <v>96998510</v>
      </c>
      <c r="Y10" s="30" t="s">
        <v>262</v>
      </c>
      <c r="Z10" s="32">
        <v>12001441</v>
      </c>
      <c r="AA10" s="32" t="s">
        <v>263</v>
      </c>
      <c r="AB10" s="30">
        <v>13030282</v>
      </c>
      <c r="AC10" s="35" t="s">
        <v>264</v>
      </c>
      <c r="AD10" s="28">
        <v>13030279</v>
      </c>
      <c r="AE10" s="31" t="s">
        <v>239</v>
      </c>
      <c r="AF10" s="31">
        <v>13030098</v>
      </c>
      <c r="AG10" t="s">
        <v>265</v>
      </c>
      <c r="AH10">
        <v>13030402</v>
      </c>
      <c r="AI10" s="37" t="s">
        <v>94</v>
      </c>
      <c r="AJ10" s="38">
        <v>12001397</v>
      </c>
      <c r="AO10" t="s">
        <v>154</v>
      </c>
      <c r="AP10">
        <v>13030471</v>
      </c>
      <c r="AQ10" s="39" t="s">
        <v>126</v>
      </c>
      <c r="AR10" s="40">
        <v>13030553</v>
      </c>
      <c r="AS10" s="49" t="s">
        <v>264</v>
      </c>
      <c r="AT10" s="50">
        <v>13030279</v>
      </c>
      <c r="AU10" s="37" t="s">
        <v>153</v>
      </c>
      <c r="AV10" s="38">
        <v>13030554</v>
      </c>
      <c r="AW10" s="60" t="s">
        <v>266</v>
      </c>
      <c r="AX10" s="60">
        <v>10003552</v>
      </c>
      <c r="AZ10" s="11"/>
      <c r="BA10" s="9" t="s">
        <v>267</v>
      </c>
      <c r="BG10">
        <v>9</v>
      </c>
      <c r="BH10">
        <v>9</v>
      </c>
    </row>
    <row r="11" spans="1:61">
      <c r="D11" s="13" t="s">
        <v>35</v>
      </c>
      <c r="E11" s="7" t="s">
        <v>31</v>
      </c>
      <c r="F11" s="7"/>
      <c r="G11" s="7"/>
      <c r="H11" s="7"/>
      <c r="I11" s="7"/>
      <c r="J11" s="7"/>
      <c r="K11" s="7"/>
      <c r="L11" s="7"/>
      <c r="M11" s="7"/>
      <c r="N11" s="7"/>
      <c r="O11" s="7"/>
      <c r="P11" s="7"/>
      <c r="Q11" s="7"/>
      <c r="R11" s="7"/>
      <c r="S11" s="7"/>
      <c r="T11" s="7"/>
      <c r="U11" s="21"/>
      <c r="V11" s="21" t="s">
        <v>268</v>
      </c>
      <c r="W11" s="24" t="s">
        <v>269</v>
      </c>
      <c r="X11" s="7">
        <v>89444500</v>
      </c>
      <c r="Y11" s="30" t="s">
        <v>270</v>
      </c>
      <c r="Z11" s="32">
        <v>12001443</v>
      </c>
      <c r="AA11" s="32" t="s">
        <v>271</v>
      </c>
      <c r="AB11" s="30">
        <v>13030283</v>
      </c>
      <c r="AC11" s="35" t="s">
        <v>272</v>
      </c>
      <c r="AD11" s="28">
        <v>13030280</v>
      </c>
      <c r="AE11" t="s">
        <v>255</v>
      </c>
      <c r="AF11">
        <v>13030177</v>
      </c>
      <c r="AG11" t="s">
        <v>273</v>
      </c>
      <c r="AH11">
        <v>13030404</v>
      </c>
      <c r="AI11" s="39" t="s">
        <v>174</v>
      </c>
      <c r="AJ11" s="40">
        <v>13000270</v>
      </c>
      <c r="AO11" t="s">
        <v>179</v>
      </c>
      <c r="AP11">
        <v>13030505</v>
      </c>
      <c r="AQ11" s="37" t="s">
        <v>153</v>
      </c>
      <c r="AR11" s="38">
        <v>13030554</v>
      </c>
      <c r="AS11" s="51" t="s">
        <v>272</v>
      </c>
      <c r="AT11" s="52">
        <v>13030280</v>
      </c>
      <c r="AU11" s="39" t="s">
        <v>178</v>
      </c>
      <c r="AV11" s="40">
        <v>13030506</v>
      </c>
      <c r="AW11" s="60" t="s">
        <v>274</v>
      </c>
      <c r="AX11" s="60">
        <v>10003553</v>
      </c>
      <c r="AZ11" s="5"/>
      <c r="BA11" s="12" t="s">
        <v>275</v>
      </c>
      <c r="BG11">
        <v>10</v>
      </c>
      <c r="BH11">
        <v>10</v>
      </c>
    </row>
    <row r="12" spans="1:61">
      <c r="D12" s="13"/>
      <c r="E12" s="7" t="s">
        <v>32</v>
      </c>
      <c r="F12" s="7"/>
      <c r="G12" s="7"/>
      <c r="H12" s="7"/>
      <c r="I12" s="7"/>
      <c r="J12" s="7"/>
      <c r="K12" s="7"/>
      <c r="L12" s="7"/>
      <c r="M12" s="7"/>
      <c r="N12" s="7"/>
      <c r="O12" s="7"/>
      <c r="P12" s="7"/>
      <c r="Q12" s="7"/>
      <c r="R12" s="7"/>
      <c r="S12" s="7"/>
      <c r="T12" s="7"/>
      <c r="U12" s="1"/>
      <c r="W12" s="1" t="s">
        <v>276</v>
      </c>
      <c r="X12" s="7">
        <v>90060000</v>
      </c>
      <c r="Y12" s="30" t="s">
        <v>277</v>
      </c>
      <c r="Z12" s="32">
        <v>12001444</v>
      </c>
      <c r="AA12" s="32" t="s">
        <v>278</v>
      </c>
      <c r="AB12" s="30">
        <v>13030284</v>
      </c>
      <c r="AC12" s="35" t="s">
        <v>279</v>
      </c>
      <c r="AD12">
        <v>12001366</v>
      </c>
      <c r="AE12" s="31" t="s">
        <v>124</v>
      </c>
      <c r="AF12" s="31">
        <v>13001004</v>
      </c>
      <c r="AG12" t="s">
        <v>280</v>
      </c>
      <c r="AH12">
        <v>13030468</v>
      </c>
      <c r="AI12" s="37" t="s">
        <v>238</v>
      </c>
      <c r="AJ12" s="38">
        <v>13030210</v>
      </c>
      <c r="AO12" s="37" t="s">
        <v>201</v>
      </c>
      <c r="AP12" s="38">
        <v>13030488</v>
      </c>
      <c r="AQ12" s="39" t="s">
        <v>178</v>
      </c>
      <c r="AR12" s="40">
        <v>13030506</v>
      </c>
      <c r="AS12" s="55" t="s">
        <v>279</v>
      </c>
      <c r="AT12" s="48">
        <v>12001366</v>
      </c>
      <c r="AU12" t="s">
        <v>200</v>
      </c>
      <c r="AV12">
        <v>13030428</v>
      </c>
      <c r="AW12" s="60" t="s">
        <v>281</v>
      </c>
      <c r="AX12" s="60">
        <v>11000602</v>
      </c>
      <c r="BG12">
        <v>11</v>
      </c>
      <c r="BH12">
        <v>11</v>
      </c>
    </row>
    <row r="13" spans="1:61">
      <c r="E13" s="8" t="s">
        <v>33</v>
      </c>
      <c r="F13" s="7"/>
      <c r="G13" s="7"/>
      <c r="H13" s="7"/>
      <c r="I13" s="7"/>
      <c r="J13" s="7"/>
      <c r="K13" s="7"/>
      <c r="L13" s="7"/>
      <c r="M13" s="7"/>
      <c r="N13" s="7"/>
      <c r="O13" s="7"/>
      <c r="P13" s="7"/>
      <c r="Q13" s="7"/>
      <c r="R13" s="7"/>
      <c r="S13" s="7"/>
      <c r="T13" s="7"/>
      <c r="U13" s="1"/>
      <c r="W13" s="24" t="s">
        <v>282</v>
      </c>
      <c r="X13" s="1">
        <v>96974100</v>
      </c>
      <c r="Y13" s="30" t="s">
        <v>283</v>
      </c>
      <c r="Z13" s="32">
        <v>12001442</v>
      </c>
      <c r="AA13" s="32" t="s">
        <v>284</v>
      </c>
      <c r="AB13" s="30">
        <v>13030285</v>
      </c>
      <c r="AC13" s="35" t="s">
        <v>95</v>
      </c>
      <c r="AD13" s="28">
        <v>12001398</v>
      </c>
      <c r="AE13" s="31" t="s">
        <v>151</v>
      </c>
      <c r="AF13" s="31">
        <v>13030199</v>
      </c>
      <c r="AG13" t="s">
        <v>285</v>
      </c>
      <c r="AI13" s="39" t="s">
        <v>254</v>
      </c>
      <c r="AJ13" s="40">
        <v>13030321</v>
      </c>
      <c r="AO13" s="53" t="s">
        <v>222</v>
      </c>
      <c r="AP13" s="54">
        <v>13030504</v>
      </c>
      <c r="AQ13" t="s">
        <v>200</v>
      </c>
      <c r="AR13">
        <v>13030428</v>
      </c>
      <c r="AU13" t="s">
        <v>221</v>
      </c>
      <c r="AV13">
        <v>13030431</v>
      </c>
      <c r="AW13" s="60" t="s">
        <v>286</v>
      </c>
      <c r="AX13" s="60">
        <v>11001828</v>
      </c>
      <c r="BG13">
        <v>12</v>
      </c>
      <c r="BH13">
        <v>12</v>
      </c>
    </row>
    <row r="14" spans="1:61">
      <c r="E14" s="7" t="s">
        <v>34</v>
      </c>
      <c r="F14" s="7"/>
      <c r="G14" s="7"/>
      <c r="H14" s="7"/>
      <c r="I14" s="7"/>
      <c r="J14" s="7"/>
      <c r="K14" s="7"/>
      <c r="L14" s="7"/>
      <c r="M14" s="7"/>
      <c r="N14" s="7"/>
      <c r="O14" s="7"/>
      <c r="P14" s="7"/>
      <c r="Q14" s="7"/>
      <c r="R14" s="7"/>
      <c r="S14" s="7"/>
      <c r="T14" s="7"/>
      <c r="U14" s="1"/>
      <c r="W14" s="1" t="s">
        <v>287</v>
      </c>
      <c r="X14" s="1">
        <v>96590620</v>
      </c>
      <c r="Y14" s="28"/>
      <c r="Z14" s="29"/>
      <c r="AA14" s="32" t="s">
        <v>288</v>
      </c>
      <c r="AB14" s="30">
        <v>13030286</v>
      </c>
      <c r="AC14" s="35" t="s">
        <v>124</v>
      </c>
      <c r="AD14" s="28">
        <v>13001004</v>
      </c>
      <c r="AE14" s="31" t="s">
        <v>176</v>
      </c>
      <c r="AF14" s="31">
        <v>13030406</v>
      </c>
      <c r="AG14" t="s">
        <v>125</v>
      </c>
      <c r="AH14">
        <v>13030301</v>
      </c>
      <c r="AI14" s="37" t="s">
        <v>265</v>
      </c>
      <c r="AJ14" s="38">
        <v>13030402</v>
      </c>
      <c r="AQ14" t="s">
        <v>221</v>
      </c>
      <c r="AR14">
        <v>13030431</v>
      </c>
      <c r="AW14" s="60" t="s">
        <v>289</v>
      </c>
      <c r="AX14" s="60">
        <v>11001831</v>
      </c>
      <c r="BG14">
        <v>13</v>
      </c>
    </row>
    <row r="15" spans="1:61">
      <c r="E15" s="8" t="s">
        <v>35</v>
      </c>
      <c r="F15" s="7"/>
      <c r="G15" s="7"/>
      <c r="H15" s="7"/>
      <c r="I15" s="7"/>
      <c r="J15" s="7"/>
      <c r="K15" s="7"/>
      <c r="L15" s="7"/>
      <c r="M15" s="7"/>
      <c r="N15" s="7"/>
      <c r="O15" s="7"/>
      <c r="P15" s="7"/>
      <c r="Q15" s="7"/>
      <c r="R15" s="7"/>
      <c r="S15" s="7"/>
      <c r="T15" s="7"/>
      <c r="U15" s="1"/>
      <c r="W15" s="24" t="s">
        <v>290</v>
      </c>
      <c r="X15" s="1">
        <v>76618520</v>
      </c>
      <c r="Y15" s="28"/>
      <c r="Z15" s="29"/>
      <c r="AA15" s="32" t="s">
        <v>291</v>
      </c>
      <c r="AB15" s="30">
        <v>13030336</v>
      </c>
      <c r="AC15" s="35" t="s">
        <v>151</v>
      </c>
      <c r="AD15" s="28">
        <v>13030199</v>
      </c>
      <c r="AE15" s="31" t="s">
        <v>292</v>
      </c>
      <c r="AF15" s="31">
        <v>13030407</v>
      </c>
      <c r="AG15" t="s">
        <v>152</v>
      </c>
      <c r="AH15">
        <v>13030322</v>
      </c>
      <c r="AI15" s="39" t="s">
        <v>273</v>
      </c>
      <c r="AJ15" s="40">
        <v>13030404</v>
      </c>
      <c r="AW15" s="60" t="s">
        <v>293</v>
      </c>
      <c r="AX15" s="60">
        <v>11000418</v>
      </c>
      <c r="BG15">
        <v>14</v>
      </c>
    </row>
    <row r="16" spans="1:61">
      <c r="E16" s="5"/>
      <c r="F16" s="7"/>
      <c r="G16" s="7"/>
      <c r="H16" s="7"/>
      <c r="I16" s="7"/>
      <c r="J16" s="7"/>
      <c r="K16" s="7"/>
      <c r="L16" s="7"/>
      <c r="M16" s="7"/>
      <c r="N16" s="7"/>
      <c r="O16" s="7"/>
      <c r="P16" s="7"/>
      <c r="Q16" s="7"/>
      <c r="R16" s="7"/>
      <c r="S16" s="7"/>
      <c r="T16" s="7"/>
      <c r="U16" s="1"/>
      <c r="W16" s="1" t="s">
        <v>294</v>
      </c>
      <c r="X16" s="1">
        <v>77700110</v>
      </c>
      <c r="Y16" s="28"/>
      <c r="Z16" s="29"/>
      <c r="AA16" s="32" t="s">
        <v>120</v>
      </c>
      <c r="AB16" s="30">
        <v>12000401</v>
      </c>
      <c r="AC16" s="35" t="s">
        <v>176</v>
      </c>
      <c r="AD16">
        <v>13030406</v>
      </c>
      <c r="AE16" s="31" t="s">
        <v>295</v>
      </c>
      <c r="AF16" s="31">
        <v>13030520</v>
      </c>
      <c r="AG16" t="s">
        <v>177</v>
      </c>
      <c r="AH16">
        <v>13030489</v>
      </c>
      <c r="AI16" s="37" t="s">
        <v>280</v>
      </c>
      <c r="AJ16" s="38">
        <v>13030468</v>
      </c>
      <c r="AW16" s="60" t="s">
        <v>296</v>
      </c>
      <c r="AX16" s="60">
        <v>11000421</v>
      </c>
      <c r="BG16">
        <v>15</v>
      </c>
    </row>
    <row r="17" spans="5:59">
      <c r="E17" s="5"/>
      <c r="F17" s="7"/>
      <c r="G17" s="7"/>
      <c r="H17" s="7"/>
      <c r="I17" s="7"/>
      <c r="J17" s="7"/>
      <c r="K17" s="7"/>
      <c r="L17" s="8"/>
      <c r="M17" s="7"/>
      <c r="N17" s="7"/>
      <c r="O17" s="7"/>
      <c r="P17" s="7"/>
      <c r="Q17" s="7"/>
      <c r="R17" s="7"/>
      <c r="S17" s="7"/>
      <c r="T17" s="7"/>
      <c r="U17" s="1"/>
      <c r="W17" s="24" t="s">
        <v>297</v>
      </c>
      <c r="X17" s="1">
        <v>77206480</v>
      </c>
      <c r="Y17" s="28"/>
      <c r="Z17" s="29"/>
      <c r="AA17" s="32" t="s">
        <v>147</v>
      </c>
      <c r="AB17" s="30">
        <v>12000406</v>
      </c>
      <c r="AC17" s="35" t="s">
        <v>198</v>
      </c>
      <c r="AD17">
        <v>12001376</v>
      </c>
      <c r="AE17" s="31" t="s">
        <v>298</v>
      </c>
      <c r="AF17" s="31">
        <v>12001372</v>
      </c>
      <c r="AG17" t="s">
        <v>199</v>
      </c>
      <c r="AH17">
        <v>13030519</v>
      </c>
      <c r="AI17" t="s">
        <v>299</v>
      </c>
      <c r="AJ17">
        <v>12001407</v>
      </c>
      <c r="AW17" s="60" t="s">
        <v>300</v>
      </c>
      <c r="AX17" s="60">
        <v>11000521</v>
      </c>
      <c r="BG17">
        <v>16</v>
      </c>
    </row>
    <row r="18" spans="5:59">
      <c r="E18" s="5"/>
      <c r="F18" s="8"/>
      <c r="G18" s="8"/>
      <c r="H18" s="8"/>
      <c r="I18" s="8"/>
      <c r="J18" s="8"/>
      <c r="K18" s="8"/>
      <c r="L18" s="7"/>
      <c r="M18" s="8"/>
      <c r="N18" s="8"/>
      <c r="O18" s="8"/>
      <c r="P18" s="8"/>
      <c r="Q18" s="8"/>
      <c r="R18" s="8"/>
      <c r="S18" s="8"/>
      <c r="T18" s="7"/>
      <c r="U18" s="1"/>
      <c r="W18" s="1" t="s">
        <v>301</v>
      </c>
      <c r="X18" s="1">
        <v>76057769</v>
      </c>
      <c r="Y18" s="28"/>
      <c r="Z18" s="29"/>
      <c r="AA18" s="32" t="s">
        <v>302</v>
      </c>
      <c r="AB18" s="30">
        <v>12000408</v>
      </c>
      <c r="AE18" s="31" t="s">
        <v>198</v>
      </c>
      <c r="AF18" s="31">
        <v>12001376</v>
      </c>
      <c r="AG18" t="s">
        <v>220</v>
      </c>
      <c r="AH18">
        <v>12001374</v>
      </c>
      <c r="AI18" t="s">
        <v>303</v>
      </c>
      <c r="AJ18">
        <v>13030395</v>
      </c>
      <c r="AW18" s="60" t="s">
        <v>304</v>
      </c>
      <c r="AX18" s="60">
        <v>10000114</v>
      </c>
      <c r="BG18">
        <v>17</v>
      </c>
    </row>
    <row r="19" spans="5:59">
      <c r="F19" s="7"/>
      <c r="G19" s="7"/>
      <c r="H19" s="7"/>
      <c r="I19" s="7"/>
      <c r="J19" s="7"/>
      <c r="K19" s="7"/>
      <c r="M19" s="7"/>
      <c r="N19" s="7"/>
      <c r="O19" s="7"/>
      <c r="P19" s="7"/>
      <c r="Q19" s="7"/>
      <c r="R19" s="7"/>
      <c r="S19" s="7"/>
      <c r="T19" s="7"/>
      <c r="U19" s="1"/>
      <c r="W19" s="24" t="s">
        <v>305</v>
      </c>
      <c r="X19" s="1">
        <v>80186300</v>
      </c>
      <c r="Y19" s="28"/>
      <c r="Z19" s="29"/>
      <c r="AA19" s="32" t="s">
        <v>306</v>
      </c>
      <c r="AB19" s="30">
        <v>13030541</v>
      </c>
      <c r="AE19" s="31" t="s">
        <v>307</v>
      </c>
      <c r="AF19" s="31">
        <v>12001381</v>
      </c>
      <c r="AG19" t="s">
        <v>308</v>
      </c>
      <c r="AH19">
        <v>12001447</v>
      </c>
      <c r="AI19" t="s">
        <v>309</v>
      </c>
      <c r="AJ19">
        <v>13030396</v>
      </c>
      <c r="AW19" s="60" t="s">
        <v>310</v>
      </c>
      <c r="AX19" s="60">
        <v>10004178</v>
      </c>
      <c r="BG19">
        <v>18</v>
      </c>
    </row>
    <row r="20" spans="5:59">
      <c r="W20" s="1" t="s">
        <v>311</v>
      </c>
      <c r="X20" s="1">
        <v>81094100</v>
      </c>
      <c r="Y20" s="28"/>
      <c r="Z20" s="29"/>
      <c r="AA20" s="32" t="s">
        <v>312</v>
      </c>
      <c r="AB20" s="30">
        <v>13030542</v>
      </c>
      <c r="AG20" t="s">
        <v>313</v>
      </c>
      <c r="AH20">
        <v>12001339</v>
      </c>
      <c r="AI20" t="s">
        <v>314</v>
      </c>
      <c r="AJ20">
        <v>13030397</v>
      </c>
      <c r="AW20" s="60" t="s">
        <v>315</v>
      </c>
      <c r="AX20" s="60">
        <v>10003283</v>
      </c>
      <c r="BG20">
        <v>19</v>
      </c>
    </row>
    <row r="21" spans="5:59">
      <c r="W21" s="24" t="s">
        <v>316</v>
      </c>
      <c r="X21" s="1">
        <v>96678110</v>
      </c>
      <c r="Y21" s="28"/>
      <c r="Z21" s="29"/>
      <c r="AA21" s="32" t="s">
        <v>317</v>
      </c>
      <c r="AB21" s="30">
        <v>13000463</v>
      </c>
      <c r="AI21" t="s">
        <v>318</v>
      </c>
      <c r="AJ21">
        <v>13030405</v>
      </c>
      <c r="AW21" s="60" t="s">
        <v>319</v>
      </c>
      <c r="AX21" s="60">
        <v>11000921</v>
      </c>
      <c r="BG21">
        <v>20</v>
      </c>
    </row>
    <row r="22" spans="5:59">
      <c r="W22" s="1" t="s">
        <v>320</v>
      </c>
      <c r="X22" s="1">
        <v>76455830</v>
      </c>
      <c r="Y22" s="28"/>
      <c r="Z22" s="29"/>
      <c r="AA22" s="32" t="s">
        <v>321</v>
      </c>
      <c r="AB22" s="30">
        <v>13000464</v>
      </c>
      <c r="AI22" t="s">
        <v>201</v>
      </c>
      <c r="AJ22">
        <v>13030488</v>
      </c>
      <c r="AW22" s="60" t="s">
        <v>322</v>
      </c>
      <c r="AX22" s="60">
        <v>11001640</v>
      </c>
      <c r="BG22">
        <v>21</v>
      </c>
    </row>
    <row r="23" spans="5:59">
      <c r="W23" s="24" t="s">
        <v>323</v>
      </c>
      <c r="X23" s="1">
        <v>96604460</v>
      </c>
      <c r="Y23" s="28"/>
      <c r="Z23" s="29"/>
      <c r="AA23" s="32" t="s">
        <v>324</v>
      </c>
      <c r="AB23" s="30">
        <v>13000469</v>
      </c>
      <c r="AI23" t="s">
        <v>222</v>
      </c>
      <c r="AJ23">
        <v>13030504</v>
      </c>
      <c r="AW23" s="60" t="s">
        <v>325</v>
      </c>
      <c r="AX23" s="60">
        <v>11001635</v>
      </c>
      <c r="BG23">
        <v>22</v>
      </c>
    </row>
    <row r="24" spans="5:59">
      <c r="W24" s="1" t="s">
        <v>326</v>
      </c>
      <c r="X24" s="1">
        <v>76085401</v>
      </c>
      <c r="Y24" s="28"/>
      <c r="Z24" s="29"/>
      <c r="AA24" s="32" t="s">
        <v>327</v>
      </c>
      <c r="AB24" s="30">
        <v>13000470</v>
      </c>
      <c r="AI24" t="s">
        <v>328</v>
      </c>
      <c r="AJ24">
        <v>13030521</v>
      </c>
      <c r="AW24" s="60" t="s">
        <v>329</v>
      </c>
      <c r="AX24" s="60">
        <v>11001636</v>
      </c>
      <c r="BG24">
        <v>23</v>
      </c>
    </row>
    <row r="25" spans="5:59">
      <c r="W25" s="24" t="s">
        <v>330</v>
      </c>
      <c r="X25" s="1">
        <v>76885631</v>
      </c>
      <c r="Y25" s="28"/>
      <c r="Z25" s="29"/>
      <c r="AA25" s="32" t="s">
        <v>331</v>
      </c>
      <c r="AB25" s="30">
        <v>13000471</v>
      </c>
      <c r="AI25" t="s">
        <v>332</v>
      </c>
      <c r="AJ25">
        <v>12001408</v>
      </c>
      <c r="AW25" s="60" t="s">
        <v>333</v>
      </c>
      <c r="AX25" s="60">
        <v>11001639</v>
      </c>
      <c r="BG25">
        <v>24</v>
      </c>
    </row>
    <row r="26" spans="5:59">
      <c r="W26" s="1" t="s">
        <v>334</v>
      </c>
      <c r="X26" s="1">
        <v>76188974</v>
      </c>
      <c r="Y26" s="28"/>
      <c r="Z26" s="29"/>
      <c r="AA26" s="32" t="s">
        <v>335</v>
      </c>
      <c r="AB26" s="30">
        <v>12000170</v>
      </c>
      <c r="AI26" t="s">
        <v>97</v>
      </c>
      <c r="AJ26">
        <v>13030492</v>
      </c>
      <c r="AW26" s="60" t="s">
        <v>336</v>
      </c>
      <c r="AX26" s="60">
        <v>11001637</v>
      </c>
      <c r="BG26">
        <v>25</v>
      </c>
    </row>
    <row r="27" spans="5:59">
      <c r="W27" s="24" t="s">
        <v>337</v>
      </c>
      <c r="X27" s="1">
        <v>76005927</v>
      </c>
      <c r="Y27" s="28"/>
      <c r="Z27" s="29"/>
      <c r="AA27" s="32" t="s">
        <v>338</v>
      </c>
      <c r="AB27" s="30">
        <v>12000095</v>
      </c>
      <c r="AI27" t="s">
        <v>126</v>
      </c>
      <c r="AJ27">
        <v>13030553</v>
      </c>
      <c r="AW27" s="60" t="s">
        <v>339</v>
      </c>
      <c r="AX27" s="60">
        <v>11001638</v>
      </c>
      <c r="BG27">
        <v>26</v>
      </c>
    </row>
    <row r="28" spans="5:59">
      <c r="W28" s="1" t="s">
        <v>340</v>
      </c>
      <c r="X28" s="1">
        <v>94282000</v>
      </c>
      <c r="Y28" s="28"/>
      <c r="Z28" s="29"/>
      <c r="AA28" s="32" t="s">
        <v>341</v>
      </c>
      <c r="AB28" s="30">
        <v>12000402</v>
      </c>
      <c r="AI28" t="s">
        <v>153</v>
      </c>
      <c r="AJ28">
        <v>13030554</v>
      </c>
      <c r="AW28" s="60" t="s">
        <v>342</v>
      </c>
      <c r="AX28" s="60">
        <v>11001918</v>
      </c>
      <c r="BG28">
        <v>27</v>
      </c>
    </row>
    <row r="29" spans="5:59">
      <c r="W29" s="24" t="s">
        <v>343</v>
      </c>
      <c r="X29" s="1">
        <v>76979850</v>
      </c>
      <c r="Y29" s="28"/>
      <c r="Z29" s="29"/>
      <c r="AA29" s="32" t="s">
        <v>344</v>
      </c>
      <c r="AB29" s="30">
        <v>12000407</v>
      </c>
      <c r="AI29" t="s">
        <v>178</v>
      </c>
      <c r="AJ29">
        <v>13030506</v>
      </c>
      <c r="AW29" s="60" t="s">
        <v>345</v>
      </c>
      <c r="AX29" s="60">
        <v>11000159</v>
      </c>
      <c r="BG29">
        <v>28</v>
      </c>
    </row>
    <row r="30" spans="5:59">
      <c r="W30" s="1" t="s">
        <v>346</v>
      </c>
      <c r="X30" s="1">
        <v>76443294</v>
      </c>
      <c r="Y30" s="28"/>
      <c r="Z30" s="29"/>
      <c r="AA30" s="32" t="s">
        <v>347</v>
      </c>
      <c r="AB30" s="30">
        <v>12000409</v>
      </c>
      <c r="AI30" t="s">
        <v>348</v>
      </c>
      <c r="AJ30">
        <v>12001386</v>
      </c>
      <c r="AW30" s="60" t="s">
        <v>349</v>
      </c>
      <c r="AX30" s="60">
        <v>10004120</v>
      </c>
      <c r="BG30">
        <v>29</v>
      </c>
    </row>
    <row r="31" spans="5:59">
      <c r="W31" s="24" t="s">
        <v>350</v>
      </c>
      <c r="X31" s="1">
        <v>76060397</v>
      </c>
      <c r="Y31" s="28"/>
      <c r="Z31" s="29"/>
      <c r="AA31" s="32" t="s">
        <v>351</v>
      </c>
      <c r="AB31" s="30">
        <v>12001365</v>
      </c>
      <c r="AI31" t="s">
        <v>352</v>
      </c>
      <c r="AJ31">
        <v>13030425</v>
      </c>
      <c r="AW31" s="60" t="s">
        <v>353</v>
      </c>
      <c r="AX31" s="60">
        <v>11001829</v>
      </c>
      <c r="BG31">
        <v>30</v>
      </c>
    </row>
    <row r="32" spans="5:59">
      <c r="W32" s="1" t="s">
        <v>354</v>
      </c>
      <c r="X32" s="1">
        <v>96665460</v>
      </c>
      <c r="Y32" s="28"/>
      <c r="Z32" s="29"/>
      <c r="AA32" s="32" t="s">
        <v>355</v>
      </c>
      <c r="AB32" s="30">
        <v>12001367</v>
      </c>
      <c r="AI32" t="s">
        <v>356</v>
      </c>
      <c r="AJ32">
        <v>13030465</v>
      </c>
      <c r="AW32" s="60" t="s">
        <v>357</v>
      </c>
      <c r="AX32" s="60">
        <v>11000135</v>
      </c>
      <c r="BG32">
        <v>31</v>
      </c>
    </row>
    <row r="33" spans="23:50">
      <c r="W33" s="24" t="s">
        <v>358</v>
      </c>
      <c r="X33" s="1">
        <v>76830041</v>
      </c>
      <c r="Y33" s="28"/>
      <c r="Z33" s="29"/>
      <c r="AA33" s="32" t="s">
        <v>359</v>
      </c>
      <c r="AB33" s="30">
        <v>12001368</v>
      </c>
      <c r="AI33" s="41" t="s">
        <v>298</v>
      </c>
      <c r="AJ33" s="42">
        <v>12001372</v>
      </c>
      <c r="AW33" s="60" t="s">
        <v>360</v>
      </c>
      <c r="AX33" s="60">
        <v>11001804</v>
      </c>
    </row>
    <row r="34" spans="23:50">
      <c r="W34" s="1" t="s">
        <v>361</v>
      </c>
      <c r="X34" s="1">
        <v>96506730</v>
      </c>
      <c r="Y34" s="28"/>
      <c r="Z34" s="29"/>
      <c r="AA34" s="32" t="s">
        <v>362</v>
      </c>
      <c r="AB34" s="30">
        <v>12001369</v>
      </c>
      <c r="AI34" s="37" t="s">
        <v>313</v>
      </c>
      <c r="AJ34" s="38">
        <v>12001339</v>
      </c>
      <c r="AW34" s="60" t="s">
        <v>363</v>
      </c>
      <c r="AX34" s="60">
        <v>11000148</v>
      </c>
    </row>
    <row r="35" spans="23:50">
      <c r="W35" s="24" t="s">
        <v>364</v>
      </c>
      <c r="X35" s="1">
        <v>78092710</v>
      </c>
      <c r="Y35" s="28"/>
      <c r="Z35" s="29"/>
      <c r="AA35" s="35" t="s">
        <v>95</v>
      </c>
      <c r="AB35" s="28">
        <v>12001398</v>
      </c>
      <c r="AI35" t="s">
        <v>365</v>
      </c>
      <c r="AJ35">
        <v>12001375</v>
      </c>
      <c r="AW35" s="60" t="s">
        <v>366</v>
      </c>
      <c r="AX35" s="60">
        <v>11001830</v>
      </c>
    </row>
    <row r="36" spans="23:50">
      <c r="W36" s="1" t="s">
        <v>367</v>
      </c>
      <c r="X36" s="1">
        <v>76090492</v>
      </c>
      <c r="Y36" s="28"/>
      <c r="Z36" s="29"/>
      <c r="AA36" s="35" t="s">
        <v>124</v>
      </c>
      <c r="AB36" s="28">
        <v>13001004</v>
      </c>
      <c r="AI36" t="s">
        <v>368</v>
      </c>
      <c r="AJ36">
        <v>12001409</v>
      </c>
      <c r="AW36" s="60" t="s">
        <v>369</v>
      </c>
      <c r="AX36" s="60">
        <v>11001803</v>
      </c>
    </row>
    <row r="37" spans="23:50">
      <c r="W37" s="24" t="s">
        <v>370</v>
      </c>
      <c r="X37" s="1">
        <v>96565810</v>
      </c>
      <c r="Y37" s="28"/>
      <c r="Z37" s="29"/>
      <c r="AA37" s="35" t="s">
        <v>151</v>
      </c>
      <c r="AB37" s="28">
        <v>13030199</v>
      </c>
      <c r="AI37" t="s">
        <v>371</v>
      </c>
      <c r="AJ37">
        <v>12000110</v>
      </c>
      <c r="AW37" s="60" t="s">
        <v>372</v>
      </c>
      <c r="AX37" s="60">
        <v>11001647</v>
      </c>
    </row>
    <row r="38" spans="23:50">
      <c r="W38" s="1" t="s">
        <v>373</v>
      </c>
      <c r="X38" s="1">
        <v>76354580</v>
      </c>
      <c r="Y38" s="28"/>
      <c r="Z38" s="29"/>
      <c r="AA38" s="35" t="s">
        <v>176</v>
      </c>
      <c r="AB38">
        <v>13030406</v>
      </c>
      <c r="AI38" t="s">
        <v>374</v>
      </c>
      <c r="AJ38">
        <v>12001373</v>
      </c>
      <c r="AW38" s="60" t="s">
        <v>375</v>
      </c>
      <c r="AX38" s="60">
        <v>11001529</v>
      </c>
    </row>
    <row r="39" spans="23:50">
      <c r="W39" s="24" t="s">
        <v>376</v>
      </c>
      <c r="X39" s="1">
        <v>76016331</v>
      </c>
      <c r="Y39" s="28"/>
      <c r="Z39" s="29"/>
      <c r="AA39" s="35" t="s">
        <v>198</v>
      </c>
      <c r="AB39">
        <v>12001376</v>
      </c>
      <c r="AW39" s="60" t="s">
        <v>377</v>
      </c>
      <c r="AX39" s="60">
        <v>10003707</v>
      </c>
    </row>
    <row r="40" spans="23:50">
      <c r="W40" s="1" t="s">
        <v>378</v>
      </c>
      <c r="X40" s="1">
        <v>77248660</v>
      </c>
      <c r="Y40" s="28"/>
      <c r="Z40" s="29"/>
      <c r="AA40" s="28"/>
      <c r="AB40" s="29"/>
      <c r="AW40" s="60" t="s">
        <v>379</v>
      </c>
      <c r="AX40" s="60">
        <v>10004101</v>
      </c>
    </row>
    <row r="41" spans="23:50">
      <c r="W41" s="24" t="s">
        <v>380</v>
      </c>
      <c r="X41" s="1">
        <v>76150343</v>
      </c>
      <c r="Y41" s="28"/>
      <c r="Z41" s="29"/>
      <c r="AA41" s="28"/>
      <c r="AB41" s="29"/>
      <c r="AW41" s="60" t="s">
        <v>381</v>
      </c>
      <c r="AX41" s="60">
        <v>11001505</v>
      </c>
    </row>
    <row r="42" spans="23:50">
      <c r="W42" s="1" t="s">
        <v>382</v>
      </c>
      <c r="X42" s="1">
        <v>84144400</v>
      </c>
      <c r="Y42" s="28"/>
      <c r="Z42" s="29"/>
      <c r="AA42" s="28"/>
      <c r="AB42" s="29"/>
      <c r="AW42" s="60" t="s">
        <v>383</v>
      </c>
      <c r="AX42" s="60">
        <v>11001448</v>
      </c>
    </row>
    <row r="43" spans="23:50">
      <c r="W43" s="24" t="s">
        <v>384</v>
      </c>
      <c r="X43" s="1">
        <v>76072989</v>
      </c>
      <c r="Y43" s="28"/>
      <c r="Z43" s="29"/>
      <c r="AA43" s="28"/>
      <c r="AB43" s="29"/>
      <c r="AW43" s="60" t="s">
        <v>385</v>
      </c>
      <c r="AX43" s="60">
        <v>11001792</v>
      </c>
    </row>
    <row r="44" spans="23:50">
      <c r="W44" s="1" t="s">
        <v>386</v>
      </c>
      <c r="X44" s="1">
        <v>76006727</v>
      </c>
      <c r="Y44" s="28"/>
      <c r="Z44" s="29"/>
      <c r="AA44" s="28"/>
      <c r="AB44" s="29"/>
      <c r="AW44" s="60" t="s">
        <v>387</v>
      </c>
      <c r="AX44" s="60">
        <v>11000671</v>
      </c>
    </row>
    <row r="45" spans="23:50">
      <c r="W45" s="24" t="s">
        <v>388</v>
      </c>
      <c r="X45" s="1">
        <v>76939664</v>
      </c>
      <c r="Y45" s="28"/>
      <c r="Z45" s="29"/>
      <c r="AA45" s="28"/>
      <c r="AB45" s="29"/>
      <c r="AW45" s="60" t="s">
        <v>389</v>
      </c>
      <c r="AX45" s="60">
        <v>11000673</v>
      </c>
    </row>
    <row r="46" spans="23:50">
      <c r="W46" s="1" t="s">
        <v>390</v>
      </c>
      <c r="X46" s="1">
        <v>76285946</v>
      </c>
      <c r="Y46" s="28"/>
      <c r="AW46" s="60" t="s">
        <v>391</v>
      </c>
      <c r="AX46" s="60">
        <v>11000672</v>
      </c>
    </row>
    <row r="47" spans="23:50">
      <c r="W47" s="24" t="s">
        <v>392</v>
      </c>
      <c r="X47" s="1">
        <v>77740030</v>
      </c>
      <c r="Y47" s="28"/>
      <c r="Z47" s="29"/>
      <c r="AA47" s="28"/>
      <c r="AB47" s="28"/>
      <c r="AW47" s="60" t="s">
        <v>393</v>
      </c>
      <c r="AX47" s="60">
        <v>11001799</v>
      </c>
    </row>
    <row r="48" spans="23:50">
      <c r="W48" s="1" t="s">
        <v>394</v>
      </c>
      <c r="X48" s="1">
        <v>5920758</v>
      </c>
      <c r="Y48" s="28"/>
      <c r="AW48" s="60" t="s">
        <v>395</v>
      </c>
      <c r="AX48" s="60">
        <v>11001659</v>
      </c>
    </row>
    <row r="49" spans="23:50">
      <c r="W49" s="24" t="s">
        <v>396</v>
      </c>
      <c r="X49" s="1">
        <v>76541630</v>
      </c>
      <c r="Y49" s="28"/>
      <c r="Z49" s="29"/>
      <c r="AA49" s="28"/>
      <c r="AB49" s="29"/>
      <c r="AW49" s="60" t="s">
        <v>397</v>
      </c>
      <c r="AX49" s="60">
        <v>11001470</v>
      </c>
    </row>
    <row r="50" spans="23:50">
      <c r="W50" s="1" t="s">
        <v>398</v>
      </c>
      <c r="X50" s="1">
        <v>76483167</v>
      </c>
      <c r="Y50" s="28"/>
      <c r="Z50" s="29"/>
      <c r="AA50" s="28"/>
      <c r="AB50" s="29"/>
      <c r="AW50" s="60" t="s">
        <v>399</v>
      </c>
      <c r="AX50" s="60">
        <v>11001614</v>
      </c>
    </row>
    <row r="51" spans="23:50">
      <c r="W51" s="24" t="s">
        <v>400</v>
      </c>
      <c r="X51" s="1">
        <v>76178838</v>
      </c>
      <c r="Y51" s="28"/>
      <c r="Z51" s="29"/>
      <c r="AA51" s="28"/>
      <c r="AB51" s="29"/>
      <c r="AW51" s="60" t="s">
        <v>401</v>
      </c>
      <c r="AX51" s="60">
        <v>11000601</v>
      </c>
    </row>
    <row r="52" spans="23:50">
      <c r="W52" s="1" t="s">
        <v>402</v>
      </c>
      <c r="X52" s="1">
        <v>78382760</v>
      </c>
      <c r="Y52" s="28"/>
      <c r="Z52" s="29"/>
      <c r="AA52" s="28"/>
      <c r="AB52" s="29"/>
      <c r="AW52" s="60" t="s">
        <v>403</v>
      </c>
      <c r="AX52" s="60">
        <v>11001703</v>
      </c>
    </row>
    <row r="53" spans="23:50">
      <c r="W53" s="24" t="s">
        <v>404</v>
      </c>
      <c r="X53" s="1">
        <v>84750800</v>
      </c>
      <c r="Y53" s="28"/>
      <c r="Z53" s="29"/>
      <c r="AA53" s="28"/>
      <c r="AB53" s="29"/>
      <c r="AW53" s="60" t="s">
        <v>405</v>
      </c>
      <c r="AX53" s="60">
        <v>11001630</v>
      </c>
    </row>
    <row r="54" spans="23:50">
      <c r="W54" s="1" t="s">
        <v>406</v>
      </c>
      <c r="X54" s="1">
        <v>13697415</v>
      </c>
      <c r="Y54" s="28"/>
      <c r="Z54" s="29"/>
      <c r="AA54" s="28"/>
      <c r="AB54" s="29"/>
      <c r="AW54" s="60" t="s">
        <v>407</v>
      </c>
      <c r="AX54" s="60">
        <v>11001557</v>
      </c>
    </row>
    <row r="55" spans="23:50">
      <c r="W55" s="24" t="s">
        <v>408</v>
      </c>
      <c r="X55" s="1">
        <v>96733580</v>
      </c>
      <c r="Y55" s="28"/>
      <c r="Z55" s="29"/>
      <c r="AA55" s="28"/>
      <c r="AB55" s="29"/>
      <c r="AW55" s="60" t="s">
        <v>409</v>
      </c>
      <c r="AX55" s="60">
        <v>11001699</v>
      </c>
    </row>
    <row r="56" spans="23:50">
      <c r="W56" s="1" t="s">
        <v>410</v>
      </c>
      <c r="X56" s="1">
        <v>90828000</v>
      </c>
      <c r="Y56" s="28"/>
      <c r="Z56" s="29"/>
      <c r="AA56" s="28"/>
      <c r="AB56" s="29"/>
      <c r="AW56" s="60" t="s">
        <v>411</v>
      </c>
      <c r="AX56" s="60">
        <v>11001806</v>
      </c>
    </row>
    <row r="57" spans="23:50">
      <c r="W57" s="24" t="s">
        <v>412</v>
      </c>
      <c r="X57" s="1">
        <v>99565620</v>
      </c>
      <c r="Y57" s="28"/>
      <c r="Z57" s="29"/>
      <c r="AA57" s="28"/>
      <c r="AB57" s="29"/>
      <c r="AW57" s="60" t="s">
        <v>413</v>
      </c>
      <c r="AX57" s="60">
        <v>11001793</v>
      </c>
    </row>
    <row r="58" spans="23:50">
      <c r="W58" s="1" t="s">
        <v>414</v>
      </c>
      <c r="X58" s="1">
        <v>99549330</v>
      </c>
      <c r="Y58" s="28"/>
      <c r="Z58" s="29"/>
      <c r="AA58" s="28"/>
      <c r="AB58" s="29"/>
      <c r="AW58" s="60" t="s">
        <v>415</v>
      </c>
      <c r="AX58" s="60">
        <v>11000846</v>
      </c>
    </row>
    <row r="59" spans="23:50">
      <c r="W59" s="24" t="s">
        <v>416</v>
      </c>
      <c r="X59" s="1">
        <v>81145500</v>
      </c>
      <c r="Y59" s="28"/>
      <c r="Z59" s="29"/>
      <c r="AA59" s="28"/>
      <c r="AB59" s="29"/>
      <c r="AW59" s="60" t="s">
        <v>417</v>
      </c>
      <c r="AX59" s="60">
        <v>11000050</v>
      </c>
    </row>
    <row r="60" spans="23:50">
      <c r="W60" s="1" t="s">
        <v>418</v>
      </c>
      <c r="X60" s="1">
        <v>6371206</v>
      </c>
      <c r="Y60" s="28"/>
      <c r="Z60" s="29"/>
      <c r="AA60" s="28"/>
      <c r="AB60" s="29"/>
      <c r="AW60" s="60" t="s">
        <v>419</v>
      </c>
      <c r="AX60" s="60">
        <v>11001629</v>
      </c>
    </row>
    <row r="61" spans="23:50">
      <c r="W61" s="24" t="s">
        <v>420</v>
      </c>
      <c r="X61" s="1">
        <v>89462400</v>
      </c>
      <c r="Y61" s="28"/>
      <c r="AW61" s="60" t="s">
        <v>421</v>
      </c>
      <c r="AX61" s="60">
        <v>11001446</v>
      </c>
    </row>
    <row r="62" spans="23:50">
      <c r="W62" s="1" t="s">
        <v>422</v>
      </c>
      <c r="X62" s="1">
        <v>79522140</v>
      </c>
      <c r="Y62" s="28"/>
      <c r="Z62" s="29"/>
      <c r="AA62" s="28"/>
      <c r="AB62" s="29"/>
      <c r="AW62" s="60" t="s">
        <v>423</v>
      </c>
      <c r="AX62" s="60">
        <v>11001628</v>
      </c>
    </row>
    <row r="63" spans="23:50">
      <c r="W63" s="24" t="s">
        <v>424</v>
      </c>
      <c r="X63" s="1">
        <v>83877600</v>
      </c>
      <c r="Y63" s="28"/>
      <c r="Z63" s="29"/>
      <c r="AA63" s="28"/>
      <c r="AB63" s="29"/>
      <c r="AW63" s="60" t="s">
        <v>425</v>
      </c>
      <c r="AX63" s="60">
        <v>11001701</v>
      </c>
    </row>
    <row r="64" spans="23:50">
      <c r="W64" s="1" t="s">
        <v>426</v>
      </c>
      <c r="X64" s="1">
        <v>91004000</v>
      </c>
      <c r="Y64" s="28"/>
      <c r="Z64" s="29"/>
      <c r="AA64" s="28"/>
      <c r="AB64" s="29"/>
      <c r="AW64" s="60" t="s">
        <v>427</v>
      </c>
      <c r="AX64" s="60">
        <v>11001627</v>
      </c>
    </row>
    <row r="65" spans="23:50">
      <c r="W65" s="24" t="s">
        <v>428</v>
      </c>
      <c r="X65" s="1">
        <v>96540330</v>
      </c>
      <c r="Y65" s="28"/>
      <c r="Z65" s="29"/>
      <c r="AA65" s="28"/>
      <c r="AB65" s="29"/>
      <c r="AW65" s="60" t="s">
        <v>429</v>
      </c>
      <c r="AX65" s="60">
        <v>11001706</v>
      </c>
    </row>
    <row r="66" spans="23:50">
      <c r="W66" s="1" t="s">
        <v>430</v>
      </c>
      <c r="X66" s="1">
        <v>77961510</v>
      </c>
      <c r="Y66" s="28"/>
      <c r="Z66" s="29"/>
      <c r="AA66" s="28"/>
      <c r="AB66" s="29"/>
      <c r="AW66" s="60" t="s">
        <v>431</v>
      </c>
      <c r="AX66" s="60">
        <v>11001708</v>
      </c>
    </row>
    <row r="67" spans="23:50">
      <c r="W67" s="24" t="s">
        <v>432</v>
      </c>
      <c r="X67" s="1">
        <v>96511330</v>
      </c>
      <c r="Y67" s="28"/>
      <c r="Z67" s="29"/>
      <c r="AA67" s="28"/>
      <c r="AB67" s="29"/>
      <c r="AW67" s="60" t="s">
        <v>433</v>
      </c>
      <c r="AX67" s="60">
        <v>11001814</v>
      </c>
    </row>
    <row r="68" spans="23:50">
      <c r="W68" s="1" t="s">
        <v>434</v>
      </c>
      <c r="X68" s="1">
        <v>81210400</v>
      </c>
      <c r="Y68" s="28"/>
      <c r="Z68" s="29"/>
      <c r="AA68" s="28"/>
      <c r="AB68" s="29"/>
      <c r="AW68" s="60" t="s">
        <v>435</v>
      </c>
      <c r="AX68" s="60">
        <v>11001702</v>
      </c>
    </row>
    <row r="69" spans="23:50">
      <c r="W69" s="24" t="s">
        <v>436</v>
      </c>
      <c r="X69" s="1">
        <v>78421810</v>
      </c>
      <c r="Y69" s="28"/>
      <c r="Z69" s="29"/>
      <c r="AA69" s="28"/>
      <c r="AB69" s="29"/>
      <c r="AW69" s="60" t="s">
        <v>437</v>
      </c>
      <c r="AX69" s="60">
        <v>11001624</v>
      </c>
    </row>
    <row r="70" spans="23:50">
      <c r="W70" s="1" t="s">
        <v>438</v>
      </c>
      <c r="X70" s="1">
        <v>78627340</v>
      </c>
      <c r="Y70" s="28"/>
      <c r="Z70" s="29"/>
      <c r="AA70" s="28"/>
      <c r="AB70" s="29"/>
      <c r="AW70" s="60" t="s">
        <v>439</v>
      </c>
      <c r="AX70" s="60">
        <v>11001625</v>
      </c>
    </row>
    <row r="71" spans="23:50">
      <c r="W71" s="24" t="s">
        <v>440</v>
      </c>
      <c r="X71" s="1">
        <v>76578363</v>
      </c>
      <c r="Y71" s="28"/>
      <c r="Z71" s="29"/>
      <c r="AA71" s="28"/>
      <c r="AB71" s="29"/>
      <c r="AW71" s="60" t="s">
        <v>441</v>
      </c>
      <c r="AX71" s="60">
        <v>11001705</v>
      </c>
    </row>
    <row r="72" spans="23:50">
      <c r="W72" s="1" t="s">
        <v>442</v>
      </c>
      <c r="X72" s="1">
        <v>87711700</v>
      </c>
      <c r="Y72" s="28"/>
      <c r="Z72" s="29"/>
      <c r="AA72" s="28"/>
      <c r="AB72" s="29"/>
      <c r="AW72" s="60" t="s">
        <v>443</v>
      </c>
      <c r="AX72" s="60">
        <v>11001707</v>
      </c>
    </row>
    <row r="73" spans="23:50">
      <c r="W73" s="24" t="s">
        <v>444</v>
      </c>
      <c r="X73" s="1">
        <v>76085332</v>
      </c>
      <c r="Y73" s="28"/>
      <c r="Z73" s="29"/>
      <c r="AA73" s="28"/>
      <c r="AB73" s="29"/>
      <c r="AW73" s="60" t="s">
        <v>445</v>
      </c>
      <c r="AX73" s="60">
        <v>11000541</v>
      </c>
    </row>
    <row r="74" spans="23:50">
      <c r="W74" s="1" t="s">
        <v>446</v>
      </c>
      <c r="X74" s="1">
        <v>77099530</v>
      </c>
      <c r="Y74" s="28"/>
      <c r="Z74" s="29"/>
      <c r="AA74" s="28"/>
      <c r="AB74" s="29"/>
      <c r="AW74" s="60" t="s">
        <v>447</v>
      </c>
      <c r="AX74" s="60">
        <v>10004100</v>
      </c>
    </row>
    <row r="75" spans="23:50">
      <c r="W75" s="24" t="s">
        <v>448</v>
      </c>
      <c r="X75" s="1">
        <v>76694060</v>
      </c>
      <c r="Y75" s="28"/>
      <c r="Z75" s="29"/>
      <c r="AA75" s="28"/>
      <c r="AB75" s="29"/>
      <c r="AW75" s="60" t="s">
        <v>449</v>
      </c>
      <c r="AX75" s="60">
        <v>10003731</v>
      </c>
    </row>
    <row r="76" spans="23:50">
      <c r="W76" s="1" t="s">
        <v>450</v>
      </c>
      <c r="X76" s="25">
        <v>96549220</v>
      </c>
      <c r="Y76" s="28"/>
      <c r="Z76" s="29"/>
      <c r="AA76" s="28"/>
      <c r="AB76" s="29"/>
      <c r="AW76" s="60" t="s">
        <v>451</v>
      </c>
      <c r="AX76" s="60">
        <v>10004009</v>
      </c>
    </row>
    <row r="77" spans="23:50">
      <c r="W77" s="24" t="s">
        <v>450</v>
      </c>
      <c r="X77" s="25">
        <v>96549220</v>
      </c>
      <c r="Y77" s="28"/>
      <c r="Z77" s="29"/>
      <c r="AA77" s="28"/>
      <c r="AB77" s="29"/>
      <c r="AW77" s="60" t="s">
        <v>452</v>
      </c>
      <c r="AX77" s="60">
        <v>10001101</v>
      </c>
    </row>
    <row r="78" spans="23:50">
      <c r="W78" s="1" t="s">
        <v>453</v>
      </c>
      <c r="X78" s="1">
        <v>96920980</v>
      </c>
      <c r="Y78" s="28"/>
      <c r="Z78" s="29"/>
      <c r="AA78" s="28"/>
      <c r="AB78" s="29"/>
      <c r="AW78" s="60" t="s">
        <v>454</v>
      </c>
      <c r="AX78" s="60">
        <v>10003606</v>
      </c>
    </row>
    <row r="79" spans="23:50">
      <c r="W79" s="24" t="s">
        <v>450</v>
      </c>
      <c r="X79" s="25">
        <v>96549220</v>
      </c>
      <c r="Y79" s="28"/>
      <c r="Z79" s="29"/>
      <c r="AA79" s="28"/>
      <c r="AB79" s="29"/>
      <c r="AW79" s="60" t="s">
        <v>455</v>
      </c>
      <c r="AX79" s="60">
        <v>10003838</v>
      </c>
    </row>
    <row r="80" spans="23:50">
      <c r="W80" s="1" t="s">
        <v>456</v>
      </c>
      <c r="X80" s="1" t="s">
        <v>457</v>
      </c>
      <c r="Y80" s="28"/>
      <c r="Z80" s="29"/>
      <c r="AA80" s="28"/>
      <c r="AB80" s="29"/>
      <c r="AW80" s="60" t="s">
        <v>458</v>
      </c>
      <c r="AX80" s="60">
        <v>11000060</v>
      </c>
    </row>
    <row r="81" spans="23:50">
      <c r="W81" s="24" t="s">
        <v>459</v>
      </c>
      <c r="X81" s="1">
        <v>76085332</v>
      </c>
      <c r="Y81" s="28"/>
      <c r="Z81" s="29"/>
      <c r="AA81" s="28"/>
      <c r="AB81" s="29"/>
      <c r="AW81" s="60" t="s">
        <v>460</v>
      </c>
      <c r="AX81" s="60">
        <v>11000032</v>
      </c>
    </row>
    <row r="82" spans="23:50">
      <c r="W82" s="24" t="s">
        <v>461</v>
      </c>
      <c r="X82" s="1">
        <v>76097645</v>
      </c>
      <c r="Y82" s="28"/>
      <c r="Z82" s="29"/>
      <c r="AA82" s="28"/>
      <c r="AB82" s="29"/>
      <c r="AW82" s="60" t="s">
        <v>462</v>
      </c>
      <c r="AX82" s="60">
        <v>10000188</v>
      </c>
    </row>
    <row r="83" spans="23:50">
      <c r="W83" s="26" t="s">
        <v>463</v>
      </c>
      <c r="X83" s="27">
        <v>76057769</v>
      </c>
      <c r="Y83" s="28"/>
      <c r="Z83" s="29"/>
      <c r="AA83" s="28"/>
      <c r="AB83" s="29"/>
      <c r="AW83" s="60" t="s">
        <v>464</v>
      </c>
      <c r="AX83" s="60">
        <v>10000131</v>
      </c>
    </row>
    <row r="84" spans="23:50">
      <c r="W84" s="26" t="s">
        <v>465</v>
      </c>
      <c r="Y84" s="28"/>
      <c r="Z84" s="29"/>
      <c r="AA84" s="28"/>
      <c r="AB84" s="29"/>
      <c r="AW84" s="60" t="s">
        <v>466</v>
      </c>
      <c r="AX84" s="60">
        <v>10000132</v>
      </c>
    </row>
    <row r="85" spans="23:50">
      <c r="Y85" s="28"/>
      <c r="Z85" s="29"/>
      <c r="AA85" s="28"/>
      <c r="AB85" s="28"/>
      <c r="AW85" s="60" t="s">
        <v>467</v>
      </c>
      <c r="AX85" s="60">
        <v>10002531</v>
      </c>
    </row>
    <row r="86" spans="23:50">
      <c r="Y86" s="28"/>
      <c r="Z86" s="29"/>
      <c r="AA86" s="28"/>
      <c r="AB86" s="29"/>
      <c r="AW86" s="60" t="s">
        <v>468</v>
      </c>
      <c r="AX86" s="60">
        <v>10002460</v>
      </c>
    </row>
    <row r="87" spans="23:50">
      <c r="Y87" s="28"/>
      <c r="Z87" s="29"/>
      <c r="AA87" s="28"/>
      <c r="AB87" s="29"/>
      <c r="AW87" s="60" t="s">
        <v>469</v>
      </c>
      <c r="AX87" s="60">
        <v>10003478</v>
      </c>
    </row>
    <row r="88" spans="23:50">
      <c r="Y88" s="28"/>
      <c r="Z88" s="29"/>
      <c r="AA88" s="28"/>
      <c r="AB88" s="29"/>
      <c r="AW88" s="60" t="s">
        <v>470</v>
      </c>
      <c r="AX88" s="60">
        <v>10000520</v>
      </c>
    </row>
    <row r="89" spans="23:50">
      <c r="Y89" s="28"/>
      <c r="Z89" s="29"/>
      <c r="AA89" s="28"/>
      <c r="AB89" s="29"/>
      <c r="AW89" s="60" t="s">
        <v>471</v>
      </c>
      <c r="AX89" s="60">
        <v>10000443</v>
      </c>
    </row>
    <row r="90" spans="23:50">
      <c r="Y90" s="28"/>
      <c r="Z90" s="29"/>
      <c r="AA90" s="28"/>
      <c r="AB90" s="29"/>
      <c r="AW90" s="60" t="s">
        <v>472</v>
      </c>
      <c r="AX90" s="60">
        <v>10003748</v>
      </c>
    </row>
    <row r="91" spans="23:50">
      <c r="Y91" s="28"/>
      <c r="Z91" s="29"/>
      <c r="AA91" s="28"/>
      <c r="AB91" s="29"/>
      <c r="AW91" s="60" t="s">
        <v>473</v>
      </c>
      <c r="AX91" s="60">
        <v>10001107</v>
      </c>
    </row>
    <row r="92" spans="23:50">
      <c r="Y92" s="28"/>
      <c r="Z92" s="29"/>
      <c r="AA92" s="28"/>
      <c r="AB92" s="29"/>
      <c r="AW92" s="60" t="s">
        <v>474</v>
      </c>
      <c r="AX92" s="60">
        <v>10003472</v>
      </c>
    </row>
    <row r="93" spans="23:50">
      <c r="Y93" s="28"/>
      <c r="Z93" s="29"/>
      <c r="AA93" s="28"/>
      <c r="AB93" s="29"/>
      <c r="AW93" s="60" t="s">
        <v>475</v>
      </c>
      <c r="AX93" s="60">
        <v>10000446</v>
      </c>
    </row>
    <row r="94" spans="23:50">
      <c r="Y94" s="28"/>
      <c r="Z94" s="29"/>
      <c r="AA94" s="28"/>
      <c r="AB94" s="29"/>
      <c r="AW94" s="60" t="s">
        <v>476</v>
      </c>
      <c r="AX94" s="60">
        <v>10002522</v>
      </c>
    </row>
    <row r="95" spans="23:50">
      <c r="Y95" s="28"/>
      <c r="Z95" s="29"/>
      <c r="AA95" s="28"/>
      <c r="AB95" s="29"/>
      <c r="AW95" s="60" t="s">
        <v>477</v>
      </c>
      <c r="AX95" s="60">
        <v>10003166</v>
      </c>
    </row>
    <row r="96" spans="23:50">
      <c r="Y96" s="28"/>
      <c r="Z96" s="29"/>
      <c r="AA96" s="28"/>
      <c r="AB96" s="29"/>
      <c r="AW96" s="60" t="s">
        <v>478</v>
      </c>
      <c r="AX96" s="60">
        <v>10001122</v>
      </c>
    </row>
    <row r="97" spans="25:50">
      <c r="Y97" s="28"/>
      <c r="Z97" s="29"/>
      <c r="AA97" s="28"/>
      <c r="AB97" s="29"/>
      <c r="AW97" s="60" t="s">
        <v>479</v>
      </c>
      <c r="AX97" s="60">
        <v>10000891</v>
      </c>
    </row>
    <row r="98" spans="25:50">
      <c r="Y98" s="28"/>
      <c r="Z98" s="29"/>
      <c r="AA98" s="28"/>
      <c r="AB98" s="29"/>
      <c r="AW98" s="60" t="s">
        <v>480</v>
      </c>
      <c r="AX98" s="60">
        <v>10000445</v>
      </c>
    </row>
    <row r="99" spans="25:50">
      <c r="Y99" s="28"/>
      <c r="Z99" s="29"/>
      <c r="AA99" s="28"/>
      <c r="AB99" s="29"/>
      <c r="AW99" s="60" t="s">
        <v>481</v>
      </c>
      <c r="AX99" s="60">
        <v>10000449</v>
      </c>
    </row>
    <row r="100" spans="25:50">
      <c r="Y100" s="28"/>
      <c r="Z100" s="29"/>
      <c r="AA100" s="28"/>
      <c r="AB100" s="29"/>
      <c r="AW100" s="60" t="s">
        <v>482</v>
      </c>
      <c r="AX100" s="60">
        <v>10003468</v>
      </c>
    </row>
    <row r="101" spans="25:50">
      <c r="Y101" s="28"/>
      <c r="Z101" s="29"/>
      <c r="AA101" s="28"/>
      <c r="AB101" s="29"/>
      <c r="AW101" s="60" t="s">
        <v>483</v>
      </c>
      <c r="AX101" s="60">
        <v>10004201</v>
      </c>
    </row>
    <row r="102" spans="25:50">
      <c r="Y102" s="28"/>
      <c r="Z102" s="29"/>
      <c r="AA102" s="28"/>
      <c r="AB102" s="29"/>
      <c r="AW102" s="60" t="s">
        <v>484</v>
      </c>
      <c r="AX102" s="60">
        <v>10002413</v>
      </c>
    </row>
    <row r="103" spans="25:50">
      <c r="Y103" s="28"/>
      <c r="Z103" s="29"/>
      <c r="AA103" s="28"/>
      <c r="AB103" s="29"/>
      <c r="AW103" s="60" t="s">
        <v>485</v>
      </c>
      <c r="AX103" s="60">
        <v>10003749</v>
      </c>
    </row>
    <row r="104" spans="25:50">
      <c r="Y104" s="28"/>
      <c r="Z104" s="29"/>
      <c r="AA104" s="28"/>
      <c r="AB104" s="29"/>
      <c r="AW104" s="60" t="s">
        <v>486</v>
      </c>
      <c r="AX104" s="60">
        <v>10004200</v>
      </c>
    </row>
    <row r="105" spans="25:50">
      <c r="Y105" s="28"/>
      <c r="Z105" s="29"/>
      <c r="AA105" s="28"/>
      <c r="AB105" s="29"/>
      <c r="AW105" s="60" t="s">
        <v>487</v>
      </c>
      <c r="AX105" s="60">
        <v>10004197</v>
      </c>
    </row>
    <row r="106" spans="25:50">
      <c r="Y106" s="28"/>
      <c r="Z106" s="29"/>
      <c r="AA106" s="28"/>
      <c r="AB106" s="29"/>
      <c r="AW106" s="60" t="s">
        <v>488</v>
      </c>
      <c r="AX106" s="60">
        <v>10004096</v>
      </c>
    </row>
    <row r="107" spans="25:50">
      <c r="Y107" s="28"/>
      <c r="Z107" s="29"/>
      <c r="AA107" s="28"/>
      <c r="AB107" s="29"/>
      <c r="AW107" s="60" t="s">
        <v>489</v>
      </c>
      <c r="AX107" s="60">
        <v>10003882</v>
      </c>
    </row>
    <row r="108" spans="25:50">
      <c r="Y108" s="28"/>
      <c r="Z108" s="29"/>
      <c r="AA108" s="28"/>
      <c r="AB108" s="29"/>
      <c r="AW108" s="60" t="s">
        <v>490</v>
      </c>
      <c r="AX108" s="60">
        <v>10004173</v>
      </c>
    </row>
    <row r="109" spans="25:50">
      <c r="Y109" s="28"/>
      <c r="Z109" s="29"/>
      <c r="AA109" s="28"/>
      <c r="AB109" s="29"/>
      <c r="AW109" s="60" t="s">
        <v>491</v>
      </c>
      <c r="AX109" s="60">
        <v>10003874</v>
      </c>
    </row>
    <row r="110" spans="25:50">
      <c r="Y110" s="28"/>
      <c r="Z110" s="29"/>
      <c r="AA110" s="28"/>
      <c r="AB110" s="29"/>
      <c r="AW110" s="60" t="s">
        <v>492</v>
      </c>
      <c r="AX110" s="60">
        <v>10003805</v>
      </c>
    </row>
    <row r="111" spans="25:50">
      <c r="Y111" s="28"/>
      <c r="Z111" s="29"/>
      <c r="AA111" s="28"/>
      <c r="AB111" s="29"/>
      <c r="AW111" s="60" t="s">
        <v>493</v>
      </c>
      <c r="AX111" s="60">
        <v>10003480</v>
      </c>
    </row>
    <row r="112" spans="25:50">
      <c r="Y112" s="28"/>
      <c r="Z112" s="29"/>
      <c r="AA112" s="28"/>
      <c r="AB112" s="29"/>
      <c r="AW112" s="60" t="s">
        <v>494</v>
      </c>
      <c r="AX112" s="60">
        <v>10000294</v>
      </c>
    </row>
    <row r="113" spans="25:50">
      <c r="Y113" s="28"/>
      <c r="Z113" s="29"/>
      <c r="AA113" s="28"/>
      <c r="AB113" s="29"/>
      <c r="AW113" s="60" t="s">
        <v>495</v>
      </c>
      <c r="AX113" s="60">
        <v>11000063</v>
      </c>
    </row>
    <row r="114" spans="25:50">
      <c r="Y114" s="28"/>
      <c r="Z114" s="29"/>
      <c r="AA114" s="28"/>
      <c r="AB114" s="29"/>
      <c r="AW114" s="60" t="s">
        <v>496</v>
      </c>
      <c r="AX114" s="60">
        <v>10003469</v>
      </c>
    </row>
    <row r="115" spans="25:50">
      <c r="Y115" s="28"/>
      <c r="Z115" s="29"/>
      <c r="AA115" s="28"/>
      <c r="AB115" s="29"/>
      <c r="AW115" s="60" t="s">
        <v>497</v>
      </c>
      <c r="AX115" s="60">
        <v>10000704</v>
      </c>
    </row>
    <row r="116" spans="25:50">
      <c r="Y116" s="28"/>
      <c r="Z116" s="29"/>
      <c r="AA116" s="28"/>
      <c r="AB116" s="29"/>
      <c r="AW116" s="60" t="s">
        <v>498</v>
      </c>
      <c r="AX116" s="60">
        <v>10003296</v>
      </c>
    </row>
    <row r="117" spans="25:50">
      <c r="Y117" s="28"/>
      <c r="Z117" s="29"/>
      <c r="AA117" s="28"/>
      <c r="AB117" s="29"/>
      <c r="AW117" s="60" t="s">
        <v>499</v>
      </c>
      <c r="AX117" s="60">
        <v>10003293</v>
      </c>
    </row>
    <row r="118" spans="25:50">
      <c r="Y118" s="28"/>
      <c r="Z118" s="29"/>
      <c r="AA118" s="28"/>
      <c r="AB118" s="29"/>
      <c r="AW118" s="60" t="s">
        <v>500</v>
      </c>
      <c r="AX118" s="60">
        <v>10003295</v>
      </c>
    </row>
    <row r="119" spans="25:50">
      <c r="Y119" s="28"/>
      <c r="Z119" s="29"/>
      <c r="AA119" s="28"/>
      <c r="AB119" s="29"/>
      <c r="AW119" s="60" t="s">
        <v>501</v>
      </c>
      <c r="AX119" s="60">
        <v>10003294</v>
      </c>
    </row>
    <row r="120" spans="25:50">
      <c r="Y120" s="28"/>
      <c r="Z120" s="29"/>
      <c r="AA120" s="28"/>
      <c r="AB120" s="29"/>
      <c r="AW120" s="60" t="s">
        <v>502</v>
      </c>
      <c r="AX120" s="60">
        <v>10004121</v>
      </c>
    </row>
    <row r="121" spans="25:50">
      <c r="Y121" s="28"/>
      <c r="Z121" s="29"/>
      <c r="AA121" s="28"/>
      <c r="AB121" s="29"/>
      <c r="AW121" s="60" t="s">
        <v>503</v>
      </c>
      <c r="AX121" s="60">
        <v>10003298</v>
      </c>
    </row>
    <row r="122" spans="25:50">
      <c r="Y122" s="28"/>
      <c r="Z122" s="29"/>
      <c r="AA122" s="28"/>
      <c r="AB122" s="29"/>
      <c r="AW122" s="60" t="s">
        <v>504</v>
      </c>
      <c r="AX122" s="60">
        <v>10002471</v>
      </c>
    </row>
    <row r="123" spans="25:50">
      <c r="Y123" s="28"/>
      <c r="Z123" s="29"/>
      <c r="AA123" s="28"/>
      <c r="AB123" s="29"/>
      <c r="AW123" s="60" t="s">
        <v>505</v>
      </c>
      <c r="AX123" s="60">
        <v>10004172</v>
      </c>
    </row>
    <row r="124" spans="25:50">
      <c r="Y124" s="28"/>
      <c r="Z124" s="29"/>
      <c r="AA124" s="28"/>
      <c r="AB124" s="29"/>
      <c r="AW124" s="60" t="s">
        <v>506</v>
      </c>
      <c r="AX124" s="60">
        <v>10000434</v>
      </c>
    </row>
    <row r="125" spans="25:50">
      <c r="Y125" s="28"/>
      <c r="Z125" s="29"/>
      <c r="AA125" s="28"/>
      <c r="AB125" s="29"/>
      <c r="AW125" s="60" t="s">
        <v>507</v>
      </c>
      <c r="AX125" s="60">
        <v>10002457</v>
      </c>
    </row>
    <row r="126" spans="25:50">
      <c r="Y126" s="28"/>
      <c r="Z126" s="29"/>
      <c r="AA126" s="28"/>
      <c r="AB126" s="29"/>
      <c r="AW126" s="60" t="s">
        <v>508</v>
      </c>
      <c r="AX126" s="60">
        <v>10002252</v>
      </c>
    </row>
    <row r="127" spans="25:50">
      <c r="Y127" s="28"/>
      <c r="Z127" s="29"/>
      <c r="AA127" s="28"/>
      <c r="AB127" s="29"/>
      <c r="AW127" s="60" t="s">
        <v>509</v>
      </c>
      <c r="AX127" s="60">
        <v>10003596</v>
      </c>
    </row>
    <row r="128" spans="25:50">
      <c r="Y128" s="28"/>
      <c r="Z128" s="29"/>
      <c r="AA128" s="28"/>
      <c r="AB128" s="29"/>
      <c r="AW128" s="60" t="s">
        <v>510</v>
      </c>
      <c r="AX128" s="60">
        <v>10000438</v>
      </c>
    </row>
    <row r="129" spans="25:50">
      <c r="Y129" s="28"/>
      <c r="Z129" s="29"/>
      <c r="AA129" s="28"/>
      <c r="AB129" s="29"/>
      <c r="AW129" s="60" t="s">
        <v>511</v>
      </c>
      <c r="AX129" s="60">
        <v>10003804</v>
      </c>
    </row>
    <row r="130" spans="25:50">
      <c r="Y130" s="28"/>
      <c r="Z130" s="29"/>
      <c r="AA130" s="28"/>
      <c r="AB130" s="29"/>
      <c r="AW130" s="60" t="s">
        <v>512</v>
      </c>
      <c r="AX130" s="60">
        <v>10000105</v>
      </c>
    </row>
    <row r="131" spans="25:50">
      <c r="Y131" s="28"/>
      <c r="Z131" s="29"/>
      <c r="AA131" s="28"/>
      <c r="AB131" s="28"/>
      <c r="AW131" s="60" t="s">
        <v>513</v>
      </c>
      <c r="AX131" s="60">
        <v>10000521</v>
      </c>
    </row>
    <row r="132" spans="25:50">
      <c r="Y132" s="28"/>
      <c r="Z132" s="29"/>
      <c r="AA132" s="28"/>
      <c r="AB132" s="29"/>
      <c r="AW132" s="60" t="s">
        <v>514</v>
      </c>
      <c r="AX132" s="60">
        <v>10003474</v>
      </c>
    </row>
    <row r="133" spans="25:50">
      <c r="Y133" s="28"/>
      <c r="Z133" s="29"/>
      <c r="AA133" s="28"/>
      <c r="AB133" s="29"/>
      <c r="AW133" s="60" t="s">
        <v>515</v>
      </c>
      <c r="AX133" s="60">
        <v>10004099</v>
      </c>
    </row>
    <row r="134" spans="25:50">
      <c r="Y134" s="28"/>
      <c r="Z134" s="29"/>
      <c r="AA134" s="28"/>
      <c r="AB134" s="29"/>
      <c r="AW134" s="60" t="s">
        <v>516</v>
      </c>
      <c r="AX134" s="60">
        <v>10001672</v>
      </c>
    </row>
    <row r="135" spans="25:50">
      <c r="Y135" s="28"/>
      <c r="Z135" s="29"/>
      <c r="AA135" s="28"/>
      <c r="AB135" s="28"/>
      <c r="AW135" s="60" t="s">
        <v>517</v>
      </c>
      <c r="AX135" s="60">
        <v>11000033</v>
      </c>
    </row>
    <row r="136" spans="25:50">
      <c r="Y136" s="28"/>
      <c r="Z136" s="29"/>
      <c r="AA136" s="28"/>
      <c r="AB136" s="29"/>
      <c r="AW136" s="60" t="s">
        <v>518</v>
      </c>
      <c r="AX136" s="60">
        <v>11000034</v>
      </c>
    </row>
    <row r="137" spans="25:50">
      <c r="Y137" s="28"/>
      <c r="Z137" s="29"/>
      <c r="AA137" s="28"/>
      <c r="AB137" s="29"/>
      <c r="AW137" s="60" t="s">
        <v>519</v>
      </c>
      <c r="AX137" s="60">
        <v>10003471</v>
      </c>
    </row>
    <row r="138" spans="25:50">
      <c r="Y138" s="28"/>
      <c r="Z138" s="29"/>
      <c r="AA138" s="28"/>
      <c r="AB138" s="29"/>
      <c r="AW138" s="60" t="s">
        <v>520</v>
      </c>
      <c r="AX138" s="60">
        <v>10001571</v>
      </c>
    </row>
    <row r="139" spans="25:50">
      <c r="Y139" s="28"/>
      <c r="Z139" s="29"/>
      <c r="AA139" s="28"/>
      <c r="AB139" s="29"/>
      <c r="AW139" s="60" t="s">
        <v>521</v>
      </c>
      <c r="AX139" s="60">
        <v>10000359</v>
      </c>
    </row>
    <row r="140" spans="25:50">
      <c r="Y140" s="28"/>
      <c r="Z140" s="29"/>
      <c r="AA140" s="28"/>
      <c r="AB140" s="29"/>
      <c r="AW140" s="60" t="s">
        <v>522</v>
      </c>
      <c r="AX140" s="60">
        <v>11001823</v>
      </c>
    </row>
    <row r="141" spans="25:50">
      <c r="Y141" s="28"/>
      <c r="Z141" s="29"/>
      <c r="AA141" s="28"/>
      <c r="AB141" s="29"/>
      <c r="AW141" s="60" t="s">
        <v>523</v>
      </c>
      <c r="AX141" s="60">
        <v>11001824</v>
      </c>
    </row>
    <row r="142" spans="25:50">
      <c r="Y142" s="28"/>
      <c r="Z142" s="29"/>
      <c r="AA142" s="28"/>
      <c r="AB142" s="29"/>
      <c r="AW142" s="60" t="s">
        <v>524</v>
      </c>
      <c r="AX142" s="60">
        <v>11001825</v>
      </c>
    </row>
    <row r="143" spans="25:50">
      <c r="Y143" s="28"/>
      <c r="Z143" s="29"/>
      <c r="AA143" s="28"/>
      <c r="AB143" s="29"/>
      <c r="AW143" s="60" t="s">
        <v>525</v>
      </c>
      <c r="AX143" s="60">
        <v>11001826</v>
      </c>
    </row>
    <row r="144" spans="25:50">
      <c r="Y144" s="28"/>
      <c r="Z144" s="29"/>
      <c r="AA144" s="28"/>
      <c r="AB144" s="29"/>
      <c r="AW144" s="60" t="s">
        <v>526</v>
      </c>
      <c r="AX144" s="60">
        <v>10004179</v>
      </c>
    </row>
    <row r="145" spans="25:50">
      <c r="Y145" s="28"/>
      <c r="Z145" s="29"/>
      <c r="AA145" s="28"/>
      <c r="AB145" s="29"/>
      <c r="AW145" s="60" t="s">
        <v>527</v>
      </c>
      <c r="AX145" s="60">
        <v>10004181</v>
      </c>
    </row>
    <row r="146" spans="25:50">
      <c r="Y146" s="28"/>
      <c r="Z146" s="29"/>
      <c r="AA146" s="28"/>
      <c r="AB146" s="29"/>
      <c r="AW146" s="60" t="s">
        <v>528</v>
      </c>
      <c r="AX146" s="60">
        <v>11001626</v>
      </c>
    </row>
    <row r="147" spans="25:50">
      <c r="Y147" s="28"/>
      <c r="Z147" s="29"/>
      <c r="AA147" s="28"/>
      <c r="AB147" s="29"/>
      <c r="AW147" s="60" t="s">
        <v>529</v>
      </c>
      <c r="AX147" s="60">
        <v>11001786</v>
      </c>
    </row>
    <row r="148" spans="25:50">
      <c r="Y148" s="28"/>
      <c r="Z148" s="29"/>
      <c r="AA148" s="28"/>
      <c r="AB148" s="29"/>
      <c r="AW148" s="60" t="s">
        <v>530</v>
      </c>
      <c r="AX148" s="60">
        <v>11001847</v>
      </c>
    </row>
    <row r="149" spans="25:50">
      <c r="Y149" s="28"/>
      <c r="Z149" s="29"/>
      <c r="AA149" s="28"/>
      <c r="AB149" s="29"/>
      <c r="AW149" s="60" t="s">
        <v>342</v>
      </c>
      <c r="AX149" s="60">
        <v>11001918</v>
      </c>
    </row>
    <row r="150" spans="25:50">
      <c r="Y150" s="28"/>
      <c r="Z150" s="29"/>
      <c r="AA150" s="28"/>
      <c r="AB150" s="29"/>
      <c r="AW150" s="60" t="s">
        <v>531</v>
      </c>
      <c r="AX150" s="60">
        <v>10004227</v>
      </c>
    </row>
    <row r="151" spans="25:50">
      <c r="Y151" s="28"/>
      <c r="Z151" s="29"/>
      <c r="AA151" s="28"/>
      <c r="AB151" s="29"/>
      <c r="AW151" s="60" t="s">
        <v>532</v>
      </c>
      <c r="AX151" s="60">
        <v>10004226</v>
      </c>
    </row>
    <row r="152" spans="25:50">
      <c r="Y152" s="28"/>
      <c r="Z152" s="29"/>
      <c r="AA152" s="28"/>
      <c r="AB152" s="29"/>
      <c r="AW152" s="60" t="s">
        <v>533</v>
      </c>
      <c r="AX152" s="60">
        <v>11000749</v>
      </c>
    </row>
    <row r="153" spans="25:50">
      <c r="Y153" s="28"/>
      <c r="Z153" s="29"/>
      <c r="AA153" s="28"/>
      <c r="AB153" s="29"/>
      <c r="AW153" s="60" t="s">
        <v>534</v>
      </c>
      <c r="AX153" s="60">
        <v>11001899</v>
      </c>
    </row>
    <row r="154" spans="25:50">
      <c r="Y154" s="28"/>
      <c r="Z154" s="29"/>
      <c r="AA154" s="28"/>
      <c r="AB154" s="29"/>
      <c r="AW154" s="60" t="s">
        <v>535</v>
      </c>
      <c r="AX154" s="60">
        <v>11001874</v>
      </c>
    </row>
    <row r="155" spans="25:50">
      <c r="Y155" s="28"/>
      <c r="Z155" s="29"/>
      <c r="AA155" s="28"/>
      <c r="AB155" s="29"/>
      <c r="AW155" s="60" t="s">
        <v>536</v>
      </c>
      <c r="AX155" s="60">
        <v>11001873</v>
      </c>
    </row>
    <row r="156" spans="25:50">
      <c r="Y156" s="28"/>
      <c r="Z156" s="29"/>
      <c r="AA156" s="28"/>
      <c r="AB156" s="29"/>
      <c r="AW156" s="60" t="s">
        <v>537</v>
      </c>
      <c r="AX156" s="60">
        <v>10004283</v>
      </c>
    </row>
    <row r="157" spans="25:50">
      <c r="Y157" s="28"/>
      <c r="Z157" s="29"/>
      <c r="AA157" s="28"/>
      <c r="AB157" s="29"/>
      <c r="AW157" s="60" t="s">
        <v>538</v>
      </c>
      <c r="AX157" s="60">
        <v>10004232</v>
      </c>
    </row>
    <row r="158" spans="25:50">
      <c r="Y158" s="28"/>
      <c r="Z158" s="29"/>
      <c r="AA158" s="28"/>
      <c r="AB158" s="29"/>
      <c r="AW158" s="60" t="s">
        <v>342</v>
      </c>
      <c r="AX158" s="60">
        <v>11001918</v>
      </c>
    </row>
    <row r="159" spans="25:50">
      <c r="Y159" s="28"/>
      <c r="Z159" s="29"/>
      <c r="AA159" s="28"/>
      <c r="AB159" s="29"/>
      <c r="AW159" s="61" t="s">
        <v>539</v>
      </c>
      <c r="AX159" s="62">
        <v>11001917</v>
      </c>
    </row>
    <row r="160" spans="25:50">
      <c r="Y160" s="28"/>
      <c r="Z160" s="29"/>
      <c r="AA160" s="28"/>
      <c r="AB160" s="29"/>
      <c r="AW160" s="63" t="s">
        <v>540</v>
      </c>
      <c r="AX160" s="64">
        <v>11001919</v>
      </c>
    </row>
    <row r="161" spans="25:50">
      <c r="Y161" s="28"/>
      <c r="Z161" s="29"/>
      <c r="AA161" s="28"/>
      <c r="AB161" s="29"/>
      <c r="AW161" s="61" t="s">
        <v>469</v>
      </c>
      <c r="AX161" s="62">
        <v>10003478</v>
      </c>
    </row>
    <row r="162" spans="25:50">
      <c r="AW162" s="65" t="s">
        <v>541</v>
      </c>
      <c r="AX162" s="62">
        <v>11001858</v>
      </c>
    </row>
    <row r="163" spans="25:50">
      <c r="AW163" s="65" t="s">
        <v>542</v>
      </c>
      <c r="AX163" s="62">
        <v>10004256</v>
      </c>
    </row>
    <row r="164" spans="25:50">
      <c r="AW164" s="61" t="s">
        <v>543</v>
      </c>
      <c r="AX164" s="62">
        <v>11001898</v>
      </c>
    </row>
  </sheetData>
  <phoneticPr fontId="9" type="noConversion"/>
  <pageMargins left="0.7" right="0.7" top="0.75" bottom="0.75" header="0.3" footer="0.3"/>
  <pageSetup paperSize="9" orientation="portrait" r:id="rId1"/>
  <tableParts count="4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AB444"/>
  <sheetViews>
    <sheetView zoomScale="85" zoomScaleNormal="85" workbookViewId="0">
      <selection activeCell="F97" sqref="F97"/>
    </sheetView>
  </sheetViews>
  <sheetFormatPr baseColWidth="10" defaultColWidth="11.453125" defaultRowHeight="14.5"/>
  <cols>
    <col min="1" max="1" width="18.453125" customWidth="1"/>
    <col min="2" max="2" width="16.54296875" customWidth="1"/>
    <col min="5" max="5" width="16.54296875" customWidth="1"/>
    <col min="6" max="6" width="41.54296875" bestFit="1" customWidth="1"/>
    <col min="7" max="7" width="15.453125" customWidth="1"/>
    <col min="14" max="14" width="18" customWidth="1"/>
    <col min="15" max="16" width="10.453125" bestFit="1" customWidth="1"/>
    <col min="17" max="17" width="49.453125" bestFit="1" customWidth="1"/>
    <col min="19" max="19" width="22.453125" bestFit="1" customWidth="1"/>
    <col min="20" max="20" width="11.81640625" bestFit="1" customWidth="1"/>
    <col min="21" max="21" width="29.453125" customWidth="1"/>
    <col min="22" max="22" width="25.453125" customWidth="1"/>
    <col min="23" max="23" width="29.54296875" customWidth="1"/>
    <col min="24" max="24" width="29.453125" customWidth="1"/>
    <col min="26" max="26" width="37.54296875" customWidth="1"/>
    <col min="27" max="27" width="39.54296875" customWidth="1"/>
    <col min="28" max="28" width="34.54296875" customWidth="1"/>
  </cols>
  <sheetData>
    <row r="1" spans="1:28">
      <c r="A1" s="3" t="s">
        <v>544</v>
      </c>
      <c r="B1" t="s">
        <v>545</v>
      </c>
      <c r="C1" t="s">
        <v>546</v>
      </c>
      <c r="D1" t="s">
        <v>547</v>
      </c>
      <c r="E1" t="s">
        <v>548</v>
      </c>
      <c r="F1" t="s">
        <v>549</v>
      </c>
      <c r="G1" t="s">
        <v>550</v>
      </c>
      <c r="H1" t="s">
        <v>551</v>
      </c>
      <c r="I1" s="3" t="s">
        <v>37</v>
      </c>
      <c r="J1" s="3" t="s">
        <v>552</v>
      </c>
      <c r="L1" t="s">
        <v>553</v>
      </c>
      <c r="M1" t="s">
        <v>75</v>
      </c>
      <c r="N1" t="s">
        <v>39</v>
      </c>
      <c r="O1" t="s">
        <v>554</v>
      </c>
      <c r="P1" t="s">
        <v>555</v>
      </c>
      <c r="Q1" t="s">
        <v>556</v>
      </c>
      <c r="S1" s="74" t="s">
        <v>39</v>
      </c>
      <c r="T1" s="74" t="s">
        <v>554</v>
      </c>
      <c r="U1" t="s">
        <v>557</v>
      </c>
      <c r="V1" t="s">
        <v>558</v>
      </c>
      <c r="W1" t="s">
        <v>559</v>
      </c>
      <c r="X1" s="73" t="s">
        <v>560</v>
      </c>
      <c r="Z1" t="s">
        <v>561</v>
      </c>
      <c r="AA1" t="s">
        <v>562</v>
      </c>
      <c r="AB1" t="s">
        <v>563</v>
      </c>
    </row>
    <row r="2" spans="1:28" hidden="1">
      <c r="A2" s="7" t="s">
        <v>22</v>
      </c>
      <c r="B2" t="s">
        <v>22</v>
      </c>
      <c r="C2" t="s">
        <v>81</v>
      </c>
      <c r="D2" t="s">
        <v>557</v>
      </c>
      <c r="E2" s="37" t="s">
        <v>22</v>
      </c>
      <c r="F2" s="41" t="s">
        <v>93</v>
      </c>
      <c r="G2" s="42">
        <v>12001396</v>
      </c>
      <c r="H2" t="s">
        <v>561</v>
      </c>
      <c r="I2" s="20" t="s">
        <v>87</v>
      </c>
      <c r="J2" s="71" t="str">
        <f>LEFT(Analista[[#This Row],[Analista]],1)&amp;RIGHT(Analista[[#This Row],[Analista]],1)</f>
        <v>CV</v>
      </c>
      <c r="K2" s="73"/>
      <c r="L2" s="206">
        <v>1</v>
      </c>
      <c r="M2" t="s">
        <v>564</v>
      </c>
      <c r="N2" t="s">
        <v>565</v>
      </c>
      <c r="O2">
        <v>77066724</v>
      </c>
      <c r="P2">
        <v>11001949</v>
      </c>
      <c r="Q2" t="s">
        <v>566</v>
      </c>
      <c r="S2" t="s">
        <v>565</v>
      </c>
      <c r="T2">
        <v>77066724</v>
      </c>
      <c r="U2" s="75" t="s">
        <v>567</v>
      </c>
      <c r="V2" s="75" t="s">
        <v>567</v>
      </c>
      <c r="W2" s="75" t="s">
        <v>260</v>
      </c>
      <c r="X2" s="77" t="s">
        <v>568</v>
      </c>
      <c r="Z2" s="78" t="s">
        <v>79</v>
      </c>
      <c r="AA2" s="78" t="s">
        <v>79</v>
      </c>
      <c r="AB2" s="78" t="s">
        <v>79</v>
      </c>
    </row>
    <row r="3" spans="1:28" hidden="1">
      <c r="A3" s="7" t="s">
        <v>23</v>
      </c>
      <c r="B3" t="s">
        <v>22</v>
      </c>
      <c r="C3" t="s">
        <v>112</v>
      </c>
      <c r="D3" t="s">
        <v>557</v>
      </c>
      <c r="E3" s="37" t="s">
        <v>22</v>
      </c>
      <c r="F3" s="43" t="s">
        <v>95</v>
      </c>
      <c r="G3" s="44">
        <v>12001398</v>
      </c>
      <c r="H3" t="s">
        <v>561</v>
      </c>
      <c r="I3" s="20" t="s">
        <v>116</v>
      </c>
      <c r="J3" s="20" t="str">
        <f>LEFT(Analista[[#This Row],[Analista]],1)&amp;RIGHT(Analista[[#This Row],[Analista]],1)</f>
        <v>CF</v>
      </c>
      <c r="K3" s="73"/>
      <c r="L3" s="206">
        <v>2</v>
      </c>
      <c r="M3" t="s">
        <v>569</v>
      </c>
      <c r="N3" t="s">
        <v>565</v>
      </c>
      <c r="O3">
        <v>77066724</v>
      </c>
      <c r="P3">
        <v>11001950</v>
      </c>
      <c r="Q3" t="s">
        <v>570</v>
      </c>
      <c r="S3" t="s">
        <v>571</v>
      </c>
      <c r="T3">
        <v>76100349</v>
      </c>
      <c r="U3" s="20" t="s">
        <v>169</v>
      </c>
      <c r="V3" s="20" t="s">
        <v>169</v>
      </c>
      <c r="W3" s="21" t="s">
        <v>268</v>
      </c>
      <c r="X3" s="73" t="s">
        <v>572</v>
      </c>
      <c r="Z3" s="79" t="s">
        <v>110</v>
      </c>
      <c r="AA3" s="79" t="s">
        <v>110</v>
      </c>
      <c r="AB3" s="79" t="s">
        <v>110</v>
      </c>
    </row>
    <row r="4" spans="1:28" hidden="1">
      <c r="A4" s="7" t="s">
        <v>24</v>
      </c>
      <c r="B4" t="s">
        <v>22</v>
      </c>
      <c r="C4" t="s">
        <v>139</v>
      </c>
      <c r="D4" t="s">
        <v>557</v>
      </c>
      <c r="E4" s="37" t="s">
        <v>22</v>
      </c>
      <c r="F4" s="41" t="s">
        <v>149</v>
      </c>
      <c r="G4" s="42">
        <v>12001406</v>
      </c>
      <c r="H4" t="s">
        <v>561</v>
      </c>
      <c r="I4" s="20" t="s">
        <v>143</v>
      </c>
      <c r="J4" s="20" t="str">
        <f>LEFT(Analista[[#This Row],[Analista]],1)&amp;RIGHT(Analista[[#This Row],[Analista]],1)</f>
        <v>AC</v>
      </c>
      <c r="K4" s="73"/>
      <c r="L4" s="206">
        <v>3</v>
      </c>
      <c r="M4" t="s">
        <v>573</v>
      </c>
      <c r="N4" t="s">
        <v>565</v>
      </c>
      <c r="O4">
        <v>77066724</v>
      </c>
      <c r="P4">
        <v>16000477</v>
      </c>
      <c r="Q4" t="s">
        <v>574</v>
      </c>
      <c r="S4" t="s">
        <v>575</v>
      </c>
      <c r="T4">
        <v>76618520</v>
      </c>
      <c r="U4" s="75" t="s">
        <v>576</v>
      </c>
      <c r="V4" s="75" t="s">
        <v>576</v>
      </c>
      <c r="W4" s="21" t="s">
        <v>232</v>
      </c>
      <c r="X4" s="73" t="s">
        <v>577</v>
      </c>
      <c r="Z4" s="78" t="s">
        <v>578</v>
      </c>
      <c r="AA4" s="78" t="s">
        <v>579</v>
      </c>
      <c r="AB4" s="78" t="s">
        <v>580</v>
      </c>
    </row>
    <row r="5" spans="1:28" hidden="1">
      <c r="A5" s="7" t="s">
        <v>25</v>
      </c>
      <c r="B5" t="s">
        <v>22</v>
      </c>
      <c r="C5" t="s">
        <v>164</v>
      </c>
      <c r="D5" t="s">
        <v>557</v>
      </c>
      <c r="E5" s="37" t="s">
        <v>22</v>
      </c>
      <c r="F5" s="43" t="s">
        <v>123</v>
      </c>
      <c r="G5" s="44">
        <v>13030401</v>
      </c>
      <c r="H5" t="s">
        <v>561</v>
      </c>
      <c r="I5" s="20" t="s">
        <v>581</v>
      </c>
      <c r="J5" s="20" t="str">
        <f>LEFT(Analista[[#This Row],[Analista]],1)&amp;RIGHT(Analista[[#This Row],[Analista]],1)</f>
        <v>EO</v>
      </c>
      <c r="K5" s="73"/>
      <c r="L5" s="206">
        <v>4</v>
      </c>
      <c r="M5" t="s">
        <v>582</v>
      </c>
      <c r="N5" t="s">
        <v>571</v>
      </c>
      <c r="O5">
        <v>76100349</v>
      </c>
      <c r="P5">
        <v>10000131</v>
      </c>
      <c r="Q5" t="s">
        <v>464</v>
      </c>
      <c r="S5" t="s">
        <v>583</v>
      </c>
      <c r="T5">
        <v>96973910</v>
      </c>
      <c r="U5" s="20" t="s">
        <v>213</v>
      </c>
      <c r="V5" s="20" t="s">
        <v>213</v>
      </c>
      <c r="Z5" s="24" t="s">
        <v>584</v>
      </c>
      <c r="AA5" s="24" t="s">
        <v>584</v>
      </c>
      <c r="AB5" s="6" t="s">
        <v>585</v>
      </c>
    </row>
    <row r="6" spans="1:28" hidden="1">
      <c r="A6" s="7" t="s">
        <v>26</v>
      </c>
      <c r="B6" t="s">
        <v>22</v>
      </c>
      <c r="C6" t="s">
        <v>186</v>
      </c>
      <c r="D6" t="s">
        <v>557</v>
      </c>
      <c r="E6" s="37" t="s">
        <v>22</v>
      </c>
      <c r="F6" s="41" t="s">
        <v>150</v>
      </c>
      <c r="G6" s="42">
        <v>13030403</v>
      </c>
      <c r="H6" t="s">
        <v>561</v>
      </c>
      <c r="I6" s="20" t="s">
        <v>190</v>
      </c>
      <c r="J6" s="20" t="str">
        <f>LEFT(Analista[[#This Row],[Analista]],1)&amp;RIGHT(Analista[[#This Row],[Analista]],1)</f>
        <v>PÑ</v>
      </c>
      <c r="K6" s="73"/>
      <c r="L6" s="206">
        <v>5</v>
      </c>
      <c r="M6" t="s">
        <v>586</v>
      </c>
      <c r="N6" t="s">
        <v>571</v>
      </c>
      <c r="O6">
        <v>76100349</v>
      </c>
      <c r="P6">
        <v>10000132</v>
      </c>
      <c r="Q6" t="s">
        <v>466</v>
      </c>
      <c r="S6" t="s">
        <v>587</v>
      </c>
      <c r="T6">
        <v>79984240</v>
      </c>
      <c r="U6" s="75" t="s">
        <v>588</v>
      </c>
      <c r="V6" s="75" t="s">
        <v>588</v>
      </c>
      <c r="Z6" s="6" t="s">
        <v>589</v>
      </c>
      <c r="AA6" s="6" t="s">
        <v>589</v>
      </c>
      <c r="AB6" s="80" t="s">
        <v>590</v>
      </c>
    </row>
    <row r="7" spans="1:28" hidden="1">
      <c r="A7" s="7" t="s">
        <v>27</v>
      </c>
      <c r="B7" t="s">
        <v>23</v>
      </c>
      <c r="C7" t="s">
        <v>81</v>
      </c>
      <c r="D7" t="s">
        <v>557</v>
      </c>
      <c r="E7" s="37" t="s">
        <v>22</v>
      </c>
      <c r="F7" s="43" t="s">
        <v>175</v>
      </c>
      <c r="G7" s="44">
        <v>13030467</v>
      </c>
      <c r="H7" t="s">
        <v>561</v>
      </c>
      <c r="I7" s="20" t="s">
        <v>591</v>
      </c>
      <c r="J7" s="20" t="str">
        <f>LEFT(Analista[[#This Row],[Analista]],1)&amp;RIGHT(Analista[[#This Row],[Analista]],1)</f>
        <v>JM</v>
      </c>
      <c r="K7" s="73"/>
      <c r="L7" s="206">
        <v>6</v>
      </c>
      <c r="M7" t="s">
        <v>592</v>
      </c>
      <c r="N7" t="s">
        <v>571</v>
      </c>
      <c r="O7">
        <v>76100349</v>
      </c>
      <c r="P7">
        <v>10004345</v>
      </c>
      <c r="Q7" t="s">
        <v>593</v>
      </c>
      <c r="S7" t="s">
        <v>594</v>
      </c>
      <c r="T7">
        <v>76951378</v>
      </c>
      <c r="U7" s="76" t="s">
        <v>595</v>
      </c>
      <c r="V7" s="76" t="s">
        <v>595</v>
      </c>
      <c r="Z7" s="80" t="s">
        <v>596</v>
      </c>
      <c r="AA7" s="80" t="s">
        <v>596</v>
      </c>
      <c r="AB7" s="6" t="s">
        <v>597</v>
      </c>
    </row>
    <row r="8" spans="1:28" hidden="1">
      <c r="A8" s="7" t="s">
        <v>28</v>
      </c>
      <c r="B8" t="s">
        <v>23</v>
      </c>
      <c r="C8" t="s">
        <v>112</v>
      </c>
      <c r="D8" t="s">
        <v>557</v>
      </c>
      <c r="E8" s="37" t="s">
        <v>22</v>
      </c>
      <c r="F8" s="41" t="s">
        <v>197</v>
      </c>
      <c r="G8" s="42">
        <v>13030469</v>
      </c>
      <c r="H8" t="s">
        <v>561</v>
      </c>
      <c r="I8" s="20" t="s">
        <v>232</v>
      </c>
      <c r="J8" s="20" t="str">
        <f>LEFT(Analista[[#This Row],[Analista]],1)&amp;RIGHT(Analista[[#This Row],[Analista]],1)</f>
        <v>YV</v>
      </c>
      <c r="K8" s="73"/>
      <c r="L8" s="206">
        <v>7</v>
      </c>
      <c r="M8" t="s">
        <v>598</v>
      </c>
      <c r="N8" t="s">
        <v>575</v>
      </c>
      <c r="O8">
        <v>76618520</v>
      </c>
      <c r="P8">
        <v>10000131</v>
      </c>
      <c r="Q8" t="s">
        <v>464</v>
      </c>
      <c r="S8" t="s">
        <v>465</v>
      </c>
      <c r="T8">
        <v>77155281</v>
      </c>
      <c r="U8" s="76" t="s">
        <v>599</v>
      </c>
      <c r="V8" s="76" t="s">
        <v>599</v>
      </c>
      <c r="Z8" s="81" t="s">
        <v>226</v>
      </c>
      <c r="AA8" s="81" t="s">
        <v>226</v>
      </c>
      <c r="AB8" s="81" t="s">
        <v>600</v>
      </c>
    </row>
    <row r="9" spans="1:28" hidden="1">
      <c r="A9" s="7" t="s">
        <v>29</v>
      </c>
      <c r="B9" t="s">
        <v>23</v>
      </c>
      <c r="C9" t="s">
        <v>139</v>
      </c>
      <c r="D9" t="s">
        <v>557</v>
      </c>
      <c r="E9" s="37" t="s">
        <v>22</v>
      </c>
      <c r="F9" s="43" t="s">
        <v>219</v>
      </c>
      <c r="G9" s="44">
        <v>13030543</v>
      </c>
      <c r="H9" t="s">
        <v>561</v>
      </c>
      <c r="I9" s="20" t="s">
        <v>248</v>
      </c>
      <c r="J9" s="20" t="str">
        <f>LEFT(Analista[[#This Row],[Analista]],1)&amp;RIGHT(Analista[[#This Row],[Analista]],1)</f>
        <v>MS</v>
      </c>
      <c r="K9" s="73"/>
      <c r="L9" s="206">
        <v>8</v>
      </c>
      <c r="M9" t="s">
        <v>601</v>
      </c>
      <c r="N9" t="s">
        <v>575</v>
      </c>
      <c r="O9">
        <v>76618520</v>
      </c>
      <c r="P9">
        <v>10000132</v>
      </c>
      <c r="Q9" t="s">
        <v>466</v>
      </c>
      <c r="S9" t="s">
        <v>602</v>
      </c>
      <c r="T9">
        <v>76534152</v>
      </c>
      <c r="U9" s="21" t="s">
        <v>603</v>
      </c>
      <c r="V9" s="21" t="s">
        <v>603</v>
      </c>
      <c r="Z9" s="82" t="s">
        <v>600</v>
      </c>
      <c r="AA9" s="85" t="s">
        <v>600</v>
      </c>
      <c r="AB9" s="85" t="s">
        <v>604</v>
      </c>
    </row>
    <row r="10" spans="1:28" hidden="1">
      <c r="A10" s="7" t="s">
        <v>31</v>
      </c>
      <c r="B10" t="s">
        <v>23</v>
      </c>
      <c r="C10" t="s">
        <v>164</v>
      </c>
      <c r="D10" t="s">
        <v>557</v>
      </c>
      <c r="E10" s="37" t="s">
        <v>22</v>
      </c>
      <c r="F10" s="41" t="s">
        <v>239</v>
      </c>
      <c r="G10" s="42">
        <v>13030098</v>
      </c>
      <c r="H10" t="s">
        <v>561</v>
      </c>
      <c r="I10" s="21" t="s">
        <v>259</v>
      </c>
      <c r="J10" s="21" t="str">
        <f>LEFT(Analista[[#This Row],[Analista]],1)&amp;RIGHT(Analista[[#This Row],[Analista]],1)</f>
        <v>FB</v>
      </c>
      <c r="K10" s="73"/>
      <c r="L10" s="206">
        <v>9</v>
      </c>
      <c r="M10" t="s">
        <v>605</v>
      </c>
      <c r="N10" t="s">
        <v>575</v>
      </c>
      <c r="O10">
        <v>76618520</v>
      </c>
      <c r="P10">
        <v>10004345</v>
      </c>
      <c r="Q10" t="s">
        <v>593</v>
      </c>
      <c r="S10" t="s">
        <v>606</v>
      </c>
      <c r="T10">
        <v>96647600</v>
      </c>
      <c r="U10" s="76" t="s">
        <v>607</v>
      </c>
      <c r="V10" s="76" t="s">
        <v>607</v>
      </c>
      <c r="Z10" s="83" t="s">
        <v>585</v>
      </c>
      <c r="AA10" s="86" t="s">
        <v>585</v>
      </c>
      <c r="AB10" s="86" t="s">
        <v>608</v>
      </c>
    </row>
    <row r="11" spans="1:28" hidden="1">
      <c r="A11" s="7" t="s">
        <v>32</v>
      </c>
      <c r="B11" t="s">
        <v>23</v>
      </c>
      <c r="C11" t="s">
        <v>187</v>
      </c>
      <c r="D11" t="s">
        <v>557</v>
      </c>
      <c r="E11" s="37" t="s">
        <v>22</v>
      </c>
      <c r="F11" s="39" t="s">
        <v>255</v>
      </c>
      <c r="G11" s="40">
        <v>13030177</v>
      </c>
      <c r="H11" t="s">
        <v>561</v>
      </c>
      <c r="I11" s="21" t="s">
        <v>609</v>
      </c>
      <c r="J11" s="21" t="str">
        <f>LEFT(Analista[[#This Row],[Analista]],1)&amp;RIGHT(Analista[[#This Row],[Analista]],1)</f>
        <v>MV</v>
      </c>
      <c r="L11" s="206">
        <v>10</v>
      </c>
      <c r="M11" t="s">
        <v>610</v>
      </c>
      <c r="N11" t="s">
        <v>583</v>
      </c>
      <c r="O11">
        <v>96973910</v>
      </c>
      <c r="P11">
        <v>10000002</v>
      </c>
      <c r="Q11" t="s">
        <v>100</v>
      </c>
      <c r="S11" t="s">
        <v>611</v>
      </c>
      <c r="T11">
        <v>82321000</v>
      </c>
      <c r="U11" s="273" t="s">
        <v>612</v>
      </c>
      <c r="V11" s="273" t="s">
        <v>612</v>
      </c>
      <c r="Z11" s="82" t="s">
        <v>613</v>
      </c>
      <c r="AA11" s="85" t="s">
        <v>613</v>
      </c>
      <c r="AB11" s="85" t="s">
        <v>614</v>
      </c>
    </row>
    <row r="12" spans="1:28" hidden="1">
      <c r="A12" s="8" t="s">
        <v>30</v>
      </c>
      <c r="B12" t="s">
        <v>23</v>
      </c>
      <c r="C12" t="s">
        <v>207</v>
      </c>
      <c r="D12" t="s">
        <v>557</v>
      </c>
      <c r="E12" s="37" t="s">
        <v>22</v>
      </c>
      <c r="F12" s="41" t="s">
        <v>124</v>
      </c>
      <c r="G12" s="42">
        <v>13001004</v>
      </c>
      <c r="H12" t="s">
        <v>561</v>
      </c>
      <c r="I12" s="21" t="s">
        <v>615</v>
      </c>
      <c r="J12" s="20" t="str">
        <f>LEFT(Analista[[#This Row],[Analista]],1)&amp;RIGHT(Analista[[#This Row],[Analista]],1)</f>
        <v>LS</v>
      </c>
      <c r="K12" t="str">
        <f>_xlfn.CONCAT(Productos[[#This Row],[SAP_Productos]]," ",Productos[[#This Row],[Productos]])</f>
        <v>13001004 Dobladas</v>
      </c>
      <c r="L12" s="206">
        <v>11</v>
      </c>
      <c r="M12" t="s">
        <v>616</v>
      </c>
      <c r="N12" t="s">
        <v>583</v>
      </c>
      <c r="O12">
        <v>96973910</v>
      </c>
      <c r="P12">
        <v>10000164</v>
      </c>
      <c r="Q12" t="s">
        <v>223</v>
      </c>
      <c r="S12" t="s">
        <v>617</v>
      </c>
      <c r="T12">
        <v>77740030</v>
      </c>
      <c r="U12" s="273" t="s">
        <v>618</v>
      </c>
      <c r="V12" s="273" t="s">
        <v>618</v>
      </c>
      <c r="Z12" s="83" t="s">
        <v>619</v>
      </c>
      <c r="AA12" s="86" t="s">
        <v>619</v>
      </c>
      <c r="AB12" t="s">
        <v>620</v>
      </c>
    </row>
    <row r="13" spans="1:28" hidden="1">
      <c r="A13" s="8" t="s">
        <v>33</v>
      </c>
      <c r="B13" t="s">
        <v>23</v>
      </c>
      <c r="C13" t="s">
        <v>228</v>
      </c>
      <c r="D13" t="s">
        <v>557</v>
      </c>
      <c r="E13" s="37" t="s">
        <v>22</v>
      </c>
      <c r="F13" s="43" t="s">
        <v>151</v>
      </c>
      <c r="G13" s="44">
        <v>13030199</v>
      </c>
      <c r="H13" t="s">
        <v>561</v>
      </c>
      <c r="I13" s="21" t="s">
        <v>621</v>
      </c>
      <c r="J13" s="20" t="s">
        <v>622</v>
      </c>
      <c r="K13" t="str">
        <f>_xlfn.CONCAT(Productos[[#This Row],[SAP_Productos]]," ",Productos[[#This Row],[Productos]])</f>
        <v>13030199 Dobladas (Ekono)</v>
      </c>
      <c r="L13" s="206">
        <v>12</v>
      </c>
      <c r="M13" t="s">
        <v>623</v>
      </c>
      <c r="N13" t="s">
        <v>583</v>
      </c>
      <c r="O13">
        <v>96973910</v>
      </c>
      <c r="P13">
        <v>10004346</v>
      </c>
      <c r="Q13" t="s">
        <v>624</v>
      </c>
      <c r="S13" t="s">
        <v>625</v>
      </c>
      <c r="T13">
        <v>77051060</v>
      </c>
      <c r="U13" s="273" t="s">
        <v>626</v>
      </c>
      <c r="V13" s="273" t="s">
        <v>626</v>
      </c>
      <c r="Z13" s="83" t="s">
        <v>627</v>
      </c>
      <c r="AA13" s="87" t="s">
        <v>627</v>
      </c>
    </row>
    <row r="14" spans="1:28" hidden="1">
      <c r="A14" s="7" t="s">
        <v>628</v>
      </c>
      <c r="B14" t="s">
        <v>23</v>
      </c>
      <c r="C14" t="s">
        <v>245</v>
      </c>
      <c r="D14" t="s">
        <v>557</v>
      </c>
      <c r="E14" s="37" t="s">
        <v>22</v>
      </c>
      <c r="F14" s="41" t="s">
        <v>176</v>
      </c>
      <c r="G14" s="42">
        <v>13030406</v>
      </c>
      <c r="H14" t="s">
        <v>561</v>
      </c>
      <c r="I14" s="21" t="s">
        <v>629</v>
      </c>
      <c r="J14" s="20" t="s">
        <v>630</v>
      </c>
      <c r="K14" t="str">
        <f>_xlfn.CONCAT(Productos[[#This Row],[SAP_Productos]]," ",Productos[[#This Row],[Productos]])</f>
        <v>13030406 Dobladas Ekono (B)</v>
      </c>
      <c r="L14" s="206"/>
      <c r="N14" t="s">
        <v>587</v>
      </c>
      <c r="O14">
        <v>79984240</v>
      </c>
      <c r="P14">
        <v>10000390</v>
      </c>
      <c r="Q14" t="s">
        <v>631</v>
      </c>
      <c r="S14" t="s">
        <v>632</v>
      </c>
      <c r="T14">
        <v>76111152</v>
      </c>
      <c r="U14" s="273" t="s">
        <v>633</v>
      </c>
      <c r="V14" s="273" t="s">
        <v>633</v>
      </c>
      <c r="Z14" s="82" t="s">
        <v>608</v>
      </c>
      <c r="AA14" s="83" t="s">
        <v>608</v>
      </c>
    </row>
    <row r="15" spans="1:28" hidden="1">
      <c r="A15" s="7" t="s">
        <v>634</v>
      </c>
      <c r="B15" t="s">
        <v>24</v>
      </c>
      <c r="C15" t="s">
        <v>82</v>
      </c>
      <c r="D15" t="s">
        <v>557</v>
      </c>
      <c r="E15" s="37" t="s">
        <v>22</v>
      </c>
      <c r="F15" s="43" t="s">
        <v>292</v>
      </c>
      <c r="G15" s="44">
        <v>13030407</v>
      </c>
      <c r="H15" t="s">
        <v>561</v>
      </c>
      <c r="I15" s="21" t="s">
        <v>635</v>
      </c>
      <c r="J15" s="20" t="s">
        <v>636</v>
      </c>
      <c r="K15" t="str">
        <f>_xlfn.CONCAT(Productos[[#This Row],[SAP_Productos]]," ",Productos[[#This Row],[Productos]])</f>
        <v>13030407 Pan Coliza</v>
      </c>
      <c r="L15" s="206"/>
      <c r="N15" t="s">
        <v>594</v>
      </c>
      <c r="O15">
        <v>76951378</v>
      </c>
      <c r="P15">
        <v>16000513</v>
      </c>
      <c r="Q15" t="s">
        <v>637</v>
      </c>
      <c r="S15" t="s">
        <v>638</v>
      </c>
      <c r="T15">
        <v>89462400</v>
      </c>
      <c r="U15" s="273" t="s">
        <v>639</v>
      </c>
      <c r="V15" s="273" t="s">
        <v>639</v>
      </c>
      <c r="Z15" t="s">
        <v>640</v>
      </c>
      <c r="AA15" t="s">
        <v>641</v>
      </c>
    </row>
    <row r="16" spans="1:28" hidden="1">
      <c r="A16" s="8" t="s">
        <v>35</v>
      </c>
      <c r="B16" t="s">
        <v>24</v>
      </c>
      <c r="C16" t="s">
        <v>112</v>
      </c>
      <c r="D16" t="s">
        <v>557</v>
      </c>
      <c r="E16" s="37" t="s">
        <v>22</v>
      </c>
      <c r="F16" s="41" t="s">
        <v>295</v>
      </c>
      <c r="G16" s="42">
        <v>13030520</v>
      </c>
      <c r="H16" t="s">
        <v>561</v>
      </c>
      <c r="I16" s="21" t="s">
        <v>212</v>
      </c>
      <c r="J16" s="20" t="s">
        <v>642</v>
      </c>
      <c r="K16" t="str">
        <f>_xlfn.CONCAT(Productos[[#This Row],[SAP_Productos]]," ",Productos[[#This Row],[Productos]])</f>
        <v>13030520 Pan Coliza Congelada PLT</v>
      </c>
      <c r="L16" s="206"/>
      <c r="N16" t="s">
        <v>465</v>
      </c>
      <c r="O16">
        <v>77155281</v>
      </c>
      <c r="P16">
        <v>10000294</v>
      </c>
      <c r="Q16" t="s">
        <v>494</v>
      </c>
      <c r="S16" t="s">
        <v>643</v>
      </c>
      <c r="T16">
        <v>96998510</v>
      </c>
      <c r="U16" s="273" t="s">
        <v>644</v>
      </c>
      <c r="V16" s="273" t="s">
        <v>644</v>
      </c>
      <c r="Z16" s="84" t="s">
        <v>614</v>
      </c>
      <c r="AA16" s="88" t="s">
        <v>614</v>
      </c>
    </row>
    <row r="17" spans="2:27" hidden="1">
      <c r="B17" t="s">
        <v>24</v>
      </c>
      <c r="C17" t="s">
        <v>139</v>
      </c>
      <c r="D17" t="s">
        <v>557</v>
      </c>
      <c r="E17" s="37" t="s">
        <v>22</v>
      </c>
      <c r="F17" s="43" t="s">
        <v>298</v>
      </c>
      <c r="G17" s="44">
        <v>12001372</v>
      </c>
      <c r="H17" t="s">
        <v>561</v>
      </c>
      <c r="I17" s="21" t="s">
        <v>645</v>
      </c>
      <c r="J17" s="20" t="s">
        <v>646</v>
      </c>
      <c r="K17" t="str">
        <f>_xlfn.CONCAT(Productos[[#This Row],[SAP_Productos]]," ",Productos[[#This Row],[Productos]])</f>
        <v>12001372 Merma masa Hallulla</v>
      </c>
      <c r="L17" s="206"/>
      <c r="N17" t="s">
        <v>465</v>
      </c>
      <c r="O17">
        <v>77155281</v>
      </c>
      <c r="P17">
        <v>10003283</v>
      </c>
      <c r="Q17" t="s">
        <v>315</v>
      </c>
      <c r="S17" t="s">
        <v>647</v>
      </c>
      <c r="T17">
        <v>96518070</v>
      </c>
      <c r="Z17" t="s">
        <v>620</v>
      </c>
      <c r="AA17" t="s">
        <v>620</v>
      </c>
    </row>
    <row r="18" spans="2:27" hidden="1">
      <c r="B18" t="s">
        <v>24</v>
      </c>
      <c r="C18" t="s">
        <v>165</v>
      </c>
      <c r="D18" t="s">
        <v>557</v>
      </c>
      <c r="E18" s="37" t="s">
        <v>22</v>
      </c>
      <c r="F18" s="41" t="s">
        <v>198</v>
      </c>
      <c r="G18" s="42">
        <v>12001376</v>
      </c>
      <c r="H18" t="s">
        <v>561</v>
      </c>
      <c r="K18" t="str">
        <f>_xlfn.CONCAT(Productos[[#This Row],[SAP_Productos]]," ",Productos[[#This Row],[Productos]])</f>
        <v>12001376 Merma masa Dobladas</v>
      </c>
      <c r="N18" t="s">
        <v>465</v>
      </c>
      <c r="O18">
        <v>77155281</v>
      </c>
      <c r="P18">
        <v>10003298</v>
      </c>
      <c r="Q18" t="s">
        <v>503</v>
      </c>
      <c r="S18" t="s">
        <v>648</v>
      </c>
      <c r="T18">
        <v>96591040</v>
      </c>
    </row>
    <row r="19" spans="2:27" hidden="1">
      <c r="B19" t="s">
        <v>24</v>
      </c>
      <c r="C19" t="s">
        <v>188</v>
      </c>
      <c r="D19" t="s">
        <v>557</v>
      </c>
      <c r="E19" s="37" t="s">
        <v>22</v>
      </c>
      <c r="F19" s="43" t="s">
        <v>307</v>
      </c>
      <c r="G19" s="44">
        <v>12001381</v>
      </c>
      <c r="H19" t="s">
        <v>561</v>
      </c>
      <c r="K19" t="str">
        <f>_xlfn.CONCAT(Productos[[#This Row],[SAP_Productos]]," ",Productos[[#This Row],[Productos]])</f>
        <v>12001381 Merma masa Coliza</v>
      </c>
      <c r="N19" t="s">
        <v>602</v>
      </c>
      <c r="O19">
        <v>76534152</v>
      </c>
      <c r="P19">
        <v>11001965</v>
      </c>
      <c r="Q19" t="s">
        <v>649</v>
      </c>
      <c r="S19" t="s">
        <v>650</v>
      </c>
      <c r="T19">
        <v>80186300</v>
      </c>
    </row>
    <row r="20" spans="2:27" hidden="1">
      <c r="B20" t="s">
        <v>25</v>
      </c>
      <c r="C20" t="s">
        <v>81</v>
      </c>
      <c r="D20" t="s">
        <v>557</v>
      </c>
      <c r="E20" s="69" t="s">
        <v>23</v>
      </c>
      <c r="F20" s="37" t="s">
        <v>94</v>
      </c>
      <c r="G20" s="38">
        <v>12001397</v>
      </c>
      <c r="H20" t="s">
        <v>561</v>
      </c>
      <c r="K20" t="str">
        <f>_xlfn.CONCAT(Productos[[#This Row],[SAP_Productos]]," ",Productos[[#This Row],[Productos]])</f>
        <v>12001397 Semi elaborado marraqueta</v>
      </c>
      <c r="N20" t="s">
        <v>606</v>
      </c>
      <c r="O20">
        <v>96647600</v>
      </c>
      <c r="P20">
        <v>10004120</v>
      </c>
      <c r="Q20" t="s">
        <v>651</v>
      </c>
      <c r="S20" t="s">
        <v>652</v>
      </c>
      <c r="T20">
        <v>96974100</v>
      </c>
    </row>
    <row r="21" spans="2:27" hidden="1">
      <c r="B21" t="s">
        <v>25</v>
      </c>
      <c r="C21" t="s">
        <v>112</v>
      </c>
      <c r="D21" t="s">
        <v>557</v>
      </c>
      <c r="E21" s="69" t="s">
        <v>23</v>
      </c>
      <c r="F21" s="39" t="s">
        <v>122</v>
      </c>
      <c r="G21" s="40">
        <v>12001472</v>
      </c>
      <c r="H21" t="s">
        <v>561</v>
      </c>
      <c r="K21" t="str">
        <f>_xlfn.CONCAT(Productos[[#This Row],[SAP_Productos]]," ",Productos[[#This Row],[Productos]])</f>
        <v>12001472 Semi Elaborado Marraqueta piloto</v>
      </c>
      <c r="N21" t="s">
        <v>611</v>
      </c>
      <c r="O21">
        <v>82321000</v>
      </c>
      <c r="P21">
        <v>16000509</v>
      </c>
      <c r="Q21" t="s">
        <v>653</v>
      </c>
      <c r="S21" t="s">
        <v>654</v>
      </c>
      <c r="T21">
        <v>96590620</v>
      </c>
    </row>
    <row r="22" spans="2:27" hidden="1">
      <c r="B22" t="s">
        <v>25</v>
      </c>
      <c r="C22" t="s">
        <v>139</v>
      </c>
      <c r="D22" t="s">
        <v>557</v>
      </c>
      <c r="E22" s="69" t="s">
        <v>23</v>
      </c>
      <c r="F22" s="37" t="s">
        <v>96</v>
      </c>
      <c r="G22" s="38">
        <v>12001411</v>
      </c>
      <c r="H22" t="s">
        <v>561</v>
      </c>
      <c r="K22" t="str">
        <f>_xlfn.CONCAT(Productos[[#This Row],[SAP_Productos]]," ",Productos[[#This Row],[Productos]])</f>
        <v>12001411 Semi Elaborado Pan italiano</v>
      </c>
      <c r="N22" t="s">
        <v>617</v>
      </c>
      <c r="O22">
        <v>77740030</v>
      </c>
      <c r="P22">
        <v>11000032</v>
      </c>
      <c r="Q22" t="s">
        <v>655</v>
      </c>
      <c r="S22" t="s">
        <v>656</v>
      </c>
      <c r="T22">
        <v>84750800</v>
      </c>
    </row>
    <row r="23" spans="2:27" hidden="1">
      <c r="B23" t="s">
        <v>25</v>
      </c>
      <c r="C23" t="s">
        <v>164</v>
      </c>
      <c r="D23" t="s">
        <v>557</v>
      </c>
      <c r="E23" s="69" t="s">
        <v>23</v>
      </c>
      <c r="F23" s="39" t="s">
        <v>174</v>
      </c>
      <c r="G23" s="40">
        <v>13000270</v>
      </c>
      <c r="H23" t="s">
        <v>561</v>
      </c>
      <c r="K23" t="str">
        <f>_xlfn.CONCAT(Productos[[#This Row],[SAP_Productos]]," ",Productos[[#This Row],[Productos]])</f>
        <v>13000270 Marraqueta Manga  (24 Unidades) CM</v>
      </c>
      <c r="N23" t="s">
        <v>617</v>
      </c>
      <c r="O23">
        <v>77740030</v>
      </c>
      <c r="P23">
        <v>11000033</v>
      </c>
      <c r="Q23" t="s">
        <v>517</v>
      </c>
      <c r="S23" t="s">
        <v>657</v>
      </c>
      <c r="T23">
        <v>81094100</v>
      </c>
    </row>
    <row r="24" spans="2:27" hidden="1">
      <c r="B24" t="s">
        <v>25</v>
      </c>
      <c r="C24" t="s">
        <v>187</v>
      </c>
      <c r="D24" t="s">
        <v>557</v>
      </c>
      <c r="E24" s="69" t="s">
        <v>23</v>
      </c>
      <c r="F24" s="37" t="s">
        <v>196</v>
      </c>
      <c r="G24" s="38">
        <v>13030097</v>
      </c>
      <c r="H24" t="s">
        <v>561</v>
      </c>
      <c r="K24" t="str">
        <f>_xlfn.CONCAT(Productos[[#This Row],[SAP_Productos]]," ",Productos[[#This Row],[Productos]])</f>
        <v>13030097 Marraqueta Congelada</v>
      </c>
      <c r="N24" t="s">
        <v>617</v>
      </c>
      <c r="O24">
        <v>77740030</v>
      </c>
      <c r="P24">
        <v>11000034</v>
      </c>
      <c r="Q24" t="s">
        <v>518</v>
      </c>
      <c r="S24" t="s">
        <v>658</v>
      </c>
      <c r="T24">
        <v>92845000</v>
      </c>
    </row>
    <row r="25" spans="2:27" hidden="1">
      <c r="B25" t="s">
        <v>25</v>
      </c>
      <c r="C25" t="s">
        <v>208</v>
      </c>
      <c r="D25" t="s">
        <v>557</v>
      </c>
      <c r="E25" s="69" t="s">
        <v>23</v>
      </c>
      <c r="F25" s="39" t="s">
        <v>218</v>
      </c>
      <c r="G25" s="40">
        <v>13030176</v>
      </c>
      <c r="H25" t="s">
        <v>561</v>
      </c>
      <c r="K25" t="str">
        <f>_xlfn.CONCAT(Productos[[#This Row],[SAP_Productos]]," ",Productos[[#This Row],[Productos]])</f>
        <v>13030176 Marraqueta Envasada</v>
      </c>
      <c r="N25" t="s">
        <v>617</v>
      </c>
      <c r="O25">
        <v>77740030</v>
      </c>
      <c r="P25">
        <v>11000521</v>
      </c>
      <c r="Q25" t="s">
        <v>300</v>
      </c>
      <c r="S25" t="s">
        <v>659</v>
      </c>
      <c r="T25">
        <v>96678110</v>
      </c>
    </row>
    <row r="26" spans="2:27" hidden="1">
      <c r="B26" t="s">
        <v>25</v>
      </c>
      <c r="C26" t="s">
        <v>229</v>
      </c>
      <c r="D26" t="s">
        <v>557</v>
      </c>
      <c r="E26" s="69" t="s">
        <v>23</v>
      </c>
      <c r="F26" s="37" t="s">
        <v>238</v>
      </c>
      <c r="G26" s="38">
        <v>13030210</v>
      </c>
      <c r="H26" t="s">
        <v>561</v>
      </c>
      <c r="K26" t="str">
        <f>_xlfn.CONCAT(Productos[[#This Row],[SAP_Productos]]," ",Productos[[#This Row],[Productos]])</f>
        <v>13030210 Marraqueta Manga (12 Unidades)</v>
      </c>
      <c r="N26" t="s">
        <v>617</v>
      </c>
      <c r="O26">
        <v>77740030</v>
      </c>
      <c r="P26">
        <v>11001467</v>
      </c>
      <c r="Q26" t="s">
        <v>660</v>
      </c>
      <c r="S26" t="s">
        <v>661</v>
      </c>
      <c r="T26">
        <v>76097645</v>
      </c>
    </row>
    <row r="27" spans="2:27" hidden="1">
      <c r="B27" t="s">
        <v>25</v>
      </c>
      <c r="C27" t="s">
        <v>246</v>
      </c>
      <c r="D27" t="s">
        <v>557</v>
      </c>
      <c r="E27" s="69" t="s">
        <v>23</v>
      </c>
      <c r="F27" s="39" t="s">
        <v>254</v>
      </c>
      <c r="G27" s="40">
        <v>13030321</v>
      </c>
      <c r="H27" t="s">
        <v>561</v>
      </c>
      <c r="K27" t="str">
        <f>_xlfn.CONCAT(Productos[[#This Row],[SAP_Productos]]," ",Productos[[#This Row],[Productos]])</f>
        <v>13030321 Marraqueta_2 Ekono</v>
      </c>
      <c r="N27" t="s">
        <v>625</v>
      </c>
      <c r="O27">
        <v>77051060</v>
      </c>
      <c r="P27">
        <v>11000672</v>
      </c>
      <c r="Q27" t="s">
        <v>391</v>
      </c>
      <c r="S27" t="s">
        <v>662</v>
      </c>
      <c r="T27">
        <v>96604460</v>
      </c>
    </row>
    <row r="28" spans="2:27" hidden="1">
      <c r="B28" t="s">
        <v>26</v>
      </c>
      <c r="C28" t="s">
        <v>82</v>
      </c>
      <c r="D28" t="s">
        <v>557</v>
      </c>
      <c r="E28" s="69" t="s">
        <v>23</v>
      </c>
      <c r="F28" s="37" t="s">
        <v>265</v>
      </c>
      <c r="G28" s="38">
        <v>13030402</v>
      </c>
      <c r="H28" t="s">
        <v>561</v>
      </c>
      <c r="K28" t="str">
        <f>_xlfn.CONCAT(Productos[[#This Row],[SAP_Productos]]," ",Productos[[#This Row],[Productos]])</f>
        <v>13030402 Marraqueta_2 Ban</v>
      </c>
      <c r="N28" t="s">
        <v>625</v>
      </c>
      <c r="O28">
        <v>77051060</v>
      </c>
      <c r="P28">
        <v>11001470</v>
      </c>
      <c r="Q28" t="s">
        <v>397</v>
      </c>
      <c r="S28" t="s">
        <v>663</v>
      </c>
      <c r="T28" t="s">
        <v>664</v>
      </c>
    </row>
    <row r="29" spans="2:27" hidden="1">
      <c r="B29" t="s">
        <v>26</v>
      </c>
      <c r="C29" t="s">
        <v>112</v>
      </c>
      <c r="D29" t="s">
        <v>557</v>
      </c>
      <c r="E29" s="69" t="s">
        <v>23</v>
      </c>
      <c r="F29" s="39" t="s">
        <v>273</v>
      </c>
      <c r="G29" s="40">
        <v>13030404</v>
      </c>
      <c r="H29" t="s">
        <v>561</v>
      </c>
      <c r="K29" t="str">
        <f>_xlfn.CONCAT(Productos[[#This Row],[SAP_Productos]]," ",Productos[[#This Row],[Productos]])</f>
        <v>13030404 Marraqueta_2 Ekono (B)</v>
      </c>
      <c r="N29" t="s">
        <v>625</v>
      </c>
      <c r="O29">
        <v>77051060</v>
      </c>
      <c r="P29">
        <v>11001625</v>
      </c>
      <c r="Q29" t="s">
        <v>439</v>
      </c>
      <c r="S29" t="s">
        <v>665</v>
      </c>
      <c r="T29">
        <v>76085401</v>
      </c>
    </row>
    <row r="30" spans="2:27" hidden="1">
      <c r="B30" t="s">
        <v>26</v>
      </c>
      <c r="C30" t="s">
        <v>139</v>
      </c>
      <c r="D30" t="s">
        <v>557</v>
      </c>
      <c r="E30" s="69" t="s">
        <v>23</v>
      </c>
      <c r="F30" s="37" t="s">
        <v>280</v>
      </c>
      <c r="G30" s="38">
        <v>13030468</v>
      </c>
      <c r="H30" t="s">
        <v>561</v>
      </c>
      <c r="K30" t="str">
        <f>_xlfn.CONCAT(Productos[[#This Row],[SAP_Productos]]," ",Productos[[#This Row],[Productos]])</f>
        <v>13030468 Marraqueta_2 (10 BAN)</v>
      </c>
      <c r="N30" t="s">
        <v>625</v>
      </c>
      <c r="O30">
        <v>77051060</v>
      </c>
      <c r="P30">
        <v>11001627</v>
      </c>
      <c r="Q30" t="s">
        <v>427</v>
      </c>
      <c r="S30" t="s">
        <v>666</v>
      </c>
      <c r="T30">
        <v>76005927</v>
      </c>
    </row>
    <row r="31" spans="2:27" hidden="1">
      <c r="B31" t="s">
        <v>26</v>
      </c>
      <c r="C31" t="s">
        <v>165</v>
      </c>
      <c r="D31" t="s">
        <v>557</v>
      </c>
      <c r="E31" s="69" t="s">
        <v>23</v>
      </c>
      <c r="F31" s="39" t="s">
        <v>285</v>
      </c>
      <c r="G31" s="40">
        <v>13030597</v>
      </c>
      <c r="H31" t="s">
        <v>561</v>
      </c>
      <c r="K31" t="str">
        <f>_xlfn.CONCAT(Productos[[#This Row],[SAP_Productos]]," ",Productos[[#This Row],[Productos]])</f>
        <v>13030597 Marraqueta granel piloto</v>
      </c>
      <c r="N31" t="s">
        <v>625</v>
      </c>
      <c r="O31">
        <v>77051060</v>
      </c>
      <c r="P31">
        <v>11001628</v>
      </c>
      <c r="Q31" t="s">
        <v>423</v>
      </c>
      <c r="S31" t="s">
        <v>667</v>
      </c>
      <c r="T31">
        <v>94282000</v>
      </c>
    </row>
    <row r="32" spans="2:27" hidden="1">
      <c r="B32" t="s">
        <v>26</v>
      </c>
      <c r="C32" t="s">
        <v>186</v>
      </c>
      <c r="D32" t="s">
        <v>557</v>
      </c>
      <c r="E32" s="69" t="s">
        <v>23</v>
      </c>
      <c r="F32" s="37" t="s">
        <v>125</v>
      </c>
      <c r="G32" s="38">
        <v>13030301</v>
      </c>
      <c r="H32" t="s">
        <v>561</v>
      </c>
      <c r="K32" t="str">
        <f>_xlfn.CONCAT(Productos[[#This Row],[SAP_Productos]]," ",Productos[[#This Row],[Productos]])</f>
        <v>13030301 Pan Italiano</v>
      </c>
      <c r="N32" t="s">
        <v>625</v>
      </c>
      <c r="O32">
        <v>77051060</v>
      </c>
      <c r="P32">
        <v>11001814</v>
      </c>
      <c r="Q32" t="s">
        <v>668</v>
      </c>
      <c r="S32" t="s">
        <v>669</v>
      </c>
      <c r="T32">
        <v>76016331</v>
      </c>
    </row>
    <row r="33" spans="2:20" hidden="1">
      <c r="B33" t="s">
        <v>27</v>
      </c>
      <c r="C33" t="s">
        <v>81</v>
      </c>
      <c r="D33" t="s">
        <v>558</v>
      </c>
      <c r="E33" s="69" t="s">
        <v>23</v>
      </c>
      <c r="F33" s="39" t="s">
        <v>152</v>
      </c>
      <c r="G33" s="40">
        <v>13030322</v>
      </c>
      <c r="H33" t="s">
        <v>562</v>
      </c>
      <c r="K33" t="str">
        <f>_xlfn.CONCAT(Productos[[#This Row],[SAP_Productos]]," ",Productos[[#This Row],[Productos]])</f>
        <v>13030322 Pan Italiano Ekono (B)</v>
      </c>
      <c r="N33" t="s">
        <v>625</v>
      </c>
      <c r="O33">
        <v>77051060</v>
      </c>
      <c r="P33">
        <v>11001851</v>
      </c>
      <c r="Q33" t="s">
        <v>670</v>
      </c>
      <c r="S33" t="s">
        <v>671</v>
      </c>
      <c r="T33">
        <v>76443294</v>
      </c>
    </row>
    <row r="34" spans="2:20" hidden="1">
      <c r="B34" t="s">
        <v>27</v>
      </c>
      <c r="C34" t="s">
        <v>112</v>
      </c>
      <c r="D34" t="s">
        <v>558</v>
      </c>
      <c r="E34" s="69" t="s">
        <v>23</v>
      </c>
      <c r="F34" s="37" t="s">
        <v>177</v>
      </c>
      <c r="G34" s="38">
        <v>13030489</v>
      </c>
      <c r="H34" t="s">
        <v>562</v>
      </c>
      <c r="K34" t="str">
        <f>_xlfn.CONCAT(Productos[[#This Row],[SAP_Productos]]," ",Productos[[#This Row],[Productos]])</f>
        <v>13030489 Italiano CM 5 K</v>
      </c>
      <c r="N34" t="s">
        <v>625</v>
      </c>
      <c r="O34">
        <v>77051060</v>
      </c>
      <c r="P34">
        <v>11001858</v>
      </c>
      <c r="Q34" t="s">
        <v>541</v>
      </c>
      <c r="S34" t="s">
        <v>672</v>
      </c>
      <c r="T34">
        <v>96518090</v>
      </c>
    </row>
    <row r="35" spans="2:20" hidden="1">
      <c r="B35" t="s">
        <v>27</v>
      </c>
      <c r="C35" t="s">
        <v>140</v>
      </c>
      <c r="D35" t="s">
        <v>558</v>
      </c>
      <c r="E35" s="69" t="s">
        <v>23</v>
      </c>
      <c r="F35" s="39" t="s">
        <v>199</v>
      </c>
      <c r="G35" s="40">
        <v>13030519</v>
      </c>
      <c r="H35" t="s">
        <v>562</v>
      </c>
      <c r="K35" t="str">
        <f>_xlfn.CONCAT(Productos[[#This Row],[SAP_Productos]]," ",Productos[[#This Row],[Productos]])</f>
        <v>13030519 Pan Italiano Congelado PLT</v>
      </c>
      <c r="N35" t="s">
        <v>625</v>
      </c>
      <c r="O35">
        <v>77051060</v>
      </c>
      <c r="P35">
        <v>11001873</v>
      </c>
      <c r="Q35" t="s">
        <v>673</v>
      </c>
      <c r="S35" t="s">
        <v>674</v>
      </c>
      <c r="T35">
        <v>76060397</v>
      </c>
    </row>
    <row r="36" spans="2:20" hidden="1">
      <c r="B36" t="s">
        <v>27</v>
      </c>
      <c r="C36" t="s">
        <v>139</v>
      </c>
      <c r="D36" t="s">
        <v>558</v>
      </c>
      <c r="E36" s="69" t="s">
        <v>23</v>
      </c>
      <c r="F36" s="37" t="s">
        <v>220</v>
      </c>
      <c r="G36" s="38">
        <v>12001374</v>
      </c>
      <c r="H36" t="s">
        <v>562</v>
      </c>
      <c r="K36" t="str">
        <f>_xlfn.CONCAT(Productos[[#This Row],[SAP_Productos]]," ",Productos[[#This Row],[Productos]])</f>
        <v>12001374 Merma masa Pan Italiano</v>
      </c>
      <c r="N36" t="s">
        <v>625</v>
      </c>
      <c r="O36">
        <v>77051060</v>
      </c>
      <c r="P36">
        <v>11001885</v>
      </c>
      <c r="Q36" t="s">
        <v>675</v>
      </c>
      <c r="S36" t="s">
        <v>676</v>
      </c>
      <c r="T36">
        <v>96665460</v>
      </c>
    </row>
    <row r="37" spans="2:20" hidden="1">
      <c r="B37" t="s">
        <v>27</v>
      </c>
      <c r="C37" t="s">
        <v>677</v>
      </c>
      <c r="D37" t="s">
        <v>558</v>
      </c>
      <c r="E37" s="69" t="s">
        <v>23</v>
      </c>
      <c r="F37" s="39" t="s">
        <v>308</v>
      </c>
      <c r="G37" s="40">
        <v>12001447</v>
      </c>
      <c r="H37" t="s">
        <v>562</v>
      </c>
      <c r="K37" t="str">
        <f>_xlfn.CONCAT(Productos[[#This Row],[SAP_Productos]]," ",Productos[[#This Row],[Productos]])</f>
        <v>12001447 Merma Masa marraqueta piloto</v>
      </c>
      <c r="N37" t="s">
        <v>625</v>
      </c>
      <c r="O37">
        <v>77051060</v>
      </c>
      <c r="P37">
        <v>11001892</v>
      </c>
      <c r="Q37" t="s">
        <v>678</v>
      </c>
      <c r="S37" t="s">
        <v>679</v>
      </c>
      <c r="T37">
        <v>76830041</v>
      </c>
    </row>
    <row r="38" spans="2:20" hidden="1">
      <c r="B38" t="s">
        <v>27</v>
      </c>
      <c r="C38" t="s">
        <v>189</v>
      </c>
      <c r="D38" t="s">
        <v>558</v>
      </c>
      <c r="E38" s="69" t="s">
        <v>23</v>
      </c>
      <c r="F38" s="37" t="s">
        <v>313</v>
      </c>
      <c r="G38" s="38">
        <v>12001339</v>
      </c>
      <c r="H38" t="s">
        <v>562</v>
      </c>
      <c r="K38" t="str">
        <f>_xlfn.CONCAT(Productos[[#This Row],[SAP_Productos]]," ",Productos[[#This Row],[Productos]])</f>
        <v>12001339 Merma Masa Marraqueta</v>
      </c>
      <c r="N38" t="s">
        <v>625</v>
      </c>
      <c r="O38">
        <v>77051060</v>
      </c>
      <c r="P38">
        <v>11001914</v>
      </c>
      <c r="Q38" t="s">
        <v>680</v>
      </c>
      <c r="S38" t="s">
        <v>681</v>
      </c>
      <c r="T38">
        <v>96506730</v>
      </c>
    </row>
    <row r="39" spans="2:20" hidden="1">
      <c r="B39" t="s">
        <v>27</v>
      </c>
      <c r="C39" t="s">
        <v>209</v>
      </c>
      <c r="D39" t="s">
        <v>558</v>
      </c>
      <c r="E39" s="69" t="s">
        <v>24</v>
      </c>
      <c r="F39" s="41" t="s">
        <v>95</v>
      </c>
      <c r="G39" s="42">
        <v>12001398</v>
      </c>
      <c r="H39" t="s">
        <v>562</v>
      </c>
      <c r="K39" t="str">
        <f>_xlfn.CONCAT(Productos[[#This Row],[SAP_Productos]]," ",Productos[[#This Row],[Productos]])</f>
        <v>12001398 Semi Elaborado Doblada</v>
      </c>
      <c r="N39" t="s">
        <v>632</v>
      </c>
      <c r="O39">
        <v>76111152</v>
      </c>
      <c r="P39">
        <v>10000114</v>
      </c>
      <c r="Q39" t="s">
        <v>304</v>
      </c>
      <c r="S39" t="s">
        <v>682</v>
      </c>
      <c r="T39">
        <v>76090492</v>
      </c>
    </row>
    <row r="40" spans="2:20" hidden="1">
      <c r="B40" t="s">
        <v>27</v>
      </c>
      <c r="C40" t="s">
        <v>231</v>
      </c>
      <c r="D40" t="s">
        <v>558</v>
      </c>
      <c r="E40" s="69" t="s">
        <v>24</v>
      </c>
      <c r="F40" s="41" t="s">
        <v>124</v>
      </c>
      <c r="G40" s="42">
        <v>13001004</v>
      </c>
      <c r="H40" t="s">
        <v>562</v>
      </c>
      <c r="K40" t="str">
        <f>_xlfn.CONCAT(Productos[[#This Row],[SAP_Productos]]," ",Productos[[#This Row],[Productos]])</f>
        <v>13001004 Dobladas</v>
      </c>
      <c r="N40" t="s">
        <v>632</v>
      </c>
      <c r="O40">
        <v>76111152</v>
      </c>
      <c r="P40">
        <v>10003469</v>
      </c>
      <c r="Q40" t="s">
        <v>496</v>
      </c>
      <c r="S40" t="s">
        <v>683</v>
      </c>
      <c r="T40">
        <v>96565810</v>
      </c>
    </row>
    <row r="41" spans="2:20" hidden="1">
      <c r="B41" t="s">
        <v>27</v>
      </c>
      <c r="C41" t="s">
        <v>247</v>
      </c>
      <c r="D41" t="s">
        <v>558</v>
      </c>
      <c r="E41" s="69" t="s">
        <v>24</v>
      </c>
      <c r="F41" s="41" t="s">
        <v>151</v>
      </c>
      <c r="G41" s="42">
        <v>13030199</v>
      </c>
      <c r="H41" t="s">
        <v>562</v>
      </c>
      <c r="K41" t="str">
        <f>_xlfn.CONCAT(Productos[[#This Row],[SAP_Productos]]," ",Productos[[#This Row],[Productos]])</f>
        <v>13030199 Dobladas (Ekono)</v>
      </c>
      <c r="N41" t="s">
        <v>638</v>
      </c>
      <c r="O41">
        <v>89462400</v>
      </c>
      <c r="P41">
        <v>11000601</v>
      </c>
      <c r="Q41" t="s">
        <v>401</v>
      </c>
      <c r="S41" t="s">
        <v>684</v>
      </c>
      <c r="T41">
        <v>77248660</v>
      </c>
    </row>
    <row r="42" spans="2:20" hidden="1">
      <c r="B42" t="s">
        <v>27</v>
      </c>
      <c r="C42" t="s">
        <v>258</v>
      </c>
      <c r="D42" t="s">
        <v>558</v>
      </c>
      <c r="E42" s="69" t="s">
        <v>24</v>
      </c>
      <c r="F42" s="41" t="s">
        <v>176</v>
      </c>
      <c r="G42" s="42">
        <v>13030406</v>
      </c>
      <c r="H42" t="s">
        <v>562</v>
      </c>
      <c r="K42" t="str">
        <f>_xlfn.CONCAT(Productos[[#This Row],[SAP_Productos]]," ",Productos[[#This Row],[Productos]])</f>
        <v>13030406 Dobladas Ekono (B)</v>
      </c>
      <c r="N42" t="s">
        <v>638</v>
      </c>
      <c r="O42">
        <v>89462400</v>
      </c>
      <c r="P42">
        <v>11001557</v>
      </c>
      <c r="Q42" t="s">
        <v>407</v>
      </c>
      <c r="S42" t="s">
        <v>685</v>
      </c>
      <c r="T42">
        <v>76150343</v>
      </c>
    </row>
    <row r="43" spans="2:20" hidden="1">
      <c r="B43" t="s">
        <v>28</v>
      </c>
      <c r="C43" t="s">
        <v>81</v>
      </c>
      <c r="D43" t="s">
        <v>558</v>
      </c>
      <c r="E43" s="69" t="s">
        <v>24</v>
      </c>
      <c r="F43" s="41" t="s">
        <v>198</v>
      </c>
      <c r="G43" s="42">
        <v>12001376</v>
      </c>
      <c r="H43" t="s">
        <v>562</v>
      </c>
      <c r="K43" t="str">
        <f>_xlfn.CONCAT(Productos[[#This Row],[SAP_Productos]]," ",Productos[[#This Row],[Productos]])</f>
        <v>12001376 Merma masa Dobladas</v>
      </c>
      <c r="N43" t="s">
        <v>638</v>
      </c>
      <c r="O43">
        <v>89462400</v>
      </c>
      <c r="P43">
        <v>11001559</v>
      </c>
      <c r="Q43" t="s">
        <v>686</v>
      </c>
      <c r="S43" t="s">
        <v>687</v>
      </c>
      <c r="T43">
        <v>76072989</v>
      </c>
    </row>
    <row r="44" spans="2:20" hidden="1">
      <c r="B44" t="s">
        <v>28</v>
      </c>
      <c r="C44" t="s">
        <v>112</v>
      </c>
      <c r="D44" t="s">
        <v>558</v>
      </c>
      <c r="E44" s="69" t="s">
        <v>24</v>
      </c>
      <c r="F44" s="37" t="s">
        <v>299</v>
      </c>
      <c r="G44" s="38">
        <v>12001407</v>
      </c>
      <c r="H44" t="s">
        <v>562</v>
      </c>
      <c r="K44" t="str">
        <f>_xlfn.CONCAT(Productos[[#This Row],[SAP_Productos]]," ",Productos[[#This Row],[Productos]])</f>
        <v>12001407 Semi Elaborado Pan Amasado</v>
      </c>
      <c r="N44" t="s">
        <v>638</v>
      </c>
      <c r="O44">
        <v>89462400</v>
      </c>
      <c r="P44">
        <v>11001712</v>
      </c>
      <c r="Q44" t="s">
        <v>688</v>
      </c>
      <c r="S44" t="s">
        <v>689</v>
      </c>
      <c r="T44">
        <v>78901250</v>
      </c>
    </row>
    <row r="45" spans="2:20" hidden="1">
      <c r="B45" t="s">
        <v>28</v>
      </c>
      <c r="C45" t="s">
        <v>139</v>
      </c>
      <c r="D45" t="s">
        <v>558</v>
      </c>
      <c r="E45" s="69" t="s">
        <v>24</v>
      </c>
      <c r="F45" s="37" t="s">
        <v>303</v>
      </c>
      <c r="G45" s="38">
        <v>13030395</v>
      </c>
      <c r="H45" t="s">
        <v>562</v>
      </c>
      <c r="K45" t="str">
        <f>_xlfn.CONCAT(Productos[[#This Row],[SAP_Productos]]," ",Productos[[#This Row],[Productos]])</f>
        <v>13030395 Pan Amasado</v>
      </c>
      <c r="N45" t="s">
        <v>638</v>
      </c>
      <c r="O45">
        <v>89462400</v>
      </c>
      <c r="P45">
        <v>11001828</v>
      </c>
      <c r="Q45" t="s">
        <v>286</v>
      </c>
      <c r="S45" t="s">
        <v>690</v>
      </c>
      <c r="T45">
        <v>76541630</v>
      </c>
    </row>
    <row r="46" spans="2:20" hidden="1">
      <c r="B46" t="s">
        <v>28</v>
      </c>
      <c r="C46" t="s">
        <v>166</v>
      </c>
      <c r="D46" t="s">
        <v>558</v>
      </c>
      <c r="E46" s="69" t="s">
        <v>24</v>
      </c>
      <c r="F46" s="37" t="s">
        <v>309</v>
      </c>
      <c r="G46" s="38">
        <v>13030396</v>
      </c>
      <c r="H46" t="s">
        <v>562</v>
      </c>
      <c r="K46" t="str">
        <f>_xlfn.CONCAT(Productos[[#This Row],[SAP_Productos]]," ",Productos[[#This Row],[Productos]])</f>
        <v>13030396 Pan Amasado Congelado</v>
      </c>
      <c r="N46" t="s">
        <v>638</v>
      </c>
      <c r="O46">
        <v>89462400</v>
      </c>
      <c r="P46">
        <v>11001831</v>
      </c>
      <c r="Q46" t="s">
        <v>691</v>
      </c>
      <c r="S46" t="s">
        <v>692</v>
      </c>
      <c r="T46">
        <v>76483167</v>
      </c>
    </row>
    <row r="47" spans="2:20" hidden="1">
      <c r="B47" t="s">
        <v>28</v>
      </c>
      <c r="C47" t="s">
        <v>165</v>
      </c>
      <c r="D47" t="s">
        <v>558</v>
      </c>
      <c r="E47" s="69" t="s">
        <v>24</v>
      </c>
      <c r="F47" s="37" t="s">
        <v>314</v>
      </c>
      <c r="G47" s="38">
        <v>13030397</v>
      </c>
      <c r="H47" t="s">
        <v>562</v>
      </c>
      <c r="K47" t="str">
        <f>_xlfn.CONCAT(Productos[[#This Row],[SAP_Productos]]," ",Productos[[#This Row],[Productos]])</f>
        <v>13030397 Pan Amasado Ekono</v>
      </c>
      <c r="N47" t="s">
        <v>638</v>
      </c>
      <c r="O47">
        <v>89462400</v>
      </c>
      <c r="P47">
        <v>11001849</v>
      </c>
      <c r="Q47" t="s">
        <v>693</v>
      </c>
      <c r="S47" t="s">
        <v>694</v>
      </c>
      <c r="T47">
        <v>90828000</v>
      </c>
    </row>
    <row r="48" spans="2:20" hidden="1">
      <c r="B48" t="s">
        <v>28</v>
      </c>
      <c r="C48" t="s">
        <v>210</v>
      </c>
      <c r="D48" t="s">
        <v>558</v>
      </c>
      <c r="E48" s="69" t="s">
        <v>24</v>
      </c>
      <c r="F48" s="37" t="s">
        <v>318</v>
      </c>
      <c r="G48" s="38">
        <v>13030405</v>
      </c>
      <c r="H48" t="s">
        <v>562</v>
      </c>
      <c r="K48" t="str">
        <f>_xlfn.CONCAT(Productos[[#This Row],[SAP_Productos]]," ",Productos[[#This Row],[Productos]])</f>
        <v>13030405 Pan Amasado Ekono (B)</v>
      </c>
      <c r="N48" t="s">
        <v>643</v>
      </c>
      <c r="O48">
        <v>96998510</v>
      </c>
      <c r="P48">
        <v>10000002</v>
      </c>
      <c r="Q48" t="s">
        <v>100</v>
      </c>
      <c r="S48" t="s">
        <v>695</v>
      </c>
      <c r="T48">
        <v>5920758</v>
      </c>
    </row>
    <row r="49" spans="2:20" hidden="1">
      <c r="B49" t="s">
        <v>29</v>
      </c>
      <c r="C49" t="s">
        <v>83</v>
      </c>
      <c r="D49" t="s">
        <v>558</v>
      </c>
      <c r="E49" s="69" t="s">
        <v>24</v>
      </c>
      <c r="F49" s="37" t="s">
        <v>328</v>
      </c>
      <c r="G49" s="38">
        <v>13030521</v>
      </c>
      <c r="H49" t="s">
        <v>562</v>
      </c>
      <c r="K49" t="str">
        <f>_xlfn.CONCAT(Productos[[#This Row],[SAP_Productos]]," ",Productos[[#This Row],[Productos]])</f>
        <v>13030521 Pan Amasado Congelado PLT</v>
      </c>
      <c r="N49" t="s">
        <v>643</v>
      </c>
      <c r="O49">
        <v>96998510</v>
      </c>
      <c r="P49">
        <v>10000445</v>
      </c>
      <c r="Q49" t="s">
        <v>480</v>
      </c>
      <c r="S49" t="s">
        <v>696</v>
      </c>
      <c r="T49">
        <v>78382760</v>
      </c>
    </row>
    <row r="50" spans="2:20" hidden="1">
      <c r="B50" t="s">
        <v>29</v>
      </c>
      <c r="C50" t="s">
        <v>113</v>
      </c>
      <c r="D50" t="s">
        <v>558</v>
      </c>
      <c r="E50" s="69" t="s">
        <v>25</v>
      </c>
      <c r="F50" s="41" t="s">
        <v>93</v>
      </c>
      <c r="G50" s="42">
        <v>12001396</v>
      </c>
      <c r="H50" t="s">
        <v>562</v>
      </c>
      <c r="K50" t="str">
        <f>_xlfn.CONCAT(Productos[[#This Row],[SAP_Productos]]," ",Productos[[#This Row],[Productos]])</f>
        <v>12001396 Semi elaborado hallulla</v>
      </c>
      <c r="N50" t="s">
        <v>643</v>
      </c>
      <c r="O50">
        <v>96998510</v>
      </c>
      <c r="P50">
        <v>10000446</v>
      </c>
      <c r="Q50" t="s">
        <v>475</v>
      </c>
      <c r="S50" t="s">
        <v>697</v>
      </c>
      <c r="T50">
        <v>13697415</v>
      </c>
    </row>
    <row r="51" spans="2:20" hidden="1">
      <c r="B51" t="s">
        <v>29</v>
      </c>
      <c r="C51" t="s">
        <v>141</v>
      </c>
      <c r="D51" t="s">
        <v>558</v>
      </c>
      <c r="E51" s="69" t="s">
        <v>25</v>
      </c>
      <c r="F51" s="43" t="s">
        <v>123</v>
      </c>
      <c r="G51" s="44">
        <v>13030401</v>
      </c>
      <c r="H51" t="s">
        <v>562</v>
      </c>
      <c r="K51" t="str">
        <f>_xlfn.CONCAT(Productos[[#This Row],[SAP_Productos]]," ",Productos[[#This Row],[Productos]])</f>
        <v>13030401 Hallulla_2 Ban</v>
      </c>
      <c r="N51" t="s">
        <v>647</v>
      </c>
      <c r="O51">
        <v>96518070</v>
      </c>
      <c r="P51">
        <v>10003588</v>
      </c>
      <c r="Q51" t="s">
        <v>698</v>
      </c>
      <c r="S51" t="s">
        <v>699</v>
      </c>
      <c r="T51">
        <v>96733580</v>
      </c>
    </row>
    <row r="52" spans="2:20" hidden="1">
      <c r="B52" t="s">
        <v>29</v>
      </c>
      <c r="C52" t="s">
        <v>166</v>
      </c>
      <c r="D52" t="s">
        <v>558</v>
      </c>
      <c r="E52" s="69" t="s">
        <v>25</v>
      </c>
      <c r="F52" s="41" t="s">
        <v>150</v>
      </c>
      <c r="G52" s="42">
        <v>13030403</v>
      </c>
      <c r="H52" t="s">
        <v>562</v>
      </c>
      <c r="K52" t="str">
        <f>_xlfn.CONCAT(Productos[[#This Row],[SAP_Productos]]," ",Productos[[#This Row],[Productos]])</f>
        <v>13030403 Hallulla_2 Ekono (B)</v>
      </c>
      <c r="N52" t="s">
        <v>648</v>
      </c>
      <c r="O52">
        <v>96591040</v>
      </c>
      <c r="P52">
        <v>10004392</v>
      </c>
      <c r="Q52" t="s">
        <v>700</v>
      </c>
      <c r="S52" t="s">
        <v>701</v>
      </c>
      <c r="T52">
        <v>77428590</v>
      </c>
    </row>
    <row r="53" spans="2:20" hidden="1">
      <c r="B53" t="s">
        <v>29</v>
      </c>
      <c r="C53" t="s">
        <v>165</v>
      </c>
      <c r="D53" t="s">
        <v>558</v>
      </c>
      <c r="E53" s="69" t="s">
        <v>25</v>
      </c>
      <c r="F53" s="43" t="s">
        <v>175</v>
      </c>
      <c r="G53" s="44">
        <v>13030467</v>
      </c>
      <c r="H53" t="s">
        <v>562</v>
      </c>
      <c r="K53" t="str">
        <f>_xlfn.CONCAT(Productos[[#This Row],[SAP_Productos]]," ",Productos[[#This Row],[Productos]])</f>
        <v>13030467 Hallulla_2 (10 BAN)</v>
      </c>
      <c r="N53" t="s">
        <v>650</v>
      </c>
      <c r="O53">
        <v>80186300</v>
      </c>
      <c r="P53">
        <v>10000359</v>
      </c>
      <c r="Q53" t="s">
        <v>521</v>
      </c>
      <c r="S53" t="s">
        <v>702</v>
      </c>
      <c r="T53">
        <v>76623620</v>
      </c>
    </row>
    <row r="54" spans="2:20" hidden="1">
      <c r="B54" t="s">
        <v>29</v>
      </c>
      <c r="C54" t="s">
        <v>211</v>
      </c>
      <c r="D54" t="s">
        <v>558</v>
      </c>
      <c r="E54" s="69" t="s">
        <v>25</v>
      </c>
      <c r="F54" s="41" t="s">
        <v>197</v>
      </c>
      <c r="G54" s="42">
        <v>13030469</v>
      </c>
      <c r="H54" t="s">
        <v>562</v>
      </c>
      <c r="K54" t="str">
        <f>_xlfn.CONCAT(Productos[[#This Row],[SAP_Productos]]," ",Productos[[#This Row],[Productos]])</f>
        <v>13030469 Hallulla_2 (15 BAN)</v>
      </c>
      <c r="N54" t="s">
        <v>652</v>
      </c>
      <c r="O54">
        <v>96974100</v>
      </c>
      <c r="P54">
        <v>10003707</v>
      </c>
      <c r="Q54" t="s">
        <v>377</v>
      </c>
      <c r="S54" t="s">
        <v>703</v>
      </c>
      <c r="T54">
        <v>99565620</v>
      </c>
    </row>
    <row r="55" spans="2:20" hidden="1">
      <c r="B55" t="s">
        <v>31</v>
      </c>
      <c r="C55" t="s">
        <v>84</v>
      </c>
      <c r="D55" t="s">
        <v>557</v>
      </c>
      <c r="E55" s="69" t="s">
        <v>25</v>
      </c>
      <c r="F55" s="43" t="s">
        <v>219</v>
      </c>
      <c r="G55" s="44">
        <v>13030543</v>
      </c>
      <c r="H55" t="s">
        <v>561</v>
      </c>
      <c r="K55" t="str">
        <f>_xlfn.CONCAT(Productos[[#This Row],[SAP_Productos]]," ",Productos[[#This Row],[Productos]])</f>
        <v>13030543 Hallulla Casino Granel (Intense)</v>
      </c>
      <c r="N55" t="s">
        <v>652</v>
      </c>
      <c r="O55">
        <v>96974100</v>
      </c>
      <c r="P55">
        <v>11000135</v>
      </c>
      <c r="Q55" t="s">
        <v>357</v>
      </c>
      <c r="S55" t="s">
        <v>704</v>
      </c>
      <c r="T55">
        <v>99549330</v>
      </c>
    </row>
    <row r="56" spans="2:20" hidden="1">
      <c r="B56" t="s">
        <v>31</v>
      </c>
      <c r="C56" t="s">
        <v>114</v>
      </c>
      <c r="D56" t="s">
        <v>557</v>
      </c>
      <c r="E56" s="69" t="s">
        <v>25</v>
      </c>
      <c r="F56" s="41" t="s">
        <v>239</v>
      </c>
      <c r="G56" s="42">
        <v>13030098</v>
      </c>
      <c r="H56" t="s">
        <v>561</v>
      </c>
      <c r="K56" t="str">
        <f>_xlfn.CONCAT(Productos[[#This Row],[SAP_Productos]]," ",Productos[[#This Row],[Productos]])</f>
        <v>13030098 Hallulla Congelada</v>
      </c>
      <c r="N56" t="s">
        <v>652</v>
      </c>
      <c r="O56">
        <v>96974100</v>
      </c>
      <c r="P56">
        <v>11000148</v>
      </c>
      <c r="Q56" t="s">
        <v>363</v>
      </c>
      <c r="S56" t="s">
        <v>705</v>
      </c>
      <c r="T56">
        <v>76057769</v>
      </c>
    </row>
    <row r="57" spans="2:20" hidden="1">
      <c r="B57" t="s">
        <v>32</v>
      </c>
      <c r="C57" t="s">
        <v>85</v>
      </c>
      <c r="D57" t="s">
        <v>557</v>
      </c>
      <c r="E57" s="69" t="s">
        <v>25</v>
      </c>
      <c r="F57" s="39" t="s">
        <v>255</v>
      </c>
      <c r="G57" s="40">
        <v>13030177</v>
      </c>
      <c r="H57" t="s">
        <v>561</v>
      </c>
      <c r="K57" t="str">
        <f>_xlfn.CONCAT(Productos[[#This Row],[SAP_Productos]]," ",Productos[[#This Row],[Productos]])</f>
        <v>13030177 Hallulla Envasada</v>
      </c>
      <c r="N57" t="s">
        <v>652</v>
      </c>
      <c r="O57">
        <v>96974100</v>
      </c>
      <c r="P57">
        <v>11000159</v>
      </c>
      <c r="Q57" t="s">
        <v>345</v>
      </c>
      <c r="S57" t="s">
        <v>706</v>
      </c>
      <c r="T57">
        <v>81145500</v>
      </c>
    </row>
    <row r="58" spans="2:20" hidden="1">
      <c r="B58" t="s">
        <v>32</v>
      </c>
      <c r="C58" t="s">
        <v>114</v>
      </c>
      <c r="D58" t="s">
        <v>557</v>
      </c>
      <c r="E58" s="69" t="s">
        <v>25</v>
      </c>
      <c r="F58" s="37" t="s">
        <v>94</v>
      </c>
      <c r="G58" s="38">
        <v>12001397</v>
      </c>
      <c r="H58" t="s">
        <v>561</v>
      </c>
      <c r="K58" t="str">
        <f>_xlfn.CONCAT(Productos[[#This Row],[SAP_Productos]]," ",Productos[[#This Row],[Productos]])</f>
        <v>12001397 Semi elaborado marraqueta</v>
      </c>
      <c r="N58" t="s">
        <v>652</v>
      </c>
      <c r="O58">
        <v>96974100</v>
      </c>
      <c r="P58">
        <v>11000921</v>
      </c>
      <c r="Q58" t="s">
        <v>707</v>
      </c>
      <c r="S58" t="s">
        <v>708</v>
      </c>
      <c r="T58">
        <v>76188974</v>
      </c>
    </row>
    <row r="59" spans="2:20" hidden="1">
      <c r="B59" t="s">
        <v>30</v>
      </c>
      <c r="C59" t="s">
        <v>30</v>
      </c>
      <c r="D59" t="s">
        <v>559</v>
      </c>
      <c r="E59" s="69" t="s">
        <v>25</v>
      </c>
      <c r="F59" s="39" t="s">
        <v>174</v>
      </c>
      <c r="G59" s="40">
        <v>13000270</v>
      </c>
      <c r="H59" t="s">
        <v>563</v>
      </c>
      <c r="K59" t="str">
        <f>_xlfn.CONCAT(Productos[[#This Row],[SAP_Productos]]," ",Productos[[#This Row],[Productos]])</f>
        <v>13000270 Marraqueta Manga  (24 Unidades) CM</v>
      </c>
      <c r="N59" t="s">
        <v>652</v>
      </c>
      <c r="O59">
        <v>96974100</v>
      </c>
      <c r="P59">
        <v>11001529</v>
      </c>
      <c r="Q59" t="s">
        <v>375</v>
      </c>
      <c r="S59" t="s">
        <v>709</v>
      </c>
      <c r="T59">
        <v>6371206</v>
      </c>
    </row>
    <row r="60" spans="2:20" hidden="1">
      <c r="B60" t="s">
        <v>33</v>
      </c>
      <c r="C60" t="s">
        <v>33</v>
      </c>
      <c r="D60" t="s">
        <v>560</v>
      </c>
      <c r="E60" s="69" t="s">
        <v>25</v>
      </c>
      <c r="F60" s="37" t="s">
        <v>238</v>
      </c>
      <c r="G60" s="38">
        <v>13030210</v>
      </c>
      <c r="H60" t="s">
        <v>563</v>
      </c>
      <c r="K60" t="str">
        <f>_xlfn.CONCAT(Productos[[#This Row],[SAP_Productos]]," ",Productos[[#This Row],[Productos]])</f>
        <v>13030210 Marraqueta Manga (12 Unidades)</v>
      </c>
      <c r="N60" t="s">
        <v>652</v>
      </c>
      <c r="O60">
        <v>96974100</v>
      </c>
      <c r="P60">
        <v>11001635</v>
      </c>
      <c r="Q60" t="s">
        <v>325</v>
      </c>
      <c r="S60" t="s">
        <v>710</v>
      </c>
      <c r="T60">
        <v>79522140</v>
      </c>
    </row>
    <row r="61" spans="2:20" hidden="1">
      <c r="B61" t="s">
        <v>628</v>
      </c>
      <c r="C61" t="s">
        <v>86</v>
      </c>
      <c r="D61" t="s">
        <v>557</v>
      </c>
      <c r="E61" s="69" t="s">
        <v>25</v>
      </c>
      <c r="F61" s="39" t="s">
        <v>254</v>
      </c>
      <c r="G61" s="40">
        <v>13030321</v>
      </c>
      <c r="H61" t="s">
        <v>563</v>
      </c>
      <c r="K61" t="str">
        <f>_xlfn.CONCAT(Productos[[#This Row],[SAP_Productos]]," ",Productos[[#This Row],[Productos]])</f>
        <v>13030321 Marraqueta_2 Ekono</v>
      </c>
      <c r="N61" t="s">
        <v>652</v>
      </c>
      <c r="O61">
        <v>96974100</v>
      </c>
      <c r="P61">
        <v>11001637</v>
      </c>
      <c r="Q61" t="s">
        <v>336</v>
      </c>
      <c r="S61" t="s">
        <v>711</v>
      </c>
      <c r="T61">
        <v>83877600</v>
      </c>
    </row>
    <row r="62" spans="2:20" hidden="1">
      <c r="B62" t="s">
        <v>628</v>
      </c>
      <c r="C62" t="s">
        <v>115</v>
      </c>
      <c r="D62" t="s">
        <v>557</v>
      </c>
      <c r="E62" s="69" t="s">
        <v>25</v>
      </c>
      <c r="F62" s="37" t="s">
        <v>265</v>
      </c>
      <c r="G62" s="38">
        <v>13030402</v>
      </c>
      <c r="H62" t="s">
        <v>563</v>
      </c>
      <c r="K62" t="str">
        <f>_xlfn.CONCAT(Productos[[#This Row],[SAP_Productos]]," ",Productos[[#This Row],[Productos]])</f>
        <v>13030402 Marraqueta_2 Ban</v>
      </c>
      <c r="N62" t="s">
        <v>652</v>
      </c>
      <c r="O62">
        <v>96974100</v>
      </c>
      <c r="P62">
        <v>11001638</v>
      </c>
      <c r="Q62" t="s">
        <v>339</v>
      </c>
      <c r="S62" t="s">
        <v>712</v>
      </c>
      <c r="T62">
        <v>96540330</v>
      </c>
    </row>
    <row r="63" spans="2:20" hidden="1">
      <c r="B63" t="s">
        <v>634</v>
      </c>
      <c r="C63" t="s">
        <v>713</v>
      </c>
      <c r="D63" t="s">
        <v>559</v>
      </c>
      <c r="E63" s="69" t="s">
        <v>25</v>
      </c>
      <c r="F63" s="39" t="s">
        <v>273</v>
      </c>
      <c r="G63" s="40">
        <v>13030404</v>
      </c>
      <c r="H63" t="s">
        <v>563</v>
      </c>
      <c r="K63" t="str">
        <f>_xlfn.CONCAT(Productos[[#This Row],[SAP_Productos]]," ",Productos[[#This Row],[Productos]])</f>
        <v>13030404 Marraqueta_2 Ekono (B)</v>
      </c>
      <c r="N63" t="s">
        <v>652</v>
      </c>
      <c r="O63">
        <v>96974100</v>
      </c>
      <c r="P63">
        <v>11001639</v>
      </c>
      <c r="Q63" t="s">
        <v>333</v>
      </c>
      <c r="S63" t="s">
        <v>714</v>
      </c>
      <c r="T63">
        <v>77961510</v>
      </c>
    </row>
    <row r="64" spans="2:20" hidden="1">
      <c r="B64" t="s">
        <v>634</v>
      </c>
      <c r="C64" t="s">
        <v>167</v>
      </c>
      <c r="D64" t="s">
        <v>559</v>
      </c>
      <c r="E64" s="69" t="s">
        <v>25</v>
      </c>
      <c r="F64" s="37" t="s">
        <v>280</v>
      </c>
      <c r="G64" s="38">
        <v>13030468</v>
      </c>
      <c r="H64" t="s">
        <v>563</v>
      </c>
      <c r="K64" t="str">
        <f>_xlfn.CONCAT(Productos[[#This Row],[SAP_Productos]]," ",Productos[[#This Row],[Productos]])</f>
        <v>13030468 Marraqueta_2 (10 BAN)</v>
      </c>
      <c r="N64" t="s">
        <v>652</v>
      </c>
      <c r="O64">
        <v>96974100</v>
      </c>
      <c r="P64">
        <v>11001640</v>
      </c>
      <c r="Q64" t="s">
        <v>715</v>
      </c>
      <c r="S64" t="s">
        <v>716</v>
      </c>
      <c r="T64">
        <v>96511330</v>
      </c>
    </row>
    <row r="65" spans="2:20" hidden="1">
      <c r="B65" t="s">
        <v>35</v>
      </c>
      <c r="C65" t="s">
        <v>35</v>
      </c>
      <c r="D65" t="s">
        <v>35</v>
      </c>
      <c r="E65" s="69" t="s">
        <v>25</v>
      </c>
      <c r="F65" s="39" t="s">
        <v>299</v>
      </c>
      <c r="G65" s="40">
        <v>12001407</v>
      </c>
      <c r="H65" t="s">
        <v>19</v>
      </c>
      <c r="K65" t="str">
        <f>_xlfn.CONCAT(Productos[[#This Row],[SAP_Productos]]," ",Productos[[#This Row],[Productos]])</f>
        <v>12001407 Semi Elaborado Pan Amasado</v>
      </c>
      <c r="N65" t="s">
        <v>652</v>
      </c>
      <c r="O65">
        <v>96974100</v>
      </c>
      <c r="P65">
        <v>11001647</v>
      </c>
      <c r="Q65" t="s">
        <v>372</v>
      </c>
      <c r="S65" t="s">
        <v>717</v>
      </c>
      <c r="T65">
        <v>96954210</v>
      </c>
    </row>
    <row r="66" spans="2:20" hidden="1">
      <c r="E66" s="69" t="s">
        <v>25</v>
      </c>
      <c r="F66" s="37" t="s">
        <v>303</v>
      </c>
      <c r="G66" s="38">
        <v>13030395</v>
      </c>
      <c r="H66" t="s">
        <v>562</v>
      </c>
      <c r="K66" t="str">
        <f>_xlfn.CONCAT(Productos[[#This Row],[SAP_Productos]]," ",Productos[[#This Row],[Productos]])</f>
        <v>13030395 Pan Amasado</v>
      </c>
      <c r="N66" t="s">
        <v>652</v>
      </c>
      <c r="O66">
        <v>96974100</v>
      </c>
      <c r="P66">
        <v>11001803</v>
      </c>
      <c r="Q66" t="s">
        <v>718</v>
      </c>
      <c r="S66" t="s">
        <v>719</v>
      </c>
      <c r="T66">
        <v>81210400</v>
      </c>
    </row>
    <row r="67" spans="2:20" hidden="1">
      <c r="E67" s="69" t="s">
        <v>25</v>
      </c>
      <c r="F67" s="39" t="s">
        <v>309</v>
      </c>
      <c r="G67" s="40">
        <v>13030396</v>
      </c>
      <c r="H67" t="s">
        <v>562</v>
      </c>
      <c r="K67" t="str">
        <f>_xlfn.CONCAT(Productos[[#This Row],[SAP_Productos]]," ",Productos[[#This Row],[Productos]])</f>
        <v>13030396 Pan Amasado Congelado</v>
      </c>
      <c r="N67" t="s">
        <v>652</v>
      </c>
      <c r="O67">
        <v>96974100</v>
      </c>
      <c r="P67">
        <v>11001823</v>
      </c>
      <c r="Q67" t="s">
        <v>522</v>
      </c>
      <c r="S67" t="s">
        <v>720</v>
      </c>
      <c r="T67">
        <v>90060000</v>
      </c>
    </row>
    <row r="68" spans="2:20" hidden="1">
      <c r="E68" s="69" t="s">
        <v>25</v>
      </c>
      <c r="F68" s="37" t="s">
        <v>314</v>
      </c>
      <c r="G68" s="38">
        <v>13030397</v>
      </c>
      <c r="H68" t="s">
        <v>562</v>
      </c>
      <c r="K68" t="str">
        <f>_xlfn.CONCAT(Productos[[#This Row],[SAP_Productos]]," ",Productos[[#This Row],[Productos]])</f>
        <v>13030397 Pan Amasado Ekono</v>
      </c>
      <c r="N68" t="s">
        <v>652</v>
      </c>
      <c r="O68">
        <v>96974100</v>
      </c>
      <c r="P68">
        <v>11001824</v>
      </c>
      <c r="Q68" t="s">
        <v>721</v>
      </c>
      <c r="S68" t="s">
        <v>722</v>
      </c>
      <c r="T68">
        <v>96549220</v>
      </c>
    </row>
    <row r="69" spans="2:20" hidden="1">
      <c r="E69" s="69" t="s">
        <v>25</v>
      </c>
      <c r="F69" s="39" t="s">
        <v>318</v>
      </c>
      <c r="G69" s="40">
        <v>13030405</v>
      </c>
      <c r="H69" t="s">
        <v>562</v>
      </c>
      <c r="K69" t="str">
        <f>_xlfn.CONCAT(Productos[[#This Row],[SAP_Productos]]," ",Productos[[#This Row],[Productos]])</f>
        <v>13030405 Pan Amasado Ekono (B)</v>
      </c>
      <c r="N69" t="s">
        <v>652</v>
      </c>
      <c r="O69">
        <v>96974100</v>
      </c>
      <c r="P69">
        <v>11001825</v>
      </c>
      <c r="Q69" t="s">
        <v>723</v>
      </c>
      <c r="S69" t="s">
        <v>724</v>
      </c>
      <c r="T69">
        <v>76085332</v>
      </c>
    </row>
    <row r="70" spans="2:20" hidden="1">
      <c r="E70" s="69" t="s">
        <v>25</v>
      </c>
      <c r="F70" s="37" t="s">
        <v>328</v>
      </c>
      <c r="G70" s="38">
        <v>13030521</v>
      </c>
      <c r="H70" t="s">
        <v>562</v>
      </c>
      <c r="K70" t="str">
        <f>_xlfn.CONCAT(Productos[[#This Row],[SAP_Productos]]," ",Productos[[#This Row],[Productos]])</f>
        <v>13030521 Pan Amasado Congelado PLT</v>
      </c>
      <c r="N70" t="s">
        <v>652</v>
      </c>
      <c r="O70">
        <v>96974100</v>
      </c>
      <c r="P70">
        <v>11001826</v>
      </c>
      <c r="Q70" t="s">
        <v>725</v>
      </c>
      <c r="S70" t="s">
        <v>726</v>
      </c>
      <c r="T70">
        <v>87711700</v>
      </c>
    </row>
    <row r="71" spans="2:20">
      <c r="E71" s="69" t="s">
        <v>25</v>
      </c>
      <c r="F71" s="39" t="s">
        <v>332</v>
      </c>
      <c r="G71" s="40">
        <v>12001408</v>
      </c>
      <c r="H71" t="s">
        <v>562</v>
      </c>
      <c r="K71" t="str">
        <f>_xlfn.CONCAT(Productos[[#This Row],[SAP_Productos]]," ",Productos[[#This Row],[Productos]])</f>
        <v>12001408 Semi Elaborado Hallullita especial preco</v>
      </c>
      <c r="N71" t="s">
        <v>652</v>
      </c>
      <c r="O71">
        <v>96974100</v>
      </c>
      <c r="P71">
        <v>11001830</v>
      </c>
      <c r="Q71" t="s">
        <v>727</v>
      </c>
      <c r="S71" t="s">
        <v>728</v>
      </c>
      <c r="T71">
        <v>84144400</v>
      </c>
    </row>
    <row r="72" spans="2:20" hidden="1">
      <c r="E72" s="69" t="s">
        <v>25</v>
      </c>
      <c r="F72" s="41" t="s">
        <v>298</v>
      </c>
      <c r="G72" s="42">
        <v>12001372</v>
      </c>
      <c r="H72" t="s">
        <v>561</v>
      </c>
      <c r="K72" t="str">
        <f>_xlfn.CONCAT(Productos[[#This Row],[SAP_Productos]]," ",Productos[[#This Row],[Productos]])</f>
        <v>12001372 Merma masa Hallulla</v>
      </c>
      <c r="N72" t="s">
        <v>652</v>
      </c>
      <c r="O72">
        <v>96974100</v>
      </c>
      <c r="P72">
        <v>11001866</v>
      </c>
      <c r="Q72" t="s">
        <v>729</v>
      </c>
      <c r="S72" t="s">
        <v>730</v>
      </c>
      <c r="T72">
        <v>76487466</v>
      </c>
    </row>
    <row r="73" spans="2:20" hidden="1">
      <c r="E73" s="69" t="s">
        <v>25</v>
      </c>
      <c r="F73" s="37" t="s">
        <v>313</v>
      </c>
      <c r="G73" s="38">
        <v>12001339</v>
      </c>
      <c r="H73" t="s">
        <v>561</v>
      </c>
      <c r="K73" t="str">
        <f>_xlfn.CONCAT(Productos[[#This Row],[SAP_Productos]]," ",Productos[[#This Row],[Productos]])</f>
        <v>12001339 Merma Masa Marraqueta</v>
      </c>
      <c r="N73" t="s">
        <v>652</v>
      </c>
      <c r="O73">
        <v>96974100</v>
      </c>
      <c r="P73">
        <v>11001875</v>
      </c>
      <c r="Q73" t="s">
        <v>731</v>
      </c>
      <c r="S73" t="s">
        <v>732</v>
      </c>
      <c r="T73">
        <v>77099530</v>
      </c>
    </row>
    <row r="74" spans="2:20" hidden="1">
      <c r="E74" s="69" t="s">
        <v>25</v>
      </c>
      <c r="F74" s="39" t="s">
        <v>365</v>
      </c>
      <c r="G74" s="40">
        <v>12001375</v>
      </c>
      <c r="H74" t="s">
        <v>561</v>
      </c>
      <c r="K74" t="str">
        <f>_xlfn.CONCAT(Productos[[#This Row],[SAP_Productos]]," ",Productos[[#This Row],[Productos]])</f>
        <v>12001375 Merma Masa Pan Amasado</v>
      </c>
      <c r="N74" t="s">
        <v>652</v>
      </c>
      <c r="O74">
        <v>96974100</v>
      </c>
      <c r="P74">
        <v>11001876</v>
      </c>
      <c r="Q74" t="s">
        <v>733</v>
      </c>
      <c r="S74" t="s">
        <v>734</v>
      </c>
      <c r="T74">
        <v>78088970</v>
      </c>
    </row>
    <row r="75" spans="2:20" hidden="1">
      <c r="E75" s="69" t="s">
        <v>25</v>
      </c>
      <c r="F75" s="37" t="s">
        <v>368</v>
      </c>
      <c r="G75" s="38">
        <v>12001409</v>
      </c>
      <c r="H75" t="s">
        <v>561</v>
      </c>
      <c r="K75" t="str">
        <f>_xlfn.CONCAT(Productos[[#This Row],[SAP_Productos]]," ",Productos[[#This Row],[Productos]])</f>
        <v>12001409 Merma masa Hallullita</v>
      </c>
      <c r="N75" t="s">
        <v>652</v>
      </c>
      <c r="O75">
        <v>96974100</v>
      </c>
      <c r="P75">
        <v>11001877</v>
      </c>
      <c r="Q75" t="s">
        <v>735</v>
      </c>
      <c r="S75" t="s">
        <v>736</v>
      </c>
      <c r="T75">
        <v>76694060</v>
      </c>
    </row>
    <row r="76" spans="2:20" hidden="1">
      <c r="E76" s="69" t="s">
        <v>25</v>
      </c>
      <c r="F76" s="39" t="s">
        <v>371</v>
      </c>
      <c r="G76" s="40">
        <v>12000110</v>
      </c>
      <c r="H76" t="s">
        <v>561</v>
      </c>
      <c r="K76" t="str">
        <f>_xlfn.CONCAT(Productos[[#This Row],[SAP_Productos]]," ",Productos[[#This Row],[Productos]])</f>
        <v>12000110 Merma masa Hallulla Especial Suave</v>
      </c>
      <c r="N76" t="s">
        <v>652</v>
      </c>
      <c r="O76">
        <v>96974100</v>
      </c>
      <c r="P76">
        <v>11001878</v>
      </c>
      <c r="Q76" t="s">
        <v>737</v>
      </c>
      <c r="S76" t="s">
        <v>738</v>
      </c>
      <c r="T76">
        <v>96542490</v>
      </c>
    </row>
    <row r="77" spans="2:20" hidden="1">
      <c r="E77" s="69" t="s">
        <v>25</v>
      </c>
      <c r="F77" s="37" t="s">
        <v>374</v>
      </c>
      <c r="G77" s="38">
        <v>12001373</v>
      </c>
      <c r="H77" t="s">
        <v>561</v>
      </c>
      <c r="K77" t="str">
        <f>_xlfn.CONCAT(Productos[[#This Row],[SAP_Productos]]," ",Productos[[#This Row],[Productos]])</f>
        <v>12001373 Merma masa Hallulla Especial</v>
      </c>
      <c r="N77" t="s">
        <v>652</v>
      </c>
      <c r="O77">
        <v>96974100</v>
      </c>
      <c r="P77">
        <v>11001884</v>
      </c>
      <c r="Q77" t="s">
        <v>739</v>
      </c>
      <c r="S77" t="s">
        <v>740</v>
      </c>
      <c r="T77">
        <v>79676110</v>
      </c>
    </row>
    <row r="78" spans="2:20" hidden="1">
      <c r="E78" s="70" t="s">
        <v>25</v>
      </c>
      <c r="F78" s="39" t="s">
        <v>122</v>
      </c>
      <c r="G78" s="40">
        <v>12001472</v>
      </c>
      <c r="H78" t="s">
        <v>561</v>
      </c>
      <c r="K78" t="str">
        <f>_xlfn.CONCAT(Productos[[#This Row],[SAP_Productos]]," ",Productos[[#This Row],[Productos]])</f>
        <v>12001472 Semi Elaborado Marraqueta piloto</v>
      </c>
      <c r="N78" t="s">
        <v>652</v>
      </c>
      <c r="O78">
        <v>96974100</v>
      </c>
      <c r="P78">
        <v>11001886</v>
      </c>
      <c r="Q78" t="s">
        <v>741</v>
      </c>
      <c r="S78" t="s">
        <v>742</v>
      </c>
      <c r="T78">
        <v>76006727</v>
      </c>
    </row>
    <row r="79" spans="2:20" hidden="1">
      <c r="E79" s="70" t="s">
        <v>25</v>
      </c>
      <c r="F79" s="39" t="s">
        <v>285</v>
      </c>
      <c r="G79" s="40">
        <v>13030597</v>
      </c>
      <c r="H79" t="s">
        <v>561</v>
      </c>
      <c r="K79" t="str">
        <f>_xlfn.CONCAT(Productos[[#This Row],[SAP_Productos]]," ",Productos[[#This Row],[Productos]])</f>
        <v>13030597 Marraqueta granel piloto</v>
      </c>
      <c r="N79" t="s">
        <v>652</v>
      </c>
      <c r="O79">
        <v>96974100</v>
      </c>
      <c r="P79">
        <v>11001887</v>
      </c>
      <c r="Q79" t="s">
        <v>743</v>
      </c>
      <c r="S79" t="s">
        <v>744</v>
      </c>
      <c r="T79">
        <v>76979850</v>
      </c>
    </row>
    <row r="80" spans="2:20" hidden="1">
      <c r="E80" s="70" t="s">
        <v>25</v>
      </c>
      <c r="F80" s="39" t="s">
        <v>308</v>
      </c>
      <c r="G80" s="40">
        <v>12001447</v>
      </c>
      <c r="H80" t="s">
        <v>561</v>
      </c>
      <c r="K80" t="str">
        <f>_xlfn.CONCAT(Productos[[#This Row],[SAP_Productos]]," ",Productos[[#This Row],[Productos]])</f>
        <v>12001447 Merma Masa marraqueta piloto</v>
      </c>
      <c r="N80" t="s">
        <v>652</v>
      </c>
      <c r="O80">
        <v>96974100</v>
      </c>
      <c r="P80">
        <v>11001890</v>
      </c>
      <c r="Q80" t="s">
        <v>745</v>
      </c>
      <c r="S80" t="s">
        <v>746</v>
      </c>
      <c r="T80">
        <v>76042014</v>
      </c>
    </row>
    <row r="81" spans="5:20" hidden="1">
      <c r="E81" s="69" t="s">
        <v>26</v>
      </c>
      <c r="F81" s="37" t="s">
        <v>96</v>
      </c>
      <c r="G81" s="38">
        <v>12001411</v>
      </c>
      <c r="H81" t="s">
        <v>561</v>
      </c>
      <c r="K81" t="str">
        <f>_xlfn.CONCAT(Productos[[#This Row],[SAP_Productos]]," ",Productos[[#This Row],[Productos]])</f>
        <v>12001411 Semi Elaborado Pan italiano</v>
      </c>
      <c r="N81" t="s">
        <v>652</v>
      </c>
      <c r="O81">
        <v>96974100</v>
      </c>
      <c r="P81">
        <v>11001896</v>
      </c>
      <c r="Q81" t="s">
        <v>747</v>
      </c>
      <c r="S81" t="s">
        <v>748</v>
      </c>
      <c r="T81">
        <v>96920980</v>
      </c>
    </row>
    <row r="82" spans="5:20" hidden="1">
      <c r="E82" s="69" t="s">
        <v>26</v>
      </c>
      <c r="F82" s="37" t="s">
        <v>125</v>
      </c>
      <c r="G82" s="38">
        <v>13030301</v>
      </c>
      <c r="H82" t="s">
        <v>561</v>
      </c>
      <c r="K82" t="str">
        <f>_xlfn.CONCAT(Productos[[#This Row],[SAP_Productos]]," ",Productos[[#This Row],[Productos]])</f>
        <v>13030301 Pan Italiano</v>
      </c>
      <c r="N82" t="s">
        <v>652</v>
      </c>
      <c r="O82">
        <v>96974100</v>
      </c>
      <c r="P82">
        <v>11001917</v>
      </c>
      <c r="Q82" t="s">
        <v>539</v>
      </c>
    </row>
    <row r="83" spans="5:20" hidden="1">
      <c r="E83" s="69" t="s">
        <v>26</v>
      </c>
      <c r="F83" s="37" t="s">
        <v>152</v>
      </c>
      <c r="G83" s="38">
        <v>13030322</v>
      </c>
      <c r="H83" t="s">
        <v>561</v>
      </c>
      <c r="K83" t="str">
        <f>_xlfn.CONCAT(Productos[[#This Row],[SAP_Productos]]," ",Productos[[#This Row],[Productos]])</f>
        <v>13030322 Pan Italiano Ekono (B)</v>
      </c>
      <c r="N83" t="s">
        <v>652</v>
      </c>
      <c r="O83">
        <v>96974100</v>
      </c>
      <c r="P83">
        <v>11001918</v>
      </c>
      <c r="Q83" t="s">
        <v>342</v>
      </c>
    </row>
    <row r="84" spans="5:20" hidden="1">
      <c r="E84" s="69" t="s">
        <v>26</v>
      </c>
      <c r="F84" s="37" t="s">
        <v>177</v>
      </c>
      <c r="G84" s="38">
        <v>13030489</v>
      </c>
      <c r="H84" t="s">
        <v>561</v>
      </c>
      <c r="K84" t="str">
        <f>_xlfn.CONCAT(Productos[[#This Row],[SAP_Productos]]," ",Productos[[#This Row],[Productos]])</f>
        <v>13030489 Italiano CM 5 K</v>
      </c>
      <c r="N84" t="s">
        <v>652</v>
      </c>
      <c r="O84">
        <v>96974100</v>
      </c>
      <c r="P84">
        <v>11001919</v>
      </c>
      <c r="Q84" t="s">
        <v>540</v>
      </c>
    </row>
    <row r="85" spans="5:20" hidden="1">
      <c r="E85" s="69" t="s">
        <v>26</v>
      </c>
      <c r="F85" s="37" t="s">
        <v>199</v>
      </c>
      <c r="G85" s="38">
        <v>13030519</v>
      </c>
      <c r="H85" t="s">
        <v>561</v>
      </c>
      <c r="K85" t="str">
        <f>_xlfn.CONCAT(Productos[[#This Row],[SAP_Productos]]," ",Productos[[#This Row],[Productos]])</f>
        <v>13030519 Pan Italiano Congelado PLT</v>
      </c>
      <c r="N85" t="s">
        <v>652</v>
      </c>
      <c r="O85">
        <v>96974100</v>
      </c>
      <c r="P85">
        <v>11001921</v>
      </c>
      <c r="Q85" t="s">
        <v>749</v>
      </c>
    </row>
    <row r="86" spans="5:20" hidden="1">
      <c r="E86" s="69" t="s">
        <v>26</v>
      </c>
      <c r="F86" s="37" t="s">
        <v>220</v>
      </c>
      <c r="G86" s="38">
        <v>12001374</v>
      </c>
      <c r="H86" t="s">
        <v>561</v>
      </c>
      <c r="K86" t="str">
        <f>_xlfn.CONCAT(Productos[[#This Row],[SAP_Productos]]," ",Productos[[#This Row],[Productos]])</f>
        <v>12001374 Merma masa Pan Italiano</v>
      </c>
      <c r="N86" t="s">
        <v>652</v>
      </c>
      <c r="O86">
        <v>96974100</v>
      </c>
      <c r="P86">
        <v>11001940</v>
      </c>
      <c r="Q86" t="s">
        <v>750</v>
      </c>
    </row>
    <row r="87" spans="5:20" hidden="1">
      <c r="E87" s="70" t="s">
        <v>26</v>
      </c>
      <c r="F87" s="37" t="s">
        <v>751</v>
      </c>
      <c r="G87" s="38">
        <v>13030605</v>
      </c>
      <c r="H87" t="s">
        <v>561</v>
      </c>
      <c r="K87" t="str">
        <f>_xlfn.CONCAT(Productos[[#This Row],[SAP_Productos]]," ",Productos[[#This Row],[Productos]])</f>
        <v>13030605 Italiano Familiar</v>
      </c>
      <c r="N87" t="s">
        <v>652</v>
      </c>
      <c r="O87">
        <v>96974100</v>
      </c>
      <c r="P87">
        <v>11001946</v>
      </c>
      <c r="Q87" t="s">
        <v>752</v>
      </c>
    </row>
    <row r="88" spans="5:20" hidden="1">
      <c r="E88" s="70" t="s">
        <v>26</v>
      </c>
      <c r="F88" s="37" t="s">
        <v>753</v>
      </c>
      <c r="G88" s="38">
        <v>13030301</v>
      </c>
      <c r="H88" t="s">
        <v>562</v>
      </c>
      <c r="K88" t="str">
        <f>_xlfn.CONCAT(Productos[[#This Row],[SAP_Productos]]," ",Productos[[#This Row],[Productos]])</f>
        <v>13030301 Italiano 120g</v>
      </c>
      <c r="N88" t="s">
        <v>652</v>
      </c>
      <c r="O88">
        <v>96974100</v>
      </c>
      <c r="P88">
        <v>11001947</v>
      </c>
      <c r="Q88" t="s">
        <v>754</v>
      </c>
    </row>
    <row r="89" spans="5:20" hidden="1">
      <c r="E89" s="70" t="s">
        <v>26</v>
      </c>
      <c r="F89" s="37" t="s">
        <v>755</v>
      </c>
      <c r="G89">
        <v>13030601</v>
      </c>
      <c r="H89" t="s">
        <v>562</v>
      </c>
      <c r="K89" t="str">
        <f>_xlfn.CONCAT(Productos[[#This Row],[SAP_Productos]]," ",Productos[[#This Row],[Productos]])</f>
        <v>13030601 Baguette 250gr</v>
      </c>
      <c r="N89" t="s">
        <v>652</v>
      </c>
      <c r="O89">
        <v>96974100</v>
      </c>
      <c r="P89">
        <v>11001951</v>
      </c>
      <c r="Q89" t="s">
        <v>756</v>
      </c>
    </row>
    <row r="90" spans="5:20" hidden="1">
      <c r="E90" s="70" t="s">
        <v>26</v>
      </c>
      <c r="F90" s="37" t="s">
        <v>757</v>
      </c>
      <c r="G90" s="38">
        <v>13030602</v>
      </c>
      <c r="H90" t="s">
        <v>562</v>
      </c>
      <c r="K90" t="str">
        <f>_xlfn.CONCAT(Productos[[#This Row],[SAP_Productos]]," ",Productos[[#This Row],[Productos]])</f>
        <v>13030602 Baguette 120gr</v>
      </c>
      <c r="N90" t="s">
        <v>652</v>
      </c>
      <c r="O90">
        <v>96974100</v>
      </c>
      <c r="P90">
        <v>11001952</v>
      </c>
      <c r="Q90" t="s">
        <v>758</v>
      </c>
    </row>
    <row r="91" spans="5:20" hidden="1">
      <c r="E91" s="70" t="s">
        <v>26</v>
      </c>
      <c r="F91" s="37" t="s">
        <v>759</v>
      </c>
      <c r="G91" s="38">
        <v>13030603</v>
      </c>
      <c r="H91" t="s">
        <v>562</v>
      </c>
      <c r="K91" t="str">
        <f>_xlfn.CONCAT(Productos[[#This Row],[SAP_Productos]]," ",Productos[[#This Row],[Productos]])</f>
        <v>13030603 Chocosito</v>
      </c>
      <c r="N91" t="s">
        <v>652</v>
      </c>
      <c r="O91">
        <v>96974100</v>
      </c>
      <c r="P91">
        <v>11001953</v>
      </c>
      <c r="Q91" t="s">
        <v>760</v>
      </c>
    </row>
    <row r="92" spans="5:20" hidden="1">
      <c r="E92" s="68" t="s">
        <v>27</v>
      </c>
      <c r="F92" s="49" t="s">
        <v>92</v>
      </c>
      <c r="G92" s="50">
        <v>13030409</v>
      </c>
      <c r="H92" t="s">
        <v>562</v>
      </c>
      <c r="K92" t="str">
        <f>_xlfn.CONCAT(Productos[[#This Row],[SAP_Productos]]," ",Productos[[#This Row],[Productos]])</f>
        <v>13030409 Pizza Salame</v>
      </c>
      <c r="N92" t="s">
        <v>652</v>
      </c>
      <c r="O92">
        <v>96974100</v>
      </c>
      <c r="P92">
        <v>11001954</v>
      </c>
      <c r="Q92" t="s">
        <v>761</v>
      </c>
    </row>
    <row r="93" spans="5:20" hidden="1">
      <c r="E93" s="68" t="s">
        <v>27</v>
      </c>
      <c r="F93" s="51" t="s">
        <v>121</v>
      </c>
      <c r="G93" s="52">
        <v>13030435</v>
      </c>
      <c r="H93" t="s">
        <v>562</v>
      </c>
      <c r="K93" t="str">
        <f>_xlfn.CONCAT(Productos[[#This Row],[SAP_Productos]]," ",Productos[[#This Row],[Productos]])</f>
        <v>13030435 Pizza Casino Napolitana</v>
      </c>
      <c r="N93" t="s">
        <v>652</v>
      </c>
      <c r="O93">
        <v>96974100</v>
      </c>
      <c r="P93">
        <v>11001955</v>
      </c>
      <c r="Q93" t="s">
        <v>762</v>
      </c>
    </row>
    <row r="94" spans="5:20" hidden="1">
      <c r="E94" s="68" t="s">
        <v>27</v>
      </c>
      <c r="F94" s="49" t="s">
        <v>148</v>
      </c>
      <c r="G94" s="50">
        <v>13030495</v>
      </c>
      <c r="H94" t="s">
        <v>562</v>
      </c>
      <c r="K94" t="str">
        <f>_xlfn.CONCAT(Productos[[#This Row],[SAP_Productos]]," ",Productos[[#This Row],[Productos]])</f>
        <v>13030495 Pizza Española</v>
      </c>
      <c r="N94" t="s">
        <v>652</v>
      </c>
      <c r="O94">
        <v>96974100</v>
      </c>
      <c r="P94">
        <v>11001956</v>
      </c>
      <c r="Q94" t="s">
        <v>763</v>
      </c>
    </row>
    <row r="95" spans="5:20" hidden="1">
      <c r="E95" s="68" t="s">
        <v>27</v>
      </c>
      <c r="F95" s="51" t="s">
        <v>173</v>
      </c>
      <c r="G95" s="52">
        <v>13030544</v>
      </c>
      <c r="H95" t="s">
        <v>562</v>
      </c>
      <c r="K95" t="str">
        <f>_xlfn.CONCAT(Productos[[#This Row],[SAP_Productos]]," ",Productos[[#This Row],[Productos]])</f>
        <v>13030544 Pizza Casino Napolitana Cuadrada</v>
      </c>
      <c r="N95" t="s">
        <v>652</v>
      </c>
      <c r="O95">
        <v>96974100</v>
      </c>
      <c r="P95">
        <v>11001957</v>
      </c>
      <c r="Q95" t="s">
        <v>764</v>
      </c>
    </row>
    <row r="96" spans="5:20" hidden="1">
      <c r="E96" s="68" t="s">
        <v>27</v>
      </c>
      <c r="F96" s="49" t="s">
        <v>195</v>
      </c>
      <c r="G96" s="50">
        <v>13030093</v>
      </c>
      <c r="H96" t="s">
        <v>562</v>
      </c>
      <c r="K96" t="str">
        <f>_xlfn.CONCAT(Productos[[#This Row],[SAP_Productos]]," ",Productos[[#This Row],[Productos]])</f>
        <v>13030093 Pizza Napolitana</v>
      </c>
      <c r="N96" t="s">
        <v>652</v>
      </c>
      <c r="O96">
        <v>96974100</v>
      </c>
      <c r="P96">
        <v>11001958</v>
      </c>
      <c r="Q96" t="s">
        <v>765</v>
      </c>
    </row>
    <row r="97" spans="5:17">
      <c r="E97" s="68" t="s">
        <v>27</v>
      </c>
      <c r="F97" s="51" t="s">
        <v>217</v>
      </c>
      <c r="G97" s="52">
        <v>13030104</v>
      </c>
      <c r="H97" t="s">
        <v>562</v>
      </c>
      <c r="K97" t="str">
        <f>_xlfn.CONCAT(Productos[[#This Row],[SAP_Productos]]," ",Productos[[#This Row],[Productos]])</f>
        <v>13030104 Masa Pre Pizza Pack</v>
      </c>
      <c r="N97" t="s">
        <v>652</v>
      </c>
      <c r="O97">
        <v>96974100</v>
      </c>
      <c r="P97">
        <v>11001959</v>
      </c>
      <c r="Q97" t="s">
        <v>766</v>
      </c>
    </row>
    <row r="98" spans="5:17" hidden="1">
      <c r="E98" s="68" t="s">
        <v>27</v>
      </c>
      <c r="F98" s="49" t="s">
        <v>237</v>
      </c>
      <c r="G98" s="50">
        <v>13030190</v>
      </c>
      <c r="H98" t="s">
        <v>562</v>
      </c>
      <c r="K98" t="str">
        <f>_xlfn.CONCAT(Productos[[#This Row],[SAP_Productos]]," ",Productos[[#This Row],[Productos]])</f>
        <v>13030190 Pizza Napolitana SBA (acuenta)</v>
      </c>
      <c r="N98" t="s">
        <v>652</v>
      </c>
      <c r="O98">
        <v>96974100</v>
      </c>
      <c r="P98">
        <v>11001960</v>
      </c>
      <c r="Q98" t="s">
        <v>767</v>
      </c>
    </row>
    <row r="99" spans="5:17" hidden="1">
      <c r="E99" s="68" t="s">
        <v>27</v>
      </c>
      <c r="F99" s="51" t="s">
        <v>253</v>
      </c>
      <c r="G99" s="52">
        <v>13030191</v>
      </c>
      <c r="H99" t="s">
        <v>562</v>
      </c>
      <c r="K99" t="str">
        <f>_xlfn.CONCAT(Productos[[#This Row],[SAP_Productos]]," ",Productos[[#This Row],[Productos]])</f>
        <v>13030191 Pizza Pollo Champiñon SBA</v>
      </c>
      <c r="N99" t="s">
        <v>652</v>
      </c>
      <c r="O99">
        <v>96974100</v>
      </c>
      <c r="P99">
        <v>11001969</v>
      </c>
      <c r="Q99" t="s">
        <v>768</v>
      </c>
    </row>
    <row r="100" spans="5:17" hidden="1">
      <c r="E100" s="70" t="s">
        <v>27</v>
      </c>
      <c r="F100" s="126" t="s">
        <v>769</v>
      </c>
      <c r="G100" s="52">
        <v>13030092</v>
      </c>
      <c r="H100" t="s">
        <v>562</v>
      </c>
      <c r="K100" t="str">
        <f>_xlfn.CONCAT(Productos[[#This Row],[SAP_Productos]]," ",Productos[[#This Row],[Productos]])</f>
        <v>13030092 Pizza Pepperoni Lider</v>
      </c>
      <c r="N100" t="s">
        <v>654</v>
      </c>
      <c r="O100">
        <v>96590620</v>
      </c>
      <c r="P100">
        <v>11001521</v>
      </c>
      <c r="Q100" t="s">
        <v>770</v>
      </c>
    </row>
    <row r="101" spans="5:17" hidden="1">
      <c r="E101" s="70" t="s">
        <v>27</v>
      </c>
      <c r="F101" s="126" t="s">
        <v>771</v>
      </c>
      <c r="G101" s="52">
        <v>13030094</v>
      </c>
      <c r="H101" t="s">
        <v>562</v>
      </c>
      <c r="K101" t="str">
        <f>_xlfn.CONCAT(Productos[[#This Row],[SAP_Productos]]," ",Productos[[#This Row],[Productos]])</f>
        <v>13030094 Pizza Vegetariana</v>
      </c>
      <c r="N101" t="s">
        <v>654</v>
      </c>
      <c r="O101">
        <v>96590620</v>
      </c>
      <c r="P101">
        <v>11001522</v>
      </c>
      <c r="Q101" t="s">
        <v>772</v>
      </c>
    </row>
    <row r="102" spans="5:17">
      <c r="E102" s="68" t="s">
        <v>27</v>
      </c>
      <c r="F102" s="49" t="s">
        <v>264</v>
      </c>
      <c r="G102" s="50">
        <v>13030279</v>
      </c>
      <c r="H102" t="s">
        <v>562</v>
      </c>
      <c r="K102" t="str">
        <f>_xlfn.CONCAT(Productos[[#This Row],[SAP_Productos]]," ",Productos[[#This Row],[Productos]])</f>
        <v>13030279 Masa Pre Pizza Ultra Delgada</v>
      </c>
      <c r="N102" t="s">
        <v>654</v>
      </c>
      <c r="O102">
        <v>96590620</v>
      </c>
      <c r="P102">
        <v>11001523</v>
      </c>
      <c r="Q102" t="s">
        <v>773</v>
      </c>
    </row>
    <row r="103" spans="5:17" hidden="1">
      <c r="E103" s="68" t="s">
        <v>27</v>
      </c>
      <c r="F103" s="51" t="s">
        <v>272</v>
      </c>
      <c r="G103" s="52">
        <v>13030280</v>
      </c>
      <c r="H103" t="s">
        <v>562</v>
      </c>
      <c r="K103" t="str">
        <f>_xlfn.CONCAT(Productos[[#This Row],[SAP_Productos]]," ",Productos[[#This Row],[Productos]])</f>
        <v>13030280 Pizza Pepperoni Acuenta</v>
      </c>
      <c r="N103" t="s">
        <v>654</v>
      </c>
      <c r="O103">
        <v>96590620</v>
      </c>
      <c r="P103">
        <v>11001524</v>
      </c>
      <c r="Q103" t="s">
        <v>774</v>
      </c>
    </row>
    <row r="104" spans="5:17" hidden="1">
      <c r="E104" s="68" t="s">
        <v>27</v>
      </c>
      <c r="F104" s="49" t="s">
        <v>279</v>
      </c>
      <c r="G104" s="38">
        <v>12001366</v>
      </c>
      <c r="H104" t="s">
        <v>562</v>
      </c>
      <c r="K104" t="str">
        <f>_xlfn.CONCAT(Productos[[#This Row],[SAP_Productos]]," ",Productos[[#This Row],[Productos]])</f>
        <v>12001366 Masa Pizza Ultra Delgada</v>
      </c>
      <c r="N104" t="s">
        <v>654</v>
      </c>
      <c r="O104">
        <v>96590620</v>
      </c>
      <c r="P104">
        <v>11001644</v>
      </c>
      <c r="Q104" t="s">
        <v>775</v>
      </c>
    </row>
    <row r="105" spans="5:17" hidden="1">
      <c r="E105" s="68" t="s">
        <v>27</v>
      </c>
      <c r="F105" s="51" t="s">
        <v>95</v>
      </c>
      <c r="G105" s="52">
        <v>12001398</v>
      </c>
      <c r="H105" t="s">
        <v>562</v>
      </c>
      <c r="K105" t="str">
        <f>_xlfn.CONCAT(Productos[[#This Row],[SAP_Productos]]," ",Productos[[#This Row],[Productos]])</f>
        <v>12001398 Semi Elaborado Doblada</v>
      </c>
      <c r="N105" t="s">
        <v>654</v>
      </c>
      <c r="O105">
        <v>96590620</v>
      </c>
      <c r="P105">
        <v>11001704</v>
      </c>
      <c r="Q105" t="s">
        <v>240</v>
      </c>
    </row>
    <row r="106" spans="5:17" hidden="1">
      <c r="E106" s="68" t="s">
        <v>27</v>
      </c>
      <c r="F106" s="49" t="s">
        <v>124</v>
      </c>
      <c r="G106" s="50">
        <v>13001004</v>
      </c>
      <c r="H106" t="s">
        <v>562</v>
      </c>
      <c r="K106" t="str">
        <f>_xlfn.CONCAT(Productos[[#This Row],[SAP_Productos]]," ",Productos[[#This Row],[Productos]])</f>
        <v>13001004 Dobladas</v>
      </c>
      <c r="N106" t="s">
        <v>654</v>
      </c>
      <c r="O106">
        <v>96590620</v>
      </c>
      <c r="P106">
        <v>11001710</v>
      </c>
      <c r="Q106" t="s">
        <v>776</v>
      </c>
    </row>
    <row r="107" spans="5:17" hidden="1">
      <c r="E107" s="68" t="s">
        <v>27</v>
      </c>
      <c r="F107" s="51" t="s">
        <v>151</v>
      </c>
      <c r="G107" s="52">
        <v>13030199</v>
      </c>
      <c r="H107" t="s">
        <v>562</v>
      </c>
      <c r="K107" t="str">
        <f>_xlfn.CONCAT(Productos[[#This Row],[SAP_Productos]]," ",Productos[[#This Row],[Productos]])</f>
        <v>13030199 Dobladas (Ekono)</v>
      </c>
      <c r="N107" t="s">
        <v>654</v>
      </c>
      <c r="O107">
        <v>96590620</v>
      </c>
      <c r="P107">
        <v>11001798</v>
      </c>
      <c r="Q107" t="s">
        <v>777</v>
      </c>
    </row>
    <row r="108" spans="5:17" hidden="1">
      <c r="E108" s="68" t="s">
        <v>27</v>
      </c>
      <c r="F108" s="49" t="s">
        <v>176</v>
      </c>
      <c r="G108" s="38">
        <v>13030406</v>
      </c>
      <c r="H108" t="s">
        <v>562</v>
      </c>
      <c r="K108" t="str">
        <f>_xlfn.CONCAT(Productos[[#This Row],[SAP_Productos]]," ",Productos[[#This Row],[Productos]])</f>
        <v>13030406 Dobladas Ekono (B)</v>
      </c>
      <c r="N108" t="s">
        <v>654</v>
      </c>
      <c r="O108">
        <v>96590620</v>
      </c>
      <c r="P108">
        <v>11001821</v>
      </c>
      <c r="Q108" t="s">
        <v>778</v>
      </c>
    </row>
    <row r="109" spans="5:17" hidden="1">
      <c r="E109" s="68" t="s">
        <v>27</v>
      </c>
      <c r="F109" s="51" t="s">
        <v>198</v>
      </c>
      <c r="G109" s="40">
        <v>12001376</v>
      </c>
      <c r="H109" t="s">
        <v>562</v>
      </c>
      <c r="K109" t="str">
        <f>_xlfn.CONCAT(Productos[[#This Row],[SAP_Productos]]," ",Productos[[#This Row],[Productos]])</f>
        <v>12001376 Merma masa Dobladas</v>
      </c>
      <c r="N109" t="s">
        <v>656</v>
      </c>
      <c r="O109">
        <v>84750800</v>
      </c>
      <c r="P109">
        <v>10000449</v>
      </c>
      <c r="Q109" t="s">
        <v>481</v>
      </c>
    </row>
    <row r="110" spans="5:17" hidden="1">
      <c r="E110" t="s">
        <v>28</v>
      </c>
      <c r="F110" t="s">
        <v>91</v>
      </c>
      <c r="G110">
        <v>13000011</v>
      </c>
      <c r="H110" t="s">
        <v>562</v>
      </c>
      <c r="K110" t="str">
        <f>_xlfn.CONCAT(Productos[[#This Row],[SAP_Productos]]," ",Productos[[#This Row],[Productos]])</f>
        <v>13000011 Empanada Horno Seleccion</v>
      </c>
      <c r="N110" t="s">
        <v>656</v>
      </c>
      <c r="O110">
        <v>84750800</v>
      </c>
      <c r="P110">
        <v>10000891</v>
      </c>
      <c r="Q110" t="s">
        <v>479</v>
      </c>
    </row>
    <row r="111" spans="5:17" hidden="1">
      <c r="E111" t="s">
        <v>28</v>
      </c>
      <c r="F111" t="s">
        <v>120</v>
      </c>
      <c r="G111">
        <v>13000012</v>
      </c>
      <c r="H111" t="s">
        <v>562</v>
      </c>
      <c r="K111" t="str">
        <f>_xlfn.CONCAT(Productos[[#This Row],[SAP_Productos]]," ",Productos[[#This Row],[Productos]])</f>
        <v>13000012 Empanada Horno Mediana</v>
      </c>
      <c r="N111" t="s">
        <v>656</v>
      </c>
      <c r="O111">
        <v>84750800</v>
      </c>
      <c r="P111">
        <v>10001107</v>
      </c>
      <c r="Q111" t="s">
        <v>473</v>
      </c>
    </row>
    <row r="112" spans="5:17" hidden="1">
      <c r="E112" t="s">
        <v>28</v>
      </c>
      <c r="F112" t="s">
        <v>147</v>
      </c>
      <c r="G112">
        <v>13000013</v>
      </c>
      <c r="H112" t="s">
        <v>562</v>
      </c>
      <c r="K112" t="str">
        <f>_xlfn.CONCAT(Productos[[#This Row],[SAP_Productos]]," ",Productos[[#This Row],[Productos]])</f>
        <v>13000013 Chaparrita Salchicha Queso</v>
      </c>
      <c r="N112" t="s">
        <v>657</v>
      </c>
      <c r="O112">
        <v>81094100</v>
      </c>
      <c r="P112">
        <v>10000438</v>
      </c>
      <c r="Q112" t="s">
        <v>510</v>
      </c>
    </row>
    <row r="113" spans="5:17" hidden="1">
      <c r="E113" t="s">
        <v>28</v>
      </c>
      <c r="F113" t="s">
        <v>172</v>
      </c>
      <c r="G113">
        <v>13000751</v>
      </c>
      <c r="H113" t="s">
        <v>562</v>
      </c>
      <c r="K113" t="str">
        <f>_xlfn.CONCAT(Productos[[#This Row],[SAP_Productos]]," ",Productos[[#This Row],[Productos]])</f>
        <v>13000751 Pack Horno Mediana 2 un. Ekono</v>
      </c>
      <c r="N113" t="s">
        <v>658</v>
      </c>
      <c r="O113">
        <v>92845000</v>
      </c>
      <c r="P113">
        <v>10002486</v>
      </c>
      <c r="Q113" t="s">
        <v>779</v>
      </c>
    </row>
    <row r="114" spans="5:17" hidden="1">
      <c r="E114" t="s">
        <v>28</v>
      </c>
      <c r="F114" t="s">
        <v>194</v>
      </c>
      <c r="G114">
        <v>13001720</v>
      </c>
      <c r="H114" t="s">
        <v>562</v>
      </c>
      <c r="K114" t="str">
        <f>_xlfn.CONCAT(Productos[[#This Row],[SAP_Productos]]," ",Productos[[#This Row],[Productos]])</f>
        <v>13001720 Empanada Coctel Carne Mayorista</v>
      </c>
      <c r="N114" t="s">
        <v>658</v>
      </c>
      <c r="O114">
        <v>92845000</v>
      </c>
      <c r="P114">
        <v>10003464</v>
      </c>
      <c r="Q114" t="s">
        <v>780</v>
      </c>
    </row>
    <row r="115" spans="5:17" hidden="1">
      <c r="E115" t="s">
        <v>28</v>
      </c>
      <c r="F115" t="s">
        <v>216</v>
      </c>
      <c r="G115">
        <v>13001721</v>
      </c>
      <c r="H115" t="s">
        <v>562</v>
      </c>
      <c r="K115" t="str">
        <f>_xlfn.CONCAT(Productos[[#This Row],[SAP_Productos]]," ",Productos[[#This Row],[Productos]])</f>
        <v>13001721 Empanada Coctel Pollo Mayorista</v>
      </c>
      <c r="N115" t="s">
        <v>658</v>
      </c>
      <c r="O115">
        <v>92845000</v>
      </c>
      <c r="P115">
        <v>10003818</v>
      </c>
      <c r="Q115" t="s">
        <v>781</v>
      </c>
    </row>
    <row r="116" spans="5:17" hidden="1">
      <c r="E116" t="s">
        <v>28</v>
      </c>
      <c r="F116" t="s">
        <v>236</v>
      </c>
      <c r="G116">
        <v>13001723</v>
      </c>
      <c r="H116" t="s">
        <v>562</v>
      </c>
      <c r="K116" t="str">
        <f>_xlfn.CONCAT(Productos[[#This Row],[SAP_Productos]]," ",Productos[[#This Row],[Productos]])</f>
        <v>13001723 Chaparrita Salchicha Queso Mayorista</v>
      </c>
      <c r="N116" t="s">
        <v>658</v>
      </c>
      <c r="O116">
        <v>92845000</v>
      </c>
      <c r="P116">
        <v>10004184</v>
      </c>
      <c r="Q116" t="s">
        <v>782</v>
      </c>
    </row>
    <row r="117" spans="5:17" hidden="1">
      <c r="E117" t="s">
        <v>28</v>
      </c>
      <c r="F117" t="s">
        <v>252</v>
      </c>
      <c r="G117">
        <v>13001807</v>
      </c>
      <c r="H117" t="s">
        <v>562</v>
      </c>
      <c r="K117" t="str">
        <f>_xlfn.CONCAT(Productos[[#This Row],[SAP_Productos]]," ",Productos[[#This Row],[Productos]])</f>
        <v>13001807 Empanada Horno Mediana Mayorista</v>
      </c>
      <c r="N117" t="s">
        <v>658</v>
      </c>
      <c r="O117">
        <v>92845000</v>
      </c>
      <c r="P117">
        <v>10004185</v>
      </c>
      <c r="Q117" t="s">
        <v>783</v>
      </c>
    </row>
    <row r="118" spans="5:17" hidden="1">
      <c r="E118" t="s">
        <v>28</v>
      </c>
      <c r="F118" t="s">
        <v>263</v>
      </c>
      <c r="G118">
        <v>13030282</v>
      </c>
      <c r="H118" t="s">
        <v>562</v>
      </c>
      <c r="K118" t="str">
        <f>_xlfn.CONCAT(Productos[[#This Row],[SAP_Productos]]," ",Productos[[#This Row],[Productos]])</f>
        <v>13030282 Pack Empanada Coctel Jamón Queso 10 un.</v>
      </c>
      <c r="N118" t="s">
        <v>658</v>
      </c>
      <c r="O118">
        <v>92845000</v>
      </c>
      <c r="P118">
        <v>10004340</v>
      </c>
      <c r="Q118" t="s">
        <v>784</v>
      </c>
    </row>
    <row r="119" spans="5:17" hidden="1">
      <c r="E119" t="s">
        <v>28</v>
      </c>
      <c r="F119" t="s">
        <v>271</v>
      </c>
      <c r="G119">
        <v>13030283</v>
      </c>
      <c r="H119" t="s">
        <v>562</v>
      </c>
      <c r="K119" t="str">
        <f>_xlfn.CONCAT(Productos[[#This Row],[SAP_Productos]]," ",Productos[[#This Row],[Productos]])</f>
        <v>13030283 Pack Empanada Hoja Pino 2 un.</v>
      </c>
      <c r="N119" t="s">
        <v>658</v>
      </c>
      <c r="O119">
        <v>92845000</v>
      </c>
      <c r="P119">
        <v>10004360</v>
      </c>
      <c r="Q119" t="s">
        <v>785</v>
      </c>
    </row>
    <row r="120" spans="5:17" hidden="1">
      <c r="E120" t="s">
        <v>28</v>
      </c>
      <c r="F120" t="s">
        <v>278</v>
      </c>
      <c r="G120">
        <v>13030284</v>
      </c>
      <c r="H120" t="s">
        <v>562</v>
      </c>
      <c r="K120" t="str">
        <f>_xlfn.CONCAT(Productos[[#This Row],[SAP_Productos]]," ",Productos[[#This Row],[Productos]])</f>
        <v>13030284 Pack Empanada Hoja Jamón Queso 2 Und.</v>
      </c>
      <c r="N120" t="s">
        <v>658</v>
      </c>
      <c r="O120">
        <v>92845000</v>
      </c>
      <c r="P120">
        <v>10004361</v>
      </c>
      <c r="Q120" t="s">
        <v>786</v>
      </c>
    </row>
    <row r="121" spans="5:17">
      <c r="E121" t="s">
        <v>28</v>
      </c>
      <c r="F121" t="s">
        <v>284</v>
      </c>
      <c r="G121">
        <v>13030285</v>
      </c>
      <c r="H121" t="s">
        <v>562</v>
      </c>
      <c r="K121" t="str">
        <f>_xlfn.CONCAT(Productos[[#This Row],[SAP_Productos]]," ",Productos[[#This Row],[Productos]])</f>
        <v>13030285 Empanada Horno Suprema Rf</v>
      </c>
      <c r="N121" t="s">
        <v>658</v>
      </c>
      <c r="O121">
        <v>92845000</v>
      </c>
      <c r="P121">
        <v>10004364</v>
      </c>
      <c r="Q121" t="s">
        <v>787</v>
      </c>
    </row>
    <row r="122" spans="5:17" hidden="1">
      <c r="E122" t="s">
        <v>28</v>
      </c>
      <c r="F122" t="s">
        <v>288</v>
      </c>
      <c r="G122">
        <v>13030286</v>
      </c>
      <c r="H122" t="s">
        <v>562</v>
      </c>
      <c r="K122" t="str">
        <f>_xlfn.CONCAT(Productos[[#This Row],[SAP_Productos]]," ",Productos[[#This Row],[Productos]])</f>
        <v>13030286 Empanada Horno Mediana Rf</v>
      </c>
      <c r="N122" t="s">
        <v>658</v>
      </c>
      <c r="O122">
        <v>92845000</v>
      </c>
      <c r="P122">
        <v>10004383</v>
      </c>
      <c r="Q122" t="s">
        <v>788</v>
      </c>
    </row>
    <row r="123" spans="5:17" hidden="1">
      <c r="E123" t="s">
        <v>28</v>
      </c>
      <c r="F123" t="s">
        <v>291</v>
      </c>
      <c r="G123">
        <v>13030336</v>
      </c>
      <c r="H123" t="s">
        <v>562</v>
      </c>
      <c r="K123" t="str">
        <f>_xlfn.CONCAT(Productos[[#This Row],[SAP_Productos]]," ",Productos[[#This Row],[Productos]])</f>
        <v>13030336 Pack Empanada Coctel Aceituna Queso</v>
      </c>
      <c r="N123" t="s">
        <v>659</v>
      </c>
      <c r="O123">
        <v>96678110</v>
      </c>
      <c r="P123">
        <v>10003474</v>
      </c>
      <c r="Q123" t="s">
        <v>514</v>
      </c>
    </row>
    <row r="124" spans="5:17" hidden="1">
      <c r="E124" t="s">
        <v>28</v>
      </c>
      <c r="F124" t="s">
        <v>120</v>
      </c>
      <c r="G124">
        <v>12000401</v>
      </c>
      <c r="H124" t="s">
        <v>562</v>
      </c>
      <c r="K124" t="str">
        <f>_xlfn.CONCAT(Productos[[#This Row],[SAP_Productos]]," ",Productos[[#This Row],[Productos]])</f>
        <v>12000401 Empanada Horno Mediana</v>
      </c>
      <c r="N124" t="s">
        <v>661</v>
      </c>
      <c r="O124">
        <v>76097645</v>
      </c>
      <c r="P124">
        <v>10000704</v>
      </c>
      <c r="Q124" t="s">
        <v>497</v>
      </c>
    </row>
    <row r="125" spans="5:17" hidden="1">
      <c r="E125" t="s">
        <v>28</v>
      </c>
      <c r="F125" t="s">
        <v>147</v>
      </c>
      <c r="G125">
        <v>12000406</v>
      </c>
      <c r="H125" t="s">
        <v>562</v>
      </c>
      <c r="K125" t="str">
        <f>_xlfn.CONCAT(Productos[[#This Row],[SAP_Productos]]," ",Productos[[#This Row],[Productos]])</f>
        <v>12000406 Chaparrita Salchicha Queso</v>
      </c>
      <c r="N125" t="s">
        <v>661</v>
      </c>
      <c r="O125">
        <v>76097645</v>
      </c>
      <c r="P125">
        <v>10000294</v>
      </c>
      <c r="Q125" t="s">
        <v>494</v>
      </c>
    </row>
    <row r="126" spans="5:17" hidden="1">
      <c r="E126" t="s">
        <v>28</v>
      </c>
      <c r="F126" t="s">
        <v>302</v>
      </c>
      <c r="G126">
        <v>12000408</v>
      </c>
      <c r="H126" t="s">
        <v>562</v>
      </c>
      <c r="K126" t="str">
        <f>_xlfn.CONCAT(Productos[[#This Row],[SAP_Productos]]," ",Productos[[#This Row],[Productos]])</f>
        <v>12000408 Empanada Coctel Pollo</v>
      </c>
      <c r="N126" t="s">
        <v>662</v>
      </c>
      <c r="O126">
        <v>96604460</v>
      </c>
      <c r="P126">
        <v>16000019</v>
      </c>
      <c r="Q126" t="s">
        <v>789</v>
      </c>
    </row>
    <row r="127" spans="5:17" hidden="1">
      <c r="E127" t="s">
        <v>28</v>
      </c>
      <c r="F127" t="s">
        <v>306</v>
      </c>
      <c r="G127">
        <v>13030541</v>
      </c>
      <c r="H127" t="s">
        <v>562</v>
      </c>
      <c r="K127" t="str">
        <f>_xlfn.CONCAT(Productos[[#This Row],[SAP_Productos]]," ",Productos[[#This Row],[Productos]])</f>
        <v>13030541 Chaparrita Casino</v>
      </c>
      <c r="N127" t="s">
        <v>662</v>
      </c>
      <c r="O127">
        <v>96604460</v>
      </c>
      <c r="P127">
        <v>16000262</v>
      </c>
      <c r="Q127" t="s">
        <v>790</v>
      </c>
    </row>
    <row r="128" spans="5:17" hidden="1">
      <c r="E128" t="s">
        <v>28</v>
      </c>
      <c r="F128" t="s">
        <v>312</v>
      </c>
      <c r="G128">
        <v>13030542</v>
      </c>
      <c r="H128" t="s">
        <v>562</v>
      </c>
      <c r="K128" t="str">
        <f>_xlfn.CONCAT(Productos[[#This Row],[SAP_Productos]]," ",Productos[[#This Row],[Productos]])</f>
        <v>13030542 Empanada Coctel Pollo Congelada Casino</v>
      </c>
      <c r="N128" t="s">
        <v>662</v>
      </c>
      <c r="O128">
        <v>96604460</v>
      </c>
      <c r="P128">
        <v>16000263</v>
      </c>
      <c r="Q128" t="s">
        <v>791</v>
      </c>
    </row>
    <row r="129" spans="5:17" hidden="1">
      <c r="E129" t="s">
        <v>28</v>
      </c>
      <c r="F129" t="s">
        <v>317</v>
      </c>
      <c r="G129">
        <v>13000463</v>
      </c>
      <c r="H129" t="s">
        <v>562</v>
      </c>
      <c r="K129" t="str">
        <f>_xlfn.CONCAT(Productos[[#This Row],[SAP_Productos]]," ",Productos[[#This Row],[Productos]])</f>
        <v>13000463 Pack Empanada Horno Mediana 2 un.</v>
      </c>
      <c r="N129" t="s">
        <v>662</v>
      </c>
      <c r="O129">
        <v>96604460</v>
      </c>
      <c r="P129">
        <v>16000266</v>
      </c>
      <c r="Q129" t="s">
        <v>792</v>
      </c>
    </row>
    <row r="130" spans="5:17" hidden="1">
      <c r="E130" t="s">
        <v>28</v>
      </c>
      <c r="F130" t="s">
        <v>321</v>
      </c>
      <c r="G130">
        <v>13000464</v>
      </c>
      <c r="H130" t="s">
        <v>562</v>
      </c>
      <c r="K130" t="str">
        <f>_xlfn.CONCAT(Productos[[#This Row],[SAP_Productos]]," ",Productos[[#This Row],[Productos]])</f>
        <v>13000464 Pack Empanada Hoja Queso 2 un.</v>
      </c>
      <c r="N130" t="s">
        <v>662</v>
      </c>
      <c r="O130">
        <v>96604460</v>
      </c>
      <c r="P130">
        <v>16000422</v>
      </c>
      <c r="Q130" t="s">
        <v>793</v>
      </c>
    </row>
    <row r="131" spans="5:17" hidden="1">
      <c r="E131" t="s">
        <v>28</v>
      </c>
      <c r="F131" t="s">
        <v>324</v>
      </c>
      <c r="G131">
        <v>13000469</v>
      </c>
      <c r="H131" t="s">
        <v>562</v>
      </c>
      <c r="K131" t="str">
        <f>_xlfn.CONCAT(Productos[[#This Row],[SAP_Productos]]," ",Productos[[#This Row],[Productos]])</f>
        <v>13000469 Pack Empanada Coctel Carne 10 un</v>
      </c>
      <c r="N131" t="s">
        <v>662</v>
      </c>
      <c r="O131">
        <v>96604460</v>
      </c>
      <c r="P131">
        <v>16000423</v>
      </c>
      <c r="Q131" t="s">
        <v>794</v>
      </c>
    </row>
    <row r="132" spans="5:17" hidden="1">
      <c r="E132" t="s">
        <v>28</v>
      </c>
      <c r="F132" t="s">
        <v>327</v>
      </c>
      <c r="G132">
        <v>13000470</v>
      </c>
      <c r="H132" t="s">
        <v>562</v>
      </c>
      <c r="K132" t="str">
        <f>_xlfn.CONCAT(Productos[[#This Row],[SAP_Productos]]," ",Productos[[#This Row],[Productos]])</f>
        <v>13000470 Pack Empanada Coctel Pollo 10 un.</v>
      </c>
      <c r="N132" t="s">
        <v>662</v>
      </c>
      <c r="O132">
        <v>96604460</v>
      </c>
      <c r="P132">
        <v>16000424</v>
      </c>
      <c r="Q132" t="s">
        <v>795</v>
      </c>
    </row>
    <row r="133" spans="5:17" hidden="1">
      <c r="E133" t="s">
        <v>28</v>
      </c>
      <c r="F133" t="s">
        <v>331</v>
      </c>
      <c r="G133">
        <v>13000471</v>
      </c>
      <c r="H133" t="s">
        <v>562</v>
      </c>
      <c r="K133" t="str">
        <f>_xlfn.CONCAT(Productos[[#This Row],[SAP_Productos]]," ",Productos[[#This Row],[Productos]])</f>
        <v>13000471 Pack Empanada Coctel Queso 12 un</v>
      </c>
      <c r="N133" t="s">
        <v>662</v>
      </c>
      <c r="O133">
        <v>96604460</v>
      </c>
      <c r="P133">
        <v>16000426</v>
      </c>
      <c r="Q133" t="s">
        <v>796</v>
      </c>
    </row>
    <row r="134" spans="5:17" hidden="1">
      <c r="E134" t="s">
        <v>28</v>
      </c>
      <c r="F134" t="s">
        <v>335</v>
      </c>
      <c r="G134">
        <v>12000170</v>
      </c>
      <c r="H134" t="s">
        <v>562</v>
      </c>
      <c r="K134" t="str">
        <f>_xlfn.CONCAT(Productos[[#This Row],[SAP_Productos]]," ",Productos[[#This Row],[Productos]])</f>
        <v>12000170 Mezcla Queso Maquina Empanadas</v>
      </c>
      <c r="N134" t="s">
        <v>662</v>
      </c>
      <c r="O134">
        <v>96604460</v>
      </c>
      <c r="P134">
        <v>16000428</v>
      </c>
      <c r="Q134" t="s">
        <v>797</v>
      </c>
    </row>
    <row r="135" spans="5:17" hidden="1">
      <c r="E135" t="s">
        <v>28</v>
      </c>
      <c r="F135" t="s">
        <v>338</v>
      </c>
      <c r="G135">
        <v>12000095</v>
      </c>
      <c r="H135" t="s">
        <v>562</v>
      </c>
      <c r="K135" t="str">
        <f>_xlfn.CONCAT(Productos[[#This Row],[SAP_Productos]]," ",Productos[[#This Row],[Productos]])</f>
        <v>12000095 Cóctel queso aceituna</v>
      </c>
      <c r="N135" t="s">
        <v>662</v>
      </c>
      <c r="O135">
        <v>96604460</v>
      </c>
      <c r="P135">
        <v>16000431</v>
      </c>
      <c r="Q135" t="s">
        <v>798</v>
      </c>
    </row>
    <row r="136" spans="5:17" hidden="1">
      <c r="E136" t="s">
        <v>28</v>
      </c>
      <c r="F136" t="s">
        <v>341</v>
      </c>
      <c r="G136">
        <v>12000402</v>
      </c>
      <c r="H136" t="s">
        <v>562</v>
      </c>
      <c r="K136" t="str">
        <f>_xlfn.CONCAT(Productos[[#This Row],[SAP_Productos]]," ",Productos[[#This Row],[Productos]])</f>
        <v>12000402 Empanada Hoja Queso</v>
      </c>
      <c r="N136" t="s">
        <v>662</v>
      </c>
      <c r="O136">
        <v>96604460</v>
      </c>
      <c r="P136">
        <v>16000432</v>
      </c>
      <c r="Q136" t="s">
        <v>799</v>
      </c>
    </row>
    <row r="137" spans="5:17" hidden="1">
      <c r="E137" t="s">
        <v>28</v>
      </c>
      <c r="F137" t="s">
        <v>344</v>
      </c>
      <c r="G137">
        <v>12000407</v>
      </c>
      <c r="H137" t="s">
        <v>562</v>
      </c>
      <c r="K137" t="str">
        <f>_xlfn.CONCAT(Productos[[#This Row],[SAP_Productos]]," ",Productos[[#This Row],[Productos]])</f>
        <v>12000407 Empanada Coctel Carne</v>
      </c>
      <c r="N137" t="s">
        <v>662</v>
      </c>
      <c r="O137">
        <v>96604460</v>
      </c>
      <c r="P137">
        <v>16000434</v>
      </c>
      <c r="Q137" t="s">
        <v>800</v>
      </c>
    </row>
    <row r="138" spans="5:17" hidden="1">
      <c r="E138" t="s">
        <v>28</v>
      </c>
      <c r="F138" t="s">
        <v>347</v>
      </c>
      <c r="G138">
        <v>12000409</v>
      </c>
      <c r="H138" t="s">
        <v>562</v>
      </c>
      <c r="K138" t="str">
        <f>_xlfn.CONCAT(Productos[[#This Row],[SAP_Productos]]," ",Productos[[#This Row],[Productos]])</f>
        <v>12000409 Empanada Coctel Queso</v>
      </c>
      <c r="N138" t="s">
        <v>662</v>
      </c>
      <c r="O138">
        <v>96604460</v>
      </c>
      <c r="P138">
        <v>16000435</v>
      </c>
      <c r="Q138" t="s">
        <v>801</v>
      </c>
    </row>
    <row r="139" spans="5:17" hidden="1">
      <c r="E139" t="s">
        <v>28</v>
      </c>
      <c r="F139" t="s">
        <v>351</v>
      </c>
      <c r="G139">
        <v>12001365</v>
      </c>
      <c r="H139" t="s">
        <v>562</v>
      </c>
      <c r="K139" t="str">
        <f>_xlfn.CONCAT(Productos[[#This Row],[SAP_Productos]]," ",Productos[[#This Row],[Productos]])</f>
        <v>12001365 Coctel Jamón Queso</v>
      </c>
      <c r="N139" t="s">
        <v>662</v>
      </c>
      <c r="O139">
        <v>96604460</v>
      </c>
      <c r="P139">
        <v>16000436</v>
      </c>
      <c r="Q139" t="s">
        <v>802</v>
      </c>
    </row>
    <row r="140" spans="5:17" hidden="1">
      <c r="E140" t="s">
        <v>28</v>
      </c>
      <c r="F140" t="s">
        <v>355</v>
      </c>
      <c r="G140">
        <v>12001367</v>
      </c>
      <c r="H140" t="s">
        <v>562</v>
      </c>
      <c r="K140" t="str">
        <f>_xlfn.CONCAT(Productos[[#This Row],[SAP_Productos]]," ",Productos[[#This Row],[Productos]])</f>
        <v>12001367 Empanada Hoja Jamón Queso</v>
      </c>
      <c r="N140" t="s">
        <v>662</v>
      </c>
      <c r="O140">
        <v>96604460</v>
      </c>
      <c r="P140">
        <v>16000443</v>
      </c>
      <c r="Q140" t="s">
        <v>803</v>
      </c>
    </row>
    <row r="141" spans="5:17" hidden="1">
      <c r="E141" t="s">
        <v>28</v>
      </c>
      <c r="F141" t="s">
        <v>359</v>
      </c>
      <c r="G141">
        <v>12001368</v>
      </c>
      <c r="H141" t="s">
        <v>562</v>
      </c>
      <c r="K141" t="str">
        <f>_xlfn.CONCAT(Productos[[#This Row],[SAP_Productos]]," ",Productos[[#This Row],[Productos]])</f>
        <v>12001368 Empanada Hoja Pino</v>
      </c>
      <c r="N141" t="s">
        <v>662</v>
      </c>
      <c r="O141">
        <v>96604460</v>
      </c>
      <c r="P141">
        <v>16000445</v>
      </c>
      <c r="Q141" t="s">
        <v>804</v>
      </c>
    </row>
    <row r="142" spans="5:17">
      <c r="E142" t="s">
        <v>28</v>
      </c>
      <c r="F142" t="s">
        <v>362</v>
      </c>
      <c r="G142">
        <v>12001369</v>
      </c>
      <c r="H142" t="s">
        <v>562</v>
      </c>
      <c r="K142" t="str">
        <f>_xlfn.CONCAT(Productos[[#This Row],[SAP_Productos]]," ",Productos[[#This Row],[Productos]])</f>
        <v>12001369 Empanada Horno Suprema</v>
      </c>
      <c r="N142" t="s">
        <v>662</v>
      </c>
      <c r="O142">
        <v>96604460</v>
      </c>
      <c r="P142">
        <v>16000446</v>
      </c>
      <c r="Q142" t="s">
        <v>805</v>
      </c>
    </row>
    <row r="143" spans="5:17" hidden="1">
      <c r="E143" t="s">
        <v>28</v>
      </c>
      <c r="F143" t="s">
        <v>95</v>
      </c>
      <c r="G143">
        <v>12001398</v>
      </c>
      <c r="H143" t="s">
        <v>562</v>
      </c>
      <c r="K143" t="str">
        <f>_xlfn.CONCAT(Productos[[#This Row],[SAP_Productos]]," ",Productos[[#This Row],[Productos]])</f>
        <v>12001398 Semi Elaborado Doblada</v>
      </c>
      <c r="N143" t="s">
        <v>662</v>
      </c>
      <c r="O143">
        <v>96604460</v>
      </c>
      <c r="P143">
        <v>16000447</v>
      </c>
      <c r="Q143" t="s">
        <v>806</v>
      </c>
    </row>
    <row r="144" spans="5:17" hidden="1">
      <c r="E144" t="s">
        <v>28</v>
      </c>
      <c r="F144" t="s">
        <v>124</v>
      </c>
      <c r="G144">
        <v>13001004</v>
      </c>
      <c r="H144" t="s">
        <v>562</v>
      </c>
      <c r="K144" t="str">
        <f>_xlfn.CONCAT(Productos[[#This Row],[SAP_Productos]]," ",Productos[[#This Row],[Productos]])</f>
        <v>13001004 Dobladas</v>
      </c>
      <c r="N144" t="s">
        <v>662</v>
      </c>
      <c r="O144">
        <v>96604460</v>
      </c>
      <c r="P144">
        <v>16000454</v>
      </c>
      <c r="Q144" t="s">
        <v>807</v>
      </c>
    </row>
    <row r="145" spans="5:17" hidden="1">
      <c r="E145" t="s">
        <v>28</v>
      </c>
      <c r="F145" t="s">
        <v>151</v>
      </c>
      <c r="G145">
        <v>13030199</v>
      </c>
      <c r="H145" t="s">
        <v>562</v>
      </c>
      <c r="K145" t="str">
        <f>_xlfn.CONCAT(Productos[[#This Row],[SAP_Productos]]," ",Productos[[#This Row],[Productos]])</f>
        <v>13030199 Dobladas (Ekono)</v>
      </c>
      <c r="N145" t="s">
        <v>662</v>
      </c>
      <c r="O145">
        <v>96604460</v>
      </c>
      <c r="P145">
        <v>16000455</v>
      </c>
      <c r="Q145" t="s">
        <v>808</v>
      </c>
    </row>
    <row r="146" spans="5:17" hidden="1">
      <c r="E146" t="s">
        <v>28</v>
      </c>
      <c r="F146" t="s">
        <v>176</v>
      </c>
      <c r="G146">
        <v>13030406</v>
      </c>
      <c r="H146" t="s">
        <v>562</v>
      </c>
      <c r="K146" t="str">
        <f>_xlfn.CONCAT(Productos[[#This Row],[SAP_Productos]]," ",Productos[[#This Row],[Productos]])</f>
        <v>13030406 Dobladas Ekono (B)</v>
      </c>
      <c r="N146" t="s">
        <v>662</v>
      </c>
      <c r="O146">
        <v>96604460</v>
      </c>
      <c r="P146">
        <v>16000461</v>
      </c>
      <c r="Q146" t="s">
        <v>809</v>
      </c>
    </row>
    <row r="147" spans="5:17" hidden="1">
      <c r="E147" s="70" t="s">
        <v>28</v>
      </c>
      <c r="F147" s="39" t="s">
        <v>810</v>
      </c>
      <c r="G147">
        <v>13030550</v>
      </c>
      <c r="H147" t="s">
        <v>562</v>
      </c>
      <c r="K147" t="str">
        <f>_xlfn.CONCAT(Productos[[#This Row],[SAP_Productos]]," ",Productos[[#This Row],[Productos]])</f>
        <v>13030550 EMPANADA NAPOLITANA PACK 2 UN</v>
      </c>
      <c r="N147" t="s">
        <v>662</v>
      </c>
      <c r="O147">
        <v>96604460</v>
      </c>
      <c r="P147">
        <v>16000462</v>
      </c>
      <c r="Q147" t="s">
        <v>811</v>
      </c>
    </row>
    <row r="148" spans="5:17" hidden="1">
      <c r="E148" t="s">
        <v>28</v>
      </c>
      <c r="F148" t="s">
        <v>198</v>
      </c>
      <c r="G148">
        <v>12001376</v>
      </c>
      <c r="H148" t="s">
        <v>562</v>
      </c>
      <c r="K148" t="str">
        <f>_xlfn.CONCAT(Productos[[#This Row],[SAP_Productos]]," ",Productos[[#This Row],[Productos]])</f>
        <v>12001376 Merma masa Dobladas</v>
      </c>
      <c r="N148" t="s">
        <v>662</v>
      </c>
      <c r="O148">
        <v>96604460</v>
      </c>
      <c r="P148">
        <v>16000507</v>
      </c>
      <c r="Q148" t="s">
        <v>812</v>
      </c>
    </row>
    <row r="149" spans="5:17" hidden="1">
      <c r="E149" s="68" t="s">
        <v>29</v>
      </c>
      <c r="F149" t="s">
        <v>90</v>
      </c>
      <c r="G149">
        <v>12001435</v>
      </c>
      <c r="H149" t="s">
        <v>562</v>
      </c>
      <c r="K149" t="str">
        <f>_xlfn.CONCAT(Productos[[#This Row],[SAP_Productos]]," ",Productos[[#This Row],[Productos]])</f>
        <v>12001435 Semielaborado Magdalena chips chocolate</v>
      </c>
      <c r="N149" t="s">
        <v>662</v>
      </c>
      <c r="O149">
        <v>96604460</v>
      </c>
      <c r="P149">
        <v>16000508</v>
      </c>
      <c r="Q149" t="s">
        <v>813</v>
      </c>
    </row>
    <row r="150" spans="5:17" hidden="1">
      <c r="E150" s="68" t="s">
        <v>29</v>
      </c>
      <c r="F150" t="s">
        <v>119</v>
      </c>
      <c r="G150">
        <v>12001437</v>
      </c>
      <c r="H150" t="s">
        <v>562</v>
      </c>
      <c r="K150" t="str">
        <f>_xlfn.CONCAT(Productos[[#This Row],[SAP_Productos]]," ",Productos[[#This Row],[Productos]])</f>
        <v>12001437 Semielaborado Magdalena tres leches</v>
      </c>
      <c r="N150" t="s">
        <v>662</v>
      </c>
      <c r="O150">
        <v>96604460</v>
      </c>
      <c r="P150">
        <v>16000510</v>
      </c>
      <c r="Q150" t="s">
        <v>814</v>
      </c>
    </row>
    <row r="151" spans="5:17" hidden="1">
      <c r="E151" s="68" t="s">
        <v>29</v>
      </c>
      <c r="F151" t="s">
        <v>146</v>
      </c>
      <c r="G151">
        <v>12001436</v>
      </c>
      <c r="H151" t="s">
        <v>562</v>
      </c>
      <c r="K151" t="str">
        <f>_xlfn.CONCAT(Productos[[#This Row],[SAP_Productos]]," ",Productos[[#This Row],[Productos]])</f>
        <v>12001436 Semielaborado Magdalena vainilla</v>
      </c>
      <c r="N151" t="s">
        <v>662</v>
      </c>
      <c r="O151">
        <v>96604460</v>
      </c>
      <c r="P151">
        <v>16000511</v>
      </c>
      <c r="Q151" t="s">
        <v>815</v>
      </c>
    </row>
    <row r="152" spans="5:17" hidden="1">
      <c r="E152" s="68" t="s">
        <v>29</v>
      </c>
      <c r="F152" t="s">
        <v>171</v>
      </c>
      <c r="G152">
        <v>12001434</v>
      </c>
      <c r="H152" t="s">
        <v>562</v>
      </c>
      <c r="K152" t="str">
        <f>_xlfn.CONCAT(Productos[[#This Row],[SAP_Productos]]," ",Productos[[#This Row],[Productos]])</f>
        <v>12001434 Semielaborado Magdalena chocolate</v>
      </c>
      <c r="N152" t="s">
        <v>662</v>
      </c>
      <c r="O152">
        <v>96604460</v>
      </c>
      <c r="P152">
        <v>16000512</v>
      </c>
      <c r="Q152" t="s">
        <v>816</v>
      </c>
    </row>
    <row r="153" spans="5:17" hidden="1">
      <c r="E153" s="68" t="s">
        <v>29</v>
      </c>
      <c r="F153" t="s">
        <v>215</v>
      </c>
      <c r="G153">
        <v>13030560</v>
      </c>
      <c r="H153" t="s">
        <v>562</v>
      </c>
      <c r="K153" t="str">
        <f>_xlfn.CONCAT(Productos[[#This Row],[SAP_Productos]]," ",Productos[[#This Row],[Productos]])</f>
        <v>13030560 Pack Magdalena chips chocolate - 6 un</v>
      </c>
      <c r="N153" t="s">
        <v>663</v>
      </c>
      <c r="O153" t="s">
        <v>664</v>
      </c>
      <c r="P153" t="s">
        <v>664</v>
      </c>
      <c r="Q153" t="s">
        <v>817</v>
      </c>
    </row>
    <row r="154" spans="5:17" hidden="1">
      <c r="E154" s="70" t="s">
        <v>29</v>
      </c>
      <c r="F154" s="39" t="s">
        <v>818</v>
      </c>
      <c r="G154" s="40">
        <v>13030606</v>
      </c>
      <c r="H154" t="s">
        <v>562</v>
      </c>
      <c r="K154" t="str">
        <f>_xlfn.CONCAT(Productos[[#This Row],[SAP_Productos]]," ",Productos[[#This Row],[Productos]])</f>
        <v>13030606 Pack Magdalena tres leches - 6 Un.</v>
      </c>
      <c r="N154" t="s">
        <v>665</v>
      </c>
      <c r="O154">
        <v>76085401</v>
      </c>
      <c r="P154">
        <v>10003539</v>
      </c>
      <c r="Q154" t="s">
        <v>819</v>
      </c>
    </row>
    <row r="155" spans="5:17" hidden="1">
      <c r="E155" s="70" t="s">
        <v>29</v>
      </c>
      <c r="F155" t="s">
        <v>820</v>
      </c>
      <c r="G155">
        <v>13030607</v>
      </c>
      <c r="H155" t="s">
        <v>562</v>
      </c>
      <c r="K155" t="str">
        <f>_xlfn.CONCAT(Productos[[#This Row],[SAP_Productos]]," ",Productos[[#This Row],[Productos]])</f>
        <v>13030607 Pack Magdalena Vainilla - 6 Un.</v>
      </c>
      <c r="N155" t="s">
        <v>665</v>
      </c>
      <c r="O155">
        <v>76085401</v>
      </c>
      <c r="P155">
        <v>11000050</v>
      </c>
      <c r="Q155" t="s">
        <v>821</v>
      </c>
    </row>
    <row r="156" spans="5:17" hidden="1">
      <c r="E156" s="68" t="s">
        <v>29</v>
      </c>
      <c r="F156" t="s">
        <v>193</v>
      </c>
      <c r="G156">
        <v>13030558</v>
      </c>
      <c r="H156" t="s">
        <v>562</v>
      </c>
      <c r="K156" t="str">
        <f>_xlfn.CONCAT(Productos[[#This Row],[SAP_Productos]]," ",Productos[[#This Row],[Productos]])</f>
        <v>13030558 Pack Magdalena tres leches - 9 Un.</v>
      </c>
      <c r="N156" t="s">
        <v>665</v>
      </c>
      <c r="O156">
        <v>76085401</v>
      </c>
      <c r="P156">
        <v>11000068</v>
      </c>
      <c r="Q156" t="s">
        <v>822</v>
      </c>
    </row>
    <row r="157" spans="5:17" hidden="1">
      <c r="E157" s="68" t="s">
        <v>29</v>
      </c>
      <c r="F157" t="s">
        <v>235</v>
      </c>
      <c r="G157">
        <v>13030557</v>
      </c>
      <c r="H157" t="s">
        <v>562</v>
      </c>
      <c r="K157" t="str">
        <f>_xlfn.CONCAT(Productos[[#This Row],[SAP_Productos]]," ",Productos[[#This Row],[Productos]])</f>
        <v>13030557 Pack Magdalena Vainilla - 9 Un.</v>
      </c>
      <c r="N157" t="s">
        <v>665</v>
      </c>
      <c r="O157">
        <v>76085401</v>
      </c>
      <c r="P157">
        <v>11000076</v>
      </c>
      <c r="Q157" t="s">
        <v>823</v>
      </c>
    </row>
    <row r="158" spans="5:17" hidden="1">
      <c r="E158" s="68" t="s">
        <v>29</v>
      </c>
      <c r="F158" t="s">
        <v>251</v>
      </c>
      <c r="G158">
        <v>13030559</v>
      </c>
      <c r="H158" t="s">
        <v>562</v>
      </c>
      <c r="K158" t="str">
        <f>_xlfn.CONCAT(Productos[[#This Row],[SAP_Productos]]," ",Productos[[#This Row],[Productos]])</f>
        <v>13030559 Pack Magdalena Chocolate - 9 Un.</v>
      </c>
      <c r="N158" t="s">
        <v>665</v>
      </c>
      <c r="O158">
        <v>76085401</v>
      </c>
      <c r="P158">
        <v>11000220</v>
      </c>
      <c r="Q158" t="s">
        <v>824</v>
      </c>
    </row>
    <row r="159" spans="5:17" hidden="1">
      <c r="E159" t="s">
        <v>31</v>
      </c>
      <c r="F159" s="37" t="s">
        <v>97</v>
      </c>
      <c r="G159" s="38">
        <v>13030492</v>
      </c>
      <c r="H159" t="s">
        <v>562</v>
      </c>
      <c r="K159" t="str">
        <f>_xlfn.CONCAT(Productos[[#This Row],[SAP_Productos]]," ",Productos[[#This Row],[Productos]])</f>
        <v>13030492 Hallullita ATM</v>
      </c>
      <c r="N159" t="s">
        <v>665</v>
      </c>
      <c r="O159">
        <v>76085401</v>
      </c>
      <c r="P159">
        <v>11000222</v>
      </c>
      <c r="Q159" t="s">
        <v>825</v>
      </c>
    </row>
    <row r="160" spans="5:17" hidden="1">
      <c r="E160" t="s">
        <v>31</v>
      </c>
      <c r="F160" s="39" t="s">
        <v>126</v>
      </c>
      <c r="G160" s="40">
        <v>13030553</v>
      </c>
      <c r="H160" t="s">
        <v>562</v>
      </c>
      <c r="K160" t="str">
        <f>_xlfn.CONCAT(Productos[[#This Row],[SAP_Productos]]," ",Productos[[#This Row],[Productos]])</f>
        <v>13030553 Hallullita ATM Sampling</v>
      </c>
      <c r="N160" t="s">
        <v>665</v>
      </c>
      <c r="O160">
        <v>76085401</v>
      </c>
      <c r="P160">
        <v>11000602</v>
      </c>
      <c r="Q160" t="s">
        <v>826</v>
      </c>
    </row>
    <row r="161" spans="5:17" hidden="1">
      <c r="E161" t="s">
        <v>31</v>
      </c>
      <c r="F161" s="37" t="s">
        <v>153</v>
      </c>
      <c r="G161" s="38">
        <v>13030554</v>
      </c>
      <c r="H161" t="s">
        <v>562</v>
      </c>
      <c r="K161" t="str">
        <f>_xlfn.CONCAT(Productos[[#This Row],[SAP_Productos]]," ",Productos[[#This Row],[Productos]])</f>
        <v>13030554 Hallullita ATM 5 UN</v>
      </c>
      <c r="N161" t="s">
        <v>665</v>
      </c>
      <c r="O161">
        <v>76085401</v>
      </c>
      <c r="P161">
        <v>11000694</v>
      </c>
      <c r="Q161" t="s">
        <v>827</v>
      </c>
    </row>
    <row r="162" spans="5:17" hidden="1">
      <c r="E162" t="s">
        <v>31</v>
      </c>
      <c r="F162" s="39" t="s">
        <v>178</v>
      </c>
      <c r="G162" s="40">
        <v>13030506</v>
      </c>
      <c r="H162" t="s">
        <v>562</v>
      </c>
      <c r="K162" t="str">
        <f>_xlfn.CONCAT(Productos[[#This Row],[SAP_Productos]]," ",Productos[[#This Row],[Productos]])</f>
        <v>13030506 Hallullitas ATM CM</v>
      </c>
      <c r="N162" t="s">
        <v>665</v>
      </c>
      <c r="O162">
        <v>76085401</v>
      </c>
      <c r="P162">
        <v>11001446</v>
      </c>
      <c r="Q162" t="s">
        <v>421</v>
      </c>
    </row>
    <row r="163" spans="5:17" hidden="1">
      <c r="E163" t="s">
        <v>31</v>
      </c>
      <c r="F163" s="37" t="s">
        <v>200</v>
      </c>
      <c r="G163" s="38">
        <v>13030428</v>
      </c>
      <c r="H163" t="s">
        <v>562</v>
      </c>
      <c r="K163" t="str">
        <f>_xlfn.CONCAT(Productos[[#This Row],[SAP_Productos]]," ",Productos[[#This Row],[Productos]])</f>
        <v>13030428 Marraqueta ATM Lider</v>
      </c>
      <c r="N163" t="s">
        <v>665</v>
      </c>
      <c r="O163">
        <v>76085401</v>
      </c>
      <c r="P163">
        <v>11001448</v>
      </c>
      <c r="Q163" t="s">
        <v>828</v>
      </c>
    </row>
    <row r="164" spans="5:17" hidden="1">
      <c r="E164" t="s">
        <v>31</v>
      </c>
      <c r="F164" s="39" t="s">
        <v>221</v>
      </c>
      <c r="G164" s="40">
        <v>13030431</v>
      </c>
      <c r="H164" t="s">
        <v>562</v>
      </c>
      <c r="K164" t="str">
        <f>_xlfn.CONCAT(Productos[[#This Row],[SAP_Productos]]," ",Productos[[#This Row],[Productos]])</f>
        <v>13030431 Marraqueta ATM CM</v>
      </c>
      <c r="N164" t="s">
        <v>665</v>
      </c>
      <c r="O164">
        <v>76085401</v>
      </c>
      <c r="P164">
        <v>11001505</v>
      </c>
      <c r="Q164" t="s">
        <v>829</v>
      </c>
    </row>
    <row r="165" spans="5:17" hidden="1">
      <c r="E165" t="s">
        <v>31</v>
      </c>
      <c r="F165" s="37" t="s">
        <v>99</v>
      </c>
      <c r="G165" s="38">
        <v>13001756</v>
      </c>
      <c r="H165" t="s">
        <v>562</v>
      </c>
      <c r="K165" t="str">
        <f>_xlfn.CONCAT(Productos[[#This Row],[SAP_Productos]]," ",Productos[[#This Row],[Productos]])</f>
        <v>13001756 Hallulla ATM Líder</v>
      </c>
      <c r="N165" t="s">
        <v>665</v>
      </c>
      <c r="O165">
        <v>76085401</v>
      </c>
      <c r="P165">
        <v>11001672</v>
      </c>
      <c r="Q165" t="s">
        <v>830</v>
      </c>
    </row>
    <row r="166" spans="5:17" hidden="1">
      <c r="E166" t="s">
        <v>31</v>
      </c>
      <c r="F166" s="39" t="s">
        <v>127</v>
      </c>
      <c r="G166" s="40">
        <v>13030317</v>
      </c>
      <c r="H166" t="s">
        <v>562</v>
      </c>
      <c r="K166" t="str">
        <f>_xlfn.CONCAT(Productos[[#This Row],[SAP_Productos]]," ",Productos[[#This Row],[Productos]])</f>
        <v>13030317 Hallulla ATM CM</v>
      </c>
      <c r="N166" t="s">
        <v>665</v>
      </c>
      <c r="O166">
        <v>76085401</v>
      </c>
      <c r="P166">
        <v>11001837</v>
      </c>
      <c r="Q166" t="s">
        <v>831</v>
      </c>
    </row>
    <row r="167" spans="5:17" hidden="1">
      <c r="E167" t="s">
        <v>31</v>
      </c>
      <c r="F167" s="37" t="s">
        <v>154</v>
      </c>
      <c r="G167" s="38">
        <v>13030471</v>
      </c>
      <c r="H167" t="s">
        <v>562</v>
      </c>
      <c r="K167" t="str">
        <f>_xlfn.CONCAT(Productos[[#This Row],[SAP_Productos]]," ",Productos[[#This Row],[Productos]])</f>
        <v>13030471 Dobladas ATM 9 UN</v>
      </c>
      <c r="N167" t="s">
        <v>665</v>
      </c>
      <c r="O167">
        <v>76085401</v>
      </c>
      <c r="P167">
        <v>11001838</v>
      </c>
      <c r="Q167" t="s">
        <v>832</v>
      </c>
    </row>
    <row r="168" spans="5:17" hidden="1">
      <c r="E168" t="s">
        <v>31</v>
      </c>
      <c r="F168" s="39" t="s">
        <v>179</v>
      </c>
      <c r="G168" s="40">
        <v>13030505</v>
      </c>
      <c r="H168" t="s">
        <v>562</v>
      </c>
      <c r="K168" t="str">
        <f>_xlfn.CONCAT(Productos[[#This Row],[SAP_Productos]]," ",Productos[[#This Row],[Productos]])</f>
        <v>13030505 Doblada ATM CM</v>
      </c>
      <c r="N168" t="s">
        <v>665</v>
      </c>
      <c r="O168">
        <v>76085401</v>
      </c>
      <c r="P168">
        <v>11001839</v>
      </c>
      <c r="Q168" t="s">
        <v>833</v>
      </c>
    </row>
    <row r="169" spans="5:17" hidden="1">
      <c r="E169" t="s">
        <v>31</v>
      </c>
      <c r="F169" s="37" t="s">
        <v>201</v>
      </c>
      <c r="G169" s="38">
        <v>13030488</v>
      </c>
      <c r="H169" t="s">
        <v>562</v>
      </c>
      <c r="K169" t="str">
        <f>_xlfn.CONCAT(Productos[[#This Row],[SAP_Productos]]," ",Productos[[#This Row],[Productos]])</f>
        <v>13030488 Pan Amasado ATM</v>
      </c>
      <c r="N169" t="s">
        <v>665</v>
      </c>
      <c r="O169">
        <v>76085401</v>
      </c>
      <c r="P169">
        <v>11001859</v>
      </c>
      <c r="Q169" t="s">
        <v>834</v>
      </c>
    </row>
    <row r="170" spans="5:17" hidden="1">
      <c r="E170" t="s">
        <v>31</v>
      </c>
      <c r="F170" s="39" t="s">
        <v>222</v>
      </c>
      <c r="G170" s="40">
        <v>13030504</v>
      </c>
      <c r="H170" t="s">
        <v>562</v>
      </c>
      <c r="K170" t="str">
        <f>_xlfn.CONCAT(Productos[[#This Row],[SAP_Productos]]," ",Productos[[#This Row],[Productos]])</f>
        <v>13030504 Amasado ATM CM</v>
      </c>
      <c r="N170" t="s">
        <v>665</v>
      </c>
      <c r="O170">
        <v>76085401</v>
      </c>
      <c r="P170">
        <v>11001891</v>
      </c>
      <c r="Q170" t="s">
        <v>835</v>
      </c>
    </row>
    <row r="171" spans="5:17" hidden="1">
      <c r="E171" t="s">
        <v>32</v>
      </c>
      <c r="F171" s="37" t="s">
        <v>98</v>
      </c>
      <c r="G171" s="38">
        <v>13030538</v>
      </c>
      <c r="H171" t="s">
        <v>562</v>
      </c>
      <c r="K171" t="str">
        <f>_xlfn.CONCAT(Productos[[#This Row],[SAP_Productos]]," ",Productos[[#This Row],[Productos]])</f>
        <v>13030538 Doblada ATM Tráfico</v>
      </c>
      <c r="N171" t="s">
        <v>665</v>
      </c>
      <c r="O171">
        <v>76085401</v>
      </c>
      <c r="P171">
        <v>16000417</v>
      </c>
      <c r="Q171" t="s">
        <v>836</v>
      </c>
    </row>
    <row r="172" spans="5:17" hidden="1">
      <c r="E172" t="s">
        <v>32</v>
      </c>
      <c r="F172" s="39" t="s">
        <v>99</v>
      </c>
      <c r="G172" s="40">
        <v>13001756</v>
      </c>
      <c r="H172" t="s">
        <v>562</v>
      </c>
      <c r="K172" t="str">
        <f>_xlfn.CONCAT(Productos[[#This Row],[SAP_Productos]]," ",Productos[[#This Row],[Productos]])</f>
        <v>13001756 Hallulla ATM Líder</v>
      </c>
      <c r="N172" t="s">
        <v>666</v>
      </c>
      <c r="O172">
        <v>76005927</v>
      </c>
      <c r="P172">
        <v>11000541</v>
      </c>
      <c r="Q172" t="s">
        <v>445</v>
      </c>
    </row>
    <row r="173" spans="5:17" hidden="1">
      <c r="E173" t="s">
        <v>32</v>
      </c>
      <c r="F173" s="37" t="s">
        <v>127</v>
      </c>
      <c r="G173" s="38">
        <v>13030317</v>
      </c>
      <c r="H173" t="s">
        <v>562</v>
      </c>
      <c r="K173" t="str">
        <f>_xlfn.CONCAT(Productos[[#This Row],[SAP_Productos]]," ",Productos[[#This Row],[Productos]])</f>
        <v>13030317 Hallulla ATM CM</v>
      </c>
      <c r="N173" t="s">
        <v>666</v>
      </c>
      <c r="O173">
        <v>76005927</v>
      </c>
      <c r="P173">
        <v>11000671</v>
      </c>
      <c r="Q173" t="s">
        <v>387</v>
      </c>
    </row>
    <row r="174" spans="5:17" hidden="1">
      <c r="E174" t="s">
        <v>32</v>
      </c>
      <c r="F174" s="39" t="s">
        <v>154</v>
      </c>
      <c r="G174" s="40">
        <v>13030471</v>
      </c>
      <c r="H174" t="s">
        <v>562</v>
      </c>
      <c r="K174" t="str">
        <f>_xlfn.CONCAT(Productos[[#This Row],[SAP_Productos]]," ",Productos[[#This Row],[Productos]])</f>
        <v>13030471 Dobladas ATM 9 UN</v>
      </c>
      <c r="N174" t="s">
        <v>666</v>
      </c>
      <c r="O174">
        <v>76005927</v>
      </c>
      <c r="P174">
        <v>11000672</v>
      </c>
      <c r="Q174" t="s">
        <v>391</v>
      </c>
    </row>
    <row r="175" spans="5:17" hidden="1">
      <c r="E175" t="s">
        <v>32</v>
      </c>
      <c r="F175" s="37" t="s">
        <v>179</v>
      </c>
      <c r="G175" s="38">
        <v>13030505</v>
      </c>
      <c r="H175" t="s">
        <v>562</v>
      </c>
      <c r="K175" t="str">
        <f>_xlfn.CONCAT(Productos[[#This Row],[SAP_Productos]]," ",Productos[[#This Row],[Productos]])</f>
        <v>13030505 Doblada ATM CM</v>
      </c>
      <c r="N175" t="s">
        <v>666</v>
      </c>
      <c r="O175">
        <v>76005927</v>
      </c>
      <c r="P175">
        <v>11000673</v>
      </c>
      <c r="Q175" t="s">
        <v>389</v>
      </c>
    </row>
    <row r="176" spans="5:17" hidden="1">
      <c r="E176" t="s">
        <v>32</v>
      </c>
      <c r="F176" s="37" t="s">
        <v>201</v>
      </c>
      <c r="G176" s="38">
        <v>13030488</v>
      </c>
      <c r="H176" t="s">
        <v>562</v>
      </c>
      <c r="K176" t="str">
        <f>_xlfn.CONCAT(Productos[[#This Row],[SAP_Productos]]," ",Productos[[#This Row],[Productos]])</f>
        <v>13030488 Pan Amasado ATM</v>
      </c>
      <c r="N176" t="s">
        <v>666</v>
      </c>
      <c r="O176">
        <v>76005927</v>
      </c>
      <c r="P176">
        <v>11001470</v>
      </c>
      <c r="Q176" t="s">
        <v>397</v>
      </c>
    </row>
    <row r="177" spans="5:17" hidden="1">
      <c r="E177" t="s">
        <v>32</v>
      </c>
      <c r="F177" s="37" t="s">
        <v>222</v>
      </c>
      <c r="G177" s="38">
        <v>13030504</v>
      </c>
      <c r="H177" t="s">
        <v>562</v>
      </c>
      <c r="K177" t="str">
        <f>_xlfn.CONCAT(Productos[[#This Row],[SAP_Productos]]," ",Productos[[#This Row],[Productos]])</f>
        <v>13030504 Amasado ATM CM</v>
      </c>
      <c r="N177" t="s">
        <v>666</v>
      </c>
      <c r="O177">
        <v>76005927</v>
      </c>
      <c r="P177">
        <v>11001625</v>
      </c>
      <c r="Q177" t="s">
        <v>439</v>
      </c>
    </row>
    <row r="178" spans="5:17" hidden="1">
      <c r="E178" t="s">
        <v>32</v>
      </c>
      <c r="F178" s="37" t="s">
        <v>97</v>
      </c>
      <c r="G178" s="38">
        <v>13030492</v>
      </c>
      <c r="H178" t="s">
        <v>562</v>
      </c>
      <c r="K178" t="str">
        <f>_xlfn.CONCAT(Productos[[#This Row],[SAP_Productos]]," ",Productos[[#This Row],[Productos]])</f>
        <v>13030492 Hallullita ATM</v>
      </c>
      <c r="N178" t="s">
        <v>666</v>
      </c>
      <c r="O178">
        <v>76005927</v>
      </c>
      <c r="P178">
        <v>11001627</v>
      </c>
      <c r="Q178" t="s">
        <v>427</v>
      </c>
    </row>
    <row r="179" spans="5:17" hidden="1">
      <c r="E179" t="s">
        <v>32</v>
      </c>
      <c r="F179" s="37" t="s">
        <v>126</v>
      </c>
      <c r="G179" s="38">
        <v>13030553</v>
      </c>
      <c r="H179" t="s">
        <v>562</v>
      </c>
      <c r="K179" t="str">
        <f>_xlfn.CONCAT(Productos[[#This Row],[SAP_Productos]]," ",Productos[[#This Row],[Productos]])</f>
        <v>13030553 Hallullita ATM Sampling</v>
      </c>
      <c r="N179" t="s">
        <v>666</v>
      </c>
      <c r="O179">
        <v>76005927</v>
      </c>
      <c r="P179">
        <v>11001628</v>
      </c>
      <c r="Q179" t="s">
        <v>423</v>
      </c>
    </row>
    <row r="180" spans="5:17" hidden="1">
      <c r="E180" t="s">
        <v>32</v>
      </c>
      <c r="F180" s="37" t="s">
        <v>153</v>
      </c>
      <c r="G180" s="38">
        <v>13030554</v>
      </c>
      <c r="H180" t="s">
        <v>562</v>
      </c>
      <c r="K180" t="str">
        <f>_xlfn.CONCAT(Productos[[#This Row],[SAP_Productos]]," ",Productos[[#This Row],[Productos]])</f>
        <v>13030554 Hallullita ATM 5 UN</v>
      </c>
      <c r="N180" t="s">
        <v>666</v>
      </c>
      <c r="O180">
        <v>76005927</v>
      </c>
      <c r="P180">
        <v>11001629</v>
      </c>
      <c r="Q180" t="s">
        <v>419</v>
      </c>
    </row>
    <row r="181" spans="5:17" hidden="1">
      <c r="E181" t="s">
        <v>32</v>
      </c>
      <c r="F181" s="37" t="s">
        <v>178</v>
      </c>
      <c r="G181" s="38">
        <v>13030506</v>
      </c>
      <c r="H181" t="s">
        <v>562</v>
      </c>
      <c r="K181" t="str">
        <f>_xlfn.CONCAT(Productos[[#This Row],[SAP_Productos]]," ",Productos[[#This Row],[Productos]])</f>
        <v>13030506 Hallullitas ATM CM</v>
      </c>
      <c r="N181" t="s">
        <v>666</v>
      </c>
      <c r="O181">
        <v>76005927</v>
      </c>
      <c r="P181">
        <v>11001630</v>
      </c>
      <c r="Q181" t="s">
        <v>405</v>
      </c>
    </row>
    <row r="182" spans="5:17" hidden="1">
      <c r="E182" t="s">
        <v>32</v>
      </c>
      <c r="F182" s="39" t="s">
        <v>200</v>
      </c>
      <c r="G182" s="40">
        <v>13030428</v>
      </c>
      <c r="H182" t="s">
        <v>562</v>
      </c>
      <c r="K182" t="str">
        <f>_xlfn.CONCAT(Productos[[#This Row],[SAP_Productos]]," ",Productos[[#This Row],[Productos]])</f>
        <v>13030428 Marraqueta ATM Lider</v>
      </c>
      <c r="N182" t="s">
        <v>666</v>
      </c>
      <c r="O182">
        <v>76005927</v>
      </c>
      <c r="P182">
        <v>11001673</v>
      </c>
      <c r="Q182" t="s">
        <v>837</v>
      </c>
    </row>
    <row r="183" spans="5:17" hidden="1">
      <c r="E183" t="s">
        <v>32</v>
      </c>
      <c r="F183" s="37" t="s">
        <v>221</v>
      </c>
      <c r="G183" s="38">
        <v>13030431</v>
      </c>
      <c r="H183" t="s">
        <v>562</v>
      </c>
      <c r="K183" t="str">
        <f>_xlfn.CONCAT(Productos[[#This Row],[SAP_Productos]]," ",Productos[[#This Row],[Productos]])</f>
        <v>13030431 Marraqueta ATM CM</v>
      </c>
      <c r="N183" t="s">
        <v>666</v>
      </c>
      <c r="O183">
        <v>76005927</v>
      </c>
      <c r="P183">
        <v>11001699</v>
      </c>
      <c r="Q183" t="s">
        <v>409</v>
      </c>
    </row>
    <row r="184" spans="5:17" hidden="1">
      <c r="E184" s="40" t="s">
        <v>189</v>
      </c>
      <c r="F184" s="49" t="s">
        <v>92</v>
      </c>
      <c r="G184" s="50">
        <v>13030409</v>
      </c>
      <c r="H184" t="s">
        <v>562</v>
      </c>
      <c r="K184" t="str">
        <f>_xlfn.CONCAT(Productos[[#This Row],[SAP_Productos]]," ",Productos[[#This Row],[Productos]])</f>
        <v>13030409 Pizza Salame</v>
      </c>
      <c r="N184" t="s">
        <v>666</v>
      </c>
      <c r="O184">
        <v>76005927</v>
      </c>
      <c r="P184">
        <v>11001702</v>
      </c>
      <c r="Q184" t="s">
        <v>838</v>
      </c>
    </row>
    <row r="185" spans="5:17" hidden="1">
      <c r="E185" s="70" t="s">
        <v>189</v>
      </c>
      <c r="F185" s="51" t="s">
        <v>121</v>
      </c>
      <c r="G185" s="52">
        <v>13030435</v>
      </c>
      <c r="H185" t="s">
        <v>562</v>
      </c>
      <c r="K185" t="str">
        <f>_xlfn.CONCAT(Productos[[#This Row],[SAP_Productos]]," ",Productos[[#This Row],[Productos]])</f>
        <v>13030435 Pizza Casino Napolitana</v>
      </c>
      <c r="N185" t="s">
        <v>666</v>
      </c>
      <c r="O185">
        <v>76005927</v>
      </c>
      <c r="P185">
        <v>11001703</v>
      </c>
      <c r="Q185" t="s">
        <v>839</v>
      </c>
    </row>
    <row r="186" spans="5:17" hidden="1">
      <c r="E186" s="40" t="s">
        <v>189</v>
      </c>
      <c r="F186" s="49" t="s">
        <v>148</v>
      </c>
      <c r="G186" s="50">
        <v>13030495</v>
      </c>
      <c r="H186" t="s">
        <v>562</v>
      </c>
      <c r="K186" t="str">
        <f>_xlfn.CONCAT(Productos[[#This Row],[SAP_Productos]]," ",Productos[[#This Row],[Productos]])</f>
        <v>13030495 Pizza Española</v>
      </c>
      <c r="N186" t="s">
        <v>666</v>
      </c>
      <c r="O186">
        <v>76005927</v>
      </c>
      <c r="P186">
        <v>11001705</v>
      </c>
      <c r="Q186" t="s">
        <v>840</v>
      </c>
    </row>
    <row r="187" spans="5:17" hidden="1">
      <c r="E187" s="70" t="s">
        <v>189</v>
      </c>
      <c r="F187" s="51" t="s">
        <v>173</v>
      </c>
      <c r="G187" s="52">
        <v>13030544</v>
      </c>
      <c r="H187" t="s">
        <v>562</v>
      </c>
      <c r="K187" t="str">
        <f>_xlfn.CONCAT(Productos[[#This Row],[SAP_Productos]]," ",Productos[[#This Row],[Productos]])</f>
        <v>13030544 Pizza Casino Napolitana Cuadrada</v>
      </c>
      <c r="N187" t="s">
        <v>666</v>
      </c>
      <c r="O187">
        <v>76005927</v>
      </c>
      <c r="P187">
        <v>11001706</v>
      </c>
      <c r="Q187" t="s">
        <v>841</v>
      </c>
    </row>
    <row r="188" spans="5:17" hidden="1">
      <c r="E188" s="40" t="s">
        <v>189</v>
      </c>
      <c r="F188" s="49" t="s">
        <v>195</v>
      </c>
      <c r="G188" s="50">
        <v>13030093</v>
      </c>
      <c r="H188" t="s">
        <v>562</v>
      </c>
      <c r="K188" t="str">
        <f>_xlfn.CONCAT(Productos[[#This Row],[SAP_Productos]]," ",Productos[[#This Row],[Productos]])</f>
        <v>13030093 Pizza Napolitana</v>
      </c>
      <c r="N188" t="s">
        <v>666</v>
      </c>
      <c r="O188">
        <v>76005927</v>
      </c>
      <c r="P188">
        <v>11001707</v>
      </c>
      <c r="Q188" t="s">
        <v>842</v>
      </c>
    </row>
    <row r="189" spans="5:17">
      <c r="E189" s="70" t="s">
        <v>189</v>
      </c>
      <c r="F189" s="51" t="s">
        <v>217</v>
      </c>
      <c r="G189" s="52">
        <v>13030104</v>
      </c>
      <c r="H189" t="s">
        <v>562</v>
      </c>
      <c r="K189" t="str">
        <f>_xlfn.CONCAT(Productos[[#This Row],[SAP_Productos]]," ",Productos[[#This Row],[Productos]])</f>
        <v>13030104 Masa Pre Pizza Pack</v>
      </c>
      <c r="N189" t="s">
        <v>666</v>
      </c>
      <c r="O189">
        <v>76005927</v>
      </c>
      <c r="P189">
        <v>11001786</v>
      </c>
      <c r="Q189" t="s">
        <v>529</v>
      </c>
    </row>
    <row r="190" spans="5:17" hidden="1">
      <c r="E190" s="40" t="s">
        <v>189</v>
      </c>
      <c r="F190" s="49" t="s">
        <v>237</v>
      </c>
      <c r="G190" s="50">
        <v>13030190</v>
      </c>
      <c r="H190" t="s">
        <v>562</v>
      </c>
      <c r="K190" t="str">
        <f>_xlfn.CONCAT(Productos[[#This Row],[SAP_Productos]]," ",Productos[[#This Row],[Productos]])</f>
        <v>13030190 Pizza Napolitana SBA (acuenta)</v>
      </c>
      <c r="N190" t="s">
        <v>666</v>
      </c>
      <c r="O190">
        <v>76005927</v>
      </c>
      <c r="P190">
        <v>11001792</v>
      </c>
      <c r="Q190" t="s">
        <v>843</v>
      </c>
    </row>
    <row r="191" spans="5:17" hidden="1">
      <c r="E191" s="70" t="s">
        <v>189</v>
      </c>
      <c r="F191" s="51" t="s">
        <v>253</v>
      </c>
      <c r="G191" s="52">
        <v>13030191</v>
      </c>
      <c r="H191" t="s">
        <v>562</v>
      </c>
      <c r="K191" t="str">
        <f>_xlfn.CONCAT(Productos[[#This Row],[SAP_Productos]]," ",Productos[[#This Row],[Productos]])</f>
        <v>13030191 Pizza Pollo Champiñon SBA</v>
      </c>
      <c r="N191" t="s">
        <v>666</v>
      </c>
      <c r="O191">
        <v>76005927</v>
      </c>
      <c r="P191">
        <v>11001799</v>
      </c>
      <c r="Q191" t="s">
        <v>393</v>
      </c>
    </row>
    <row r="192" spans="5:17">
      <c r="E192" s="40" t="s">
        <v>189</v>
      </c>
      <c r="F192" s="49" t="s">
        <v>264</v>
      </c>
      <c r="G192" s="50">
        <v>13030279</v>
      </c>
      <c r="H192" t="s">
        <v>562</v>
      </c>
      <c r="K192" t="str">
        <f>_xlfn.CONCAT(Productos[[#This Row],[SAP_Productos]]," ",Productos[[#This Row],[Productos]])</f>
        <v>13030279 Masa Pre Pizza Ultra Delgada</v>
      </c>
      <c r="N192" t="s">
        <v>666</v>
      </c>
      <c r="O192">
        <v>76005927</v>
      </c>
      <c r="P192">
        <v>11001806</v>
      </c>
      <c r="Q192" t="s">
        <v>844</v>
      </c>
    </row>
    <row r="193" spans="5:17" hidden="1">
      <c r="E193" s="70" t="s">
        <v>189</v>
      </c>
      <c r="F193" s="51" t="s">
        <v>272</v>
      </c>
      <c r="G193" s="52">
        <v>13030280</v>
      </c>
      <c r="H193" t="s">
        <v>562</v>
      </c>
      <c r="K193" t="str">
        <f>_xlfn.CONCAT(Productos[[#This Row],[SAP_Productos]]," ",Productos[[#This Row],[Productos]])</f>
        <v>13030280 Pizza Pepperoni Acuenta</v>
      </c>
      <c r="N193" t="s">
        <v>666</v>
      </c>
      <c r="O193">
        <v>76005927</v>
      </c>
      <c r="P193">
        <v>11001814</v>
      </c>
      <c r="Q193" t="s">
        <v>668</v>
      </c>
    </row>
    <row r="194" spans="5:17" hidden="1">
      <c r="E194" s="40" t="s">
        <v>189</v>
      </c>
      <c r="F194" s="49" t="s">
        <v>279</v>
      </c>
      <c r="G194" s="38">
        <v>12001366</v>
      </c>
      <c r="H194" t="s">
        <v>562</v>
      </c>
      <c r="K194" t="str">
        <f>_xlfn.CONCAT(Productos[[#This Row],[SAP_Productos]]," ",Productos[[#This Row],[Productos]])</f>
        <v>12001366 Masa Pizza Ultra Delgada</v>
      </c>
      <c r="N194" t="s">
        <v>666</v>
      </c>
      <c r="O194">
        <v>76005927</v>
      </c>
      <c r="P194">
        <v>11001847</v>
      </c>
      <c r="Q194" t="s">
        <v>530</v>
      </c>
    </row>
    <row r="195" spans="5:17" hidden="1">
      <c r="E195" s="70" t="s">
        <v>189</v>
      </c>
      <c r="F195" s="151" t="s">
        <v>771</v>
      </c>
      <c r="G195" s="38">
        <v>13030094</v>
      </c>
      <c r="H195" t="s">
        <v>562</v>
      </c>
      <c r="K195" t="str">
        <f>_xlfn.CONCAT(Productos[[#This Row],[SAP_Productos]]," ",Productos[[#This Row],[Productos]])</f>
        <v>13030094 Pizza Vegetariana</v>
      </c>
      <c r="N195" t="s">
        <v>666</v>
      </c>
      <c r="O195">
        <v>76005927</v>
      </c>
      <c r="P195">
        <v>11001851</v>
      </c>
      <c r="Q195" t="s">
        <v>670</v>
      </c>
    </row>
    <row r="196" spans="5:17" hidden="1">
      <c r="E196" s="70" t="s">
        <v>189</v>
      </c>
      <c r="F196" s="151" t="s">
        <v>769</v>
      </c>
      <c r="G196" s="38">
        <v>13030092</v>
      </c>
      <c r="H196" t="s">
        <v>562</v>
      </c>
      <c r="K196" t="str">
        <f>_xlfn.CONCAT(Productos[[#This Row],[SAP_Productos]]," ",Productos[[#This Row],[Productos]])</f>
        <v>13030092 Pizza Pepperoni Lider</v>
      </c>
      <c r="N196" t="s">
        <v>666</v>
      </c>
      <c r="O196">
        <v>76005927</v>
      </c>
      <c r="P196">
        <v>11001885</v>
      </c>
      <c r="Q196" t="s">
        <v>675</v>
      </c>
    </row>
    <row r="197" spans="5:17" hidden="1">
      <c r="E197" s="70" t="s">
        <v>209</v>
      </c>
      <c r="F197" s="37" t="s">
        <v>99</v>
      </c>
      <c r="G197" s="38">
        <v>13001756</v>
      </c>
      <c r="H197" t="s">
        <v>562</v>
      </c>
      <c r="K197" t="str">
        <f>_xlfn.CONCAT(Productos[[#This Row],[SAP_Productos]]," ",Productos[[#This Row],[Productos]])</f>
        <v>13001756 Hallulla ATM Líder</v>
      </c>
      <c r="N197" t="s">
        <v>666</v>
      </c>
      <c r="O197">
        <v>76005927</v>
      </c>
      <c r="P197">
        <v>11001893</v>
      </c>
      <c r="Q197" t="s">
        <v>845</v>
      </c>
    </row>
    <row r="198" spans="5:17" hidden="1">
      <c r="E198" s="70" t="s">
        <v>209</v>
      </c>
      <c r="F198" s="39" t="s">
        <v>127</v>
      </c>
      <c r="G198" s="40">
        <v>13030317</v>
      </c>
      <c r="H198" t="s">
        <v>562</v>
      </c>
      <c r="K198" t="str">
        <f>_xlfn.CONCAT(Productos[[#This Row],[SAP_Productos]]," ",Productos[[#This Row],[Productos]])</f>
        <v>13030317 Hallulla ATM CM</v>
      </c>
      <c r="N198" t="s">
        <v>666</v>
      </c>
      <c r="O198">
        <v>76005927</v>
      </c>
      <c r="P198">
        <v>11001949</v>
      </c>
      <c r="Q198" t="s">
        <v>566</v>
      </c>
    </row>
    <row r="199" spans="5:17" hidden="1">
      <c r="E199" s="70" t="s">
        <v>209</v>
      </c>
      <c r="F199" s="37" t="s">
        <v>154</v>
      </c>
      <c r="G199" s="38">
        <v>13030471</v>
      </c>
      <c r="H199" t="s">
        <v>562</v>
      </c>
      <c r="K199" t="str">
        <f>_xlfn.CONCAT(Productos[[#This Row],[SAP_Productos]]," ",Productos[[#This Row],[Productos]])</f>
        <v>13030471 Dobladas ATM 9 UN</v>
      </c>
      <c r="N199" t="s">
        <v>666</v>
      </c>
      <c r="O199">
        <v>76005927</v>
      </c>
      <c r="P199">
        <v>11001950</v>
      </c>
      <c r="Q199" t="s">
        <v>570</v>
      </c>
    </row>
    <row r="200" spans="5:17" hidden="1">
      <c r="E200" s="70" t="s">
        <v>209</v>
      </c>
      <c r="F200" s="39" t="s">
        <v>179</v>
      </c>
      <c r="G200" s="40">
        <v>13030505</v>
      </c>
      <c r="H200" t="s">
        <v>562</v>
      </c>
      <c r="K200" t="str">
        <f>_xlfn.CONCAT(Productos[[#This Row],[SAP_Productos]]," ",Productos[[#This Row],[Productos]])</f>
        <v>13030505 Doblada ATM CM</v>
      </c>
      <c r="N200" t="s">
        <v>667</v>
      </c>
      <c r="O200">
        <v>94282000</v>
      </c>
      <c r="P200">
        <v>16000031</v>
      </c>
      <c r="Q200" t="s">
        <v>846</v>
      </c>
    </row>
    <row r="201" spans="5:17" hidden="1">
      <c r="E201" s="70" t="s">
        <v>209</v>
      </c>
      <c r="F201" s="37" t="s">
        <v>201</v>
      </c>
      <c r="G201" s="38">
        <v>13030488</v>
      </c>
      <c r="H201" t="s">
        <v>562</v>
      </c>
      <c r="K201" t="str">
        <f>_xlfn.CONCAT(Productos[[#This Row],[SAP_Productos]]," ",Productos[[#This Row],[Productos]])</f>
        <v>13030488 Pan Amasado ATM</v>
      </c>
      <c r="N201" t="s">
        <v>667</v>
      </c>
      <c r="O201">
        <v>94282000</v>
      </c>
      <c r="P201">
        <v>16000032</v>
      </c>
      <c r="Q201" t="s">
        <v>847</v>
      </c>
    </row>
    <row r="202" spans="5:17" hidden="1">
      <c r="E202" s="70" t="s">
        <v>209</v>
      </c>
      <c r="F202" s="39" t="s">
        <v>222</v>
      </c>
      <c r="G202" s="40">
        <v>13030504</v>
      </c>
      <c r="H202" t="s">
        <v>562</v>
      </c>
      <c r="K202" t="str">
        <f>_xlfn.CONCAT(Productos[[#This Row],[SAP_Productos]]," ",Productos[[#This Row],[Productos]])</f>
        <v>13030504 Amasado ATM CM</v>
      </c>
      <c r="N202" t="s">
        <v>669</v>
      </c>
      <c r="O202">
        <v>76016331</v>
      </c>
      <c r="P202">
        <v>10003480</v>
      </c>
      <c r="Q202" t="s">
        <v>493</v>
      </c>
    </row>
    <row r="203" spans="5:17" hidden="1">
      <c r="E203" s="70" t="s">
        <v>209</v>
      </c>
      <c r="F203" s="37" t="s">
        <v>97</v>
      </c>
      <c r="G203" s="38">
        <v>13030492</v>
      </c>
      <c r="H203" t="s">
        <v>562</v>
      </c>
      <c r="K203" t="str">
        <f>_xlfn.CONCAT(Productos[[#This Row],[SAP_Productos]]," ",Productos[[#This Row],[Productos]])</f>
        <v>13030492 Hallullita ATM</v>
      </c>
      <c r="N203" t="s">
        <v>671</v>
      </c>
      <c r="O203">
        <v>76443294</v>
      </c>
      <c r="P203">
        <v>10000591</v>
      </c>
      <c r="Q203" t="s">
        <v>155</v>
      </c>
    </row>
    <row r="204" spans="5:17" hidden="1">
      <c r="E204" s="70" t="s">
        <v>209</v>
      </c>
      <c r="F204" s="39" t="s">
        <v>126</v>
      </c>
      <c r="G204" s="40">
        <v>13030553</v>
      </c>
      <c r="H204" t="s">
        <v>562</v>
      </c>
      <c r="K204" t="str">
        <f>_xlfn.CONCAT(Productos[[#This Row],[SAP_Productos]]," ",Productos[[#This Row],[Productos]])</f>
        <v>13030553 Hallullita ATM Sampling</v>
      </c>
      <c r="N204" t="s">
        <v>672</v>
      </c>
      <c r="O204">
        <v>96518090</v>
      </c>
      <c r="P204">
        <v>10003028</v>
      </c>
      <c r="Q204" t="s">
        <v>848</v>
      </c>
    </row>
    <row r="205" spans="5:17" hidden="1">
      <c r="E205" s="70" t="s">
        <v>209</v>
      </c>
      <c r="F205" s="37" t="s">
        <v>153</v>
      </c>
      <c r="G205" s="38">
        <v>13030554</v>
      </c>
      <c r="H205" t="s">
        <v>562</v>
      </c>
      <c r="K205" t="str">
        <f>_xlfn.CONCAT(Productos[[#This Row],[SAP_Productos]]," ",Productos[[#This Row],[Productos]])</f>
        <v>13030554 Hallullita ATM 5 UN</v>
      </c>
      <c r="N205" t="s">
        <v>672</v>
      </c>
      <c r="O205">
        <v>96518090</v>
      </c>
      <c r="P205">
        <v>10003072</v>
      </c>
      <c r="Q205" t="s">
        <v>849</v>
      </c>
    </row>
    <row r="206" spans="5:17" hidden="1">
      <c r="E206" s="70" t="s">
        <v>209</v>
      </c>
      <c r="F206" s="39" t="s">
        <v>178</v>
      </c>
      <c r="G206" s="40">
        <v>13030506</v>
      </c>
      <c r="H206" t="s">
        <v>562</v>
      </c>
      <c r="K206" t="str">
        <f>_xlfn.CONCAT(Productos[[#This Row],[SAP_Productos]]," ",Productos[[#This Row],[Productos]])</f>
        <v>13030506 Hallullitas ATM CM</v>
      </c>
      <c r="N206" t="s">
        <v>672</v>
      </c>
      <c r="O206">
        <v>96518090</v>
      </c>
      <c r="P206">
        <v>10003107</v>
      </c>
      <c r="Q206" t="s">
        <v>850</v>
      </c>
    </row>
    <row r="207" spans="5:17" hidden="1">
      <c r="E207" s="70" t="s">
        <v>209</v>
      </c>
      <c r="F207" s="37" t="s">
        <v>200</v>
      </c>
      <c r="G207" s="38">
        <v>13030428</v>
      </c>
      <c r="H207" t="s">
        <v>563</v>
      </c>
      <c r="K207" t="str">
        <f>_xlfn.CONCAT(Productos[[#This Row],[SAP_Productos]]," ",Productos[[#This Row],[Productos]])</f>
        <v>13030428 Marraqueta ATM Lider</v>
      </c>
      <c r="N207" t="s">
        <v>672</v>
      </c>
      <c r="O207">
        <v>96518090</v>
      </c>
      <c r="P207">
        <v>10003115</v>
      </c>
      <c r="Q207" t="s">
        <v>851</v>
      </c>
    </row>
    <row r="208" spans="5:17" hidden="1">
      <c r="E208" s="70" t="s">
        <v>209</v>
      </c>
      <c r="F208" s="39" t="s">
        <v>221</v>
      </c>
      <c r="G208" s="40">
        <v>13030431</v>
      </c>
      <c r="H208" t="s">
        <v>563</v>
      </c>
      <c r="K208" t="str">
        <f>_xlfn.CONCAT(Productos[[#This Row],[SAP_Productos]]," ",Productos[[#This Row],[Productos]])</f>
        <v>13030431 Marraqueta ATM CM</v>
      </c>
      <c r="N208" t="s">
        <v>674</v>
      </c>
      <c r="O208">
        <v>76060397</v>
      </c>
      <c r="P208">
        <v>10000205</v>
      </c>
      <c r="Q208" t="s">
        <v>852</v>
      </c>
    </row>
    <row r="209" spans="5:17" hidden="1">
      <c r="E209" s="70" t="s">
        <v>628</v>
      </c>
      <c r="F209" s="39" t="s">
        <v>91</v>
      </c>
      <c r="G209" s="40">
        <v>13000011</v>
      </c>
      <c r="H209" t="s">
        <v>563</v>
      </c>
      <c r="K209" t="str">
        <f>_xlfn.CONCAT(Productos[[#This Row],[SAP_Productos]]," ",Productos[[#This Row],[Productos]])</f>
        <v>13000011 Empanada Horno Seleccion</v>
      </c>
      <c r="N209" t="s">
        <v>674</v>
      </c>
      <c r="O209">
        <v>76060397</v>
      </c>
      <c r="P209">
        <v>10001122</v>
      </c>
      <c r="Q209" t="s">
        <v>478</v>
      </c>
    </row>
    <row r="210" spans="5:17" hidden="1">
      <c r="E210" s="70" t="s">
        <v>628</v>
      </c>
      <c r="F210" s="39" t="s">
        <v>120</v>
      </c>
      <c r="G210" s="40">
        <v>13000012</v>
      </c>
      <c r="H210" t="s">
        <v>563</v>
      </c>
      <c r="K210" t="str">
        <f>_xlfn.CONCAT(Productos[[#This Row],[SAP_Productos]]," ",Productos[[#This Row],[Productos]])</f>
        <v>13000012 Empanada Horno Mediana</v>
      </c>
      <c r="N210" t="s">
        <v>674</v>
      </c>
      <c r="O210">
        <v>76060397</v>
      </c>
      <c r="P210">
        <v>10002522</v>
      </c>
      <c r="Q210" t="s">
        <v>476</v>
      </c>
    </row>
    <row r="211" spans="5:17" hidden="1">
      <c r="E211" s="70" t="s">
        <v>628</v>
      </c>
      <c r="F211" s="39" t="s">
        <v>147</v>
      </c>
      <c r="G211" s="40">
        <v>13000013</v>
      </c>
      <c r="H211" t="s">
        <v>563</v>
      </c>
      <c r="K211" t="str">
        <f>_xlfn.CONCAT(Productos[[#This Row],[SAP_Productos]]," ",Productos[[#This Row],[Productos]])</f>
        <v>13000013 Chaparrita Salchicha Queso</v>
      </c>
      <c r="N211" t="s">
        <v>674</v>
      </c>
      <c r="O211">
        <v>76060397</v>
      </c>
      <c r="P211">
        <v>10003166</v>
      </c>
      <c r="Q211" t="s">
        <v>477</v>
      </c>
    </row>
    <row r="212" spans="5:17" hidden="1">
      <c r="E212" s="70" t="s">
        <v>628</v>
      </c>
      <c r="F212" s="39" t="s">
        <v>172</v>
      </c>
      <c r="G212" s="40">
        <v>13000751</v>
      </c>
      <c r="H212" t="s">
        <v>563</v>
      </c>
      <c r="K212" t="str">
        <f>_xlfn.CONCAT(Productos[[#This Row],[SAP_Productos]]," ",Productos[[#This Row],[Productos]])</f>
        <v>13000751 Pack Horno Mediana 2 un. Ekono</v>
      </c>
      <c r="N212" t="s">
        <v>676</v>
      </c>
      <c r="O212">
        <v>96665460</v>
      </c>
      <c r="P212">
        <v>10003874</v>
      </c>
      <c r="Q212" t="s">
        <v>491</v>
      </c>
    </row>
    <row r="213" spans="5:17" hidden="1">
      <c r="E213" s="70" t="s">
        <v>628</v>
      </c>
      <c r="F213" s="39" t="s">
        <v>194</v>
      </c>
      <c r="G213" s="40">
        <v>13001720</v>
      </c>
      <c r="H213" t="s">
        <v>563</v>
      </c>
      <c r="K213" t="str">
        <f>_xlfn.CONCAT(Productos[[#This Row],[SAP_Productos]]," ",Productos[[#This Row],[Productos]])</f>
        <v>13001720 Empanada Coctel Carne Mayorista</v>
      </c>
      <c r="N213" t="s">
        <v>676</v>
      </c>
      <c r="O213">
        <v>96665460</v>
      </c>
      <c r="P213">
        <v>10004363</v>
      </c>
      <c r="Q213" t="s">
        <v>853</v>
      </c>
    </row>
    <row r="214" spans="5:17" hidden="1">
      <c r="E214" s="70" t="s">
        <v>628</v>
      </c>
      <c r="F214" s="39" t="s">
        <v>216</v>
      </c>
      <c r="G214" s="40">
        <v>13001721</v>
      </c>
      <c r="H214" t="s">
        <v>563</v>
      </c>
      <c r="K214" t="str">
        <f>_xlfn.CONCAT(Productos[[#This Row],[SAP_Productos]]," ",Productos[[#This Row],[Productos]])</f>
        <v>13001721 Empanada Coctel Pollo Mayorista</v>
      </c>
      <c r="N214" t="s">
        <v>679</v>
      </c>
      <c r="O214">
        <v>76830041</v>
      </c>
      <c r="P214">
        <v>11001559</v>
      </c>
      <c r="Q214" t="s">
        <v>686</v>
      </c>
    </row>
    <row r="215" spans="5:17" hidden="1">
      <c r="E215" s="70" t="s">
        <v>628</v>
      </c>
      <c r="F215" s="39" t="s">
        <v>236</v>
      </c>
      <c r="G215" s="40">
        <v>13001723</v>
      </c>
      <c r="H215" t="s">
        <v>563</v>
      </c>
      <c r="K215" t="str">
        <f>_xlfn.CONCAT(Productos[[#This Row],[SAP_Productos]]," ",Productos[[#This Row],[Productos]])</f>
        <v>13001723 Chaparrita Salchicha Queso Mayorista</v>
      </c>
      <c r="N215" t="s">
        <v>679</v>
      </c>
      <c r="O215">
        <v>76830041</v>
      </c>
      <c r="P215">
        <v>11001712</v>
      </c>
      <c r="Q215" t="s">
        <v>688</v>
      </c>
    </row>
    <row r="216" spans="5:17" hidden="1">
      <c r="E216" s="70" t="s">
        <v>628</v>
      </c>
      <c r="F216" s="39" t="s">
        <v>252</v>
      </c>
      <c r="G216" s="40">
        <v>13001807</v>
      </c>
      <c r="H216" t="s">
        <v>563</v>
      </c>
      <c r="K216" t="str">
        <f>_xlfn.CONCAT(Productos[[#This Row],[SAP_Productos]]," ",Productos[[#This Row],[Productos]])</f>
        <v>13001807 Empanada Horno Mediana Mayorista</v>
      </c>
      <c r="N216" t="s">
        <v>681</v>
      </c>
      <c r="O216">
        <v>96506730</v>
      </c>
      <c r="P216">
        <v>10002413</v>
      </c>
      <c r="Q216" t="s">
        <v>484</v>
      </c>
    </row>
    <row r="217" spans="5:17" hidden="1">
      <c r="E217" s="70" t="s">
        <v>628</v>
      </c>
      <c r="F217" s="39" t="s">
        <v>263</v>
      </c>
      <c r="G217" s="40">
        <v>13030282</v>
      </c>
      <c r="H217" t="s">
        <v>563</v>
      </c>
      <c r="K217" t="str">
        <f>_xlfn.CONCAT(Productos[[#This Row],[SAP_Productos]]," ",Productos[[#This Row],[Productos]])</f>
        <v>13030282 Pack Empanada Coctel Jamón Queso 10 un.</v>
      </c>
      <c r="N217" t="s">
        <v>681</v>
      </c>
      <c r="O217">
        <v>96506730</v>
      </c>
      <c r="P217">
        <v>10004100</v>
      </c>
      <c r="Q217" t="s">
        <v>854</v>
      </c>
    </row>
    <row r="218" spans="5:17" hidden="1">
      <c r="E218" s="70" t="s">
        <v>628</v>
      </c>
      <c r="F218" s="39" t="s">
        <v>271</v>
      </c>
      <c r="G218" s="40">
        <v>13030283</v>
      </c>
      <c r="H218" t="s">
        <v>563</v>
      </c>
      <c r="K218" t="str">
        <f>_xlfn.CONCAT(Productos[[#This Row],[SAP_Productos]]," ",Productos[[#This Row],[Productos]])</f>
        <v>13030283 Pack Empanada Hoja Pino 2 un.</v>
      </c>
      <c r="N218" t="s">
        <v>681</v>
      </c>
      <c r="O218">
        <v>96506730</v>
      </c>
      <c r="P218">
        <v>10004101</v>
      </c>
      <c r="Q218" t="s">
        <v>379</v>
      </c>
    </row>
    <row r="219" spans="5:17" hidden="1">
      <c r="E219" s="70" t="s">
        <v>628</v>
      </c>
      <c r="F219" s="39" t="s">
        <v>278</v>
      </c>
      <c r="G219" s="40">
        <v>13030284</v>
      </c>
      <c r="H219" t="s">
        <v>563</v>
      </c>
      <c r="K219" t="str">
        <f>_xlfn.CONCAT(Productos[[#This Row],[SAP_Productos]]," ",Productos[[#This Row],[Productos]])</f>
        <v>13030284 Pack Empanada Hoja Jamón Queso 2 Und.</v>
      </c>
      <c r="N219" t="s">
        <v>681</v>
      </c>
      <c r="O219">
        <v>96506730</v>
      </c>
      <c r="P219">
        <v>10004233</v>
      </c>
      <c r="Q219" t="s">
        <v>855</v>
      </c>
    </row>
    <row r="220" spans="5:17">
      <c r="E220" s="70" t="s">
        <v>628</v>
      </c>
      <c r="F220" s="39" t="s">
        <v>284</v>
      </c>
      <c r="G220" s="40">
        <v>13030285</v>
      </c>
      <c r="H220" t="s">
        <v>563</v>
      </c>
      <c r="K220" t="str">
        <f>_xlfn.CONCAT(Productos[[#This Row],[SAP_Productos]]," ",Productos[[#This Row],[Productos]])</f>
        <v>13030285 Empanada Horno Suprema Rf</v>
      </c>
      <c r="N220" t="s">
        <v>681</v>
      </c>
      <c r="O220">
        <v>96506730</v>
      </c>
      <c r="P220">
        <v>10004323</v>
      </c>
      <c r="Q220" t="s">
        <v>856</v>
      </c>
    </row>
    <row r="221" spans="5:17" hidden="1">
      <c r="E221" s="70" t="s">
        <v>628</v>
      </c>
      <c r="F221" s="39" t="s">
        <v>288</v>
      </c>
      <c r="G221" s="40">
        <v>13030286</v>
      </c>
      <c r="H221" t="s">
        <v>563</v>
      </c>
      <c r="K221" t="str">
        <f>_xlfn.CONCAT(Productos[[#This Row],[SAP_Productos]]," ",Productos[[#This Row],[Productos]])</f>
        <v>13030286 Empanada Horno Mediana Rf</v>
      </c>
      <c r="N221" t="s">
        <v>681</v>
      </c>
      <c r="O221">
        <v>96506730</v>
      </c>
      <c r="P221">
        <v>10004343</v>
      </c>
      <c r="Q221" t="s">
        <v>857</v>
      </c>
    </row>
    <row r="222" spans="5:17" hidden="1">
      <c r="E222" s="70" t="s">
        <v>628</v>
      </c>
      <c r="F222" s="39" t="s">
        <v>291</v>
      </c>
      <c r="G222" s="40">
        <v>13030336</v>
      </c>
      <c r="H222" t="s">
        <v>563</v>
      </c>
      <c r="K222" t="str">
        <f>_xlfn.CONCAT(Productos[[#This Row],[SAP_Productos]]," ",Productos[[#This Row],[Productos]])</f>
        <v>13030336 Pack Empanada Coctel Aceituna Queso</v>
      </c>
      <c r="N222" t="s">
        <v>681</v>
      </c>
      <c r="O222">
        <v>96506730</v>
      </c>
      <c r="P222">
        <v>10004359</v>
      </c>
      <c r="Q222" t="s">
        <v>858</v>
      </c>
    </row>
    <row r="223" spans="5:17" hidden="1">
      <c r="E223" s="70" t="s">
        <v>628</v>
      </c>
      <c r="F223" s="39" t="s">
        <v>120</v>
      </c>
      <c r="G223" s="40">
        <v>12000401</v>
      </c>
      <c r="H223" t="s">
        <v>563</v>
      </c>
      <c r="K223" t="str">
        <f>_xlfn.CONCAT(Productos[[#This Row],[SAP_Productos]]," ",Productos[[#This Row],[Productos]])</f>
        <v>12000401 Empanada Horno Mediana</v>
      </c>
      <c r="N223" t="s">
        <v>682</v>
      </c>
      <c r="O223">
        <v>76090492</v>
      </c>
      <c r="P223">
        <v>10001101</v>
      </c>
      <c r="Q223" t="s">
        <v>859</v>
      </c>
    </row>
    <row r="224" spans="5:17" hidden="1">
      <c r="E224" s="70" t="s">
        <v>628</v>
      </c>
      <c r="F224" s="39" t="s">
        <v>147</v>
      </c>
      <c r="G224" s="40">
        <v>12000406</v>
      </c>
      <c r="H224" t="s">
        <v>563</v>
      </c>
      <c r="K224" t="str">
        <f>_xlfn.CONCAT(Productos[[#This Row],[SAP_Productos]]," ",Productos[[#This Row],[Productos]])</f>
        <v>12000406 Chaparrita Salchicha Queso</v>
      </c>
      <c r="N224" t="s">
        <v>682</v>
      </c>
      <c r="O224">
        <v>76090492</v>
      </c>
      <c r="P224">
        <v>10004283</v>
      </c>
      <c r="Q224" t="s">
        <v>860</v>
      </c>
    </row>
    <row r="225" spans="5:17" hidden="1">
      <c r="E225" s="70" t="s">
        <v>628</v>
      </c>
      <c r="F225" s="39" t="s">
        <v>302</v>
      </c>
      <c r="G225" s="40">
        <v>12000408</v>
      </c>
      <c r="H225" t="s">
        <v>563</v>
      </c>
      <c r="K225" t="str">
        <f>_xlfn.CONCAT(Productos[[#This Row],[SAP_Productos]]," ",Productos[[#This Row],[Productos]])</f>
        <v>12000408 Empanada Coctel Pollo</v>
      </c>
      <c r="N225" t="s">
        <v>683</v>
      </c>
      <c r="O225">
        <v>96565810</v>
      </c>
      <c r="P225">
        <v>11000060</v>
      </c>
      <c r="Q225" t="s">
        <v>861</v>
      </c>
    </row>
    <row r="226" spans="5:17" hidden="1">
      <c r="E226" s="70" t="s">
        <v>628</v>
      </c>
      <c r="F226" s="39" t="s">
        <v>306</v>
      </c>
      <c r="G226" s="40">
        <v>13030541</v>
      </c>
      <c r="H226" t="s">
        <v>563</v>
      </c>
      <c r="K226" t="str">
        <f>_xlfn.CONCAT(Productos[[#This Row],[SAP_Productos]]," ",Productos[[#This Row],[Productos]])</f>
        <v>13030541 Chaparrita Casino</v>
      </c>
      <c r="N226" t="s">
        <v>684</v>
      </c>
      <c r="O226">
        <v>77248660</v>
      </c>
      <c r="P226">
        <v>11000063</v>
      </c>
      <c r="Q226" t="s">
        <v>495</v>
      </c>
    </row>
    <row r="227" spans="5:17" hidden="1">
      <c r="E227" s="70" t="s">
        <v>628</v>
      </c>
      <c r="F227" s="39" t="s">
        <v>312</v>
      </c>
      <c r="G227" s="40">
        <v>13030542</v>
      </c>
      <c r="H227" t="s">
        <v>563</v>
      </c>
      <c r="K227" t="str">
        <f>_xlfn.CONCAT(Productos[[#This Row],[SAP_Productos]]," ",Productos[[#This Row],[Productos]])</f>
        <v>13030542 Empanada Coctel Pollo Congelada Casino</v>
      </c>
      <c r="N227" t="s">
        <v>685</v>
      </c>
      <c r="O227">
        <v>76150343</v>
      </c>
      <c r="P227">
        <v>10003882</v>
      </c>
      <c r="Q227" t="s">
        <v>862</v>
      </c>
    </row>
    <row r="228" spans="5:17" hidden="1">
      <c r="E228" s="70" t="s">
        <v>628</v>
      </c>
      <c r="F228" s="39" t="s">
        <v>317</v>
      </c>
      <c r="G228" s="40">
        <v>13000463</v>
      </c>
      <c r="H228" t="s">
        <v>563</v>
      </c>
      <c r="K228" t="str">
        <f>_xlfn.CONCAT(Productos[[#This Row],[SAP_Productos]]," ",Productos[[#This Row],[Productos]])</f>
        <v>13000463 Pack Empanada Horno Mediana 2 un.</v>
      </c>
      <c r="N228" t="s">
        <v>685</v>
      </c>
      <c r="O228">
        <v>76150343</v>
      </c>
      <c r="P228">
        <v>11001484</v>
      </c>
      <c r="Q228" t="s">
        <v>863</v>
      </c>
    </row>
    <row r="229" spans="5:17" hidden="1">
      <c r="E229" s="70" t="s">
        <v>628</v>
      </c>
      <c r="F229" s="39" t="s">
        <v>321</v>
      </c>
      <c r="G229" s="40">
        <v>13000464</v>
      </c>
      <c r="H229" t="s">
        <v>563</v>
      </c>
      <c r="K229" t="str">
        <f>_xlfn.CONCAT(Productos[[#This Row],[SAP_Productos]]," ",Productos[[#This Row],[Productos]])</f>
        <v>13000464 Pack Empanada Hoja Queso 2 un.</v>
      </c>
      <c r="N229" t="s">
        <v>685</v>
      </c>
      <c r="O229">
        <v>76150343</v>
      </c>
      <c r="P229">
        <v>11001486</v>
      </c>
      <c r="Q229" t="s">
        <v>864</v>
      </c>
    </row>
    <row r="230" spans="5:17" hidden="1">
      <c r="E230" s="70" t="s">
        <v>628</v>
      </c>
      <c r="F230" s="39" t="s">
        <v>324</v>
      </c>
      <c r="G230" s="40">
        <v>13000469</v>
      </c>
      <c r="H230" t="s">
        <v>563</v>
      </c>
      <c r="K230" t="str">
        <f>_xlfn.CONCAT(Productos[[#This Row],[SAP_Productos]]," ",Productos[[#This Row],[Productos]])</f>
        <v>13000469 Pack Empanada Coctel Carne 10 un</v>
      </c>
      <c r="N230" t="s">
        <v>685</v>
      </c>
      <c r="O230">
        <v>76150343</v>
      </c>
      <c r="P230">
        <v>11001536</v>
      </c>
      <c r="Q230" t="s">
        <v>865</v>
      </c>
    </row>
    <row r="231" spans="5:17" hidden="1">
      <c r="E231" s="70" t="s">
        <v>628</v>
      </c>
      <c r="F231" s="39" t="s">
        <v>327</v>
      </c>
      <c r="G231" s="40">
        <v>13000470</v>
      </c>
      <c r="H231" t="s">
        <v>563</v>
      </c>
      <c r="K231" t="str">
        <f>_xlfn.CONCAT(Productos[[#This Row],[SAP_Productos]]," ",Productos[[#This Row],[Productos]])</f>
        <v>13000470 Pack Empanada Coctel Pollo 10 un.</v>
      </c>
      <c r="N231" t="s">
        <v>685</v>
      </c>
      <c r="O231">
        <v>76150343</v>
      </c>
      <c r="P231">
        <v>11001810</v>
      </c>
      <c r="Q231" t="s">
        <v>866</v>
      </c>
    </row>
    <row r="232" spans="5:17" hidden="1">
      <c r="E232" s="70" t="s">
        <v>628</v>
      </c>
      <c r="F232" s="39" t="s">
        <v>331</v>
      </c>
      <c r="G232" s="40">
        <v>13000471</v>
      </c>
      <c r="H232" t="s">
        <v>563</v>
      </c>
      <c r="K232" t="str">
        <f>_xlfn.CONCAT(Productos[[#This Row],[SAP_Productos]]," ",Productos[[#This Row],[Productos]])</f>
        <v>13000471 Pack Empanada Coctel Queso 12 un</v>
      </c>
      <c r="N232" t="s">
        <v>687</v>
      </c>
      <c r="O232">
        <v>76072989</v>
      </c>
      <c r="P232">
        <v>10003293</v>
      </c>
      <c r="Q232" t="s">
        <v>499</v>
      </c>
    </row>
    <row r="233" spans="5:17" hidden="1">
      <c r="E233" s="70" t="s">
        <v>628</v>
      </c>
      <c r="F233" s="39" t="s">
        <v>335</v>
      </c>
      <c r="G233" s="40">
        <v>12000170</v>
      </c>
      <c r="H233" t="s">
        <v>563</v>
      </c>
      <c r="K233" t="str">
        <f>_xlfn.CONCAT(Productos[[#This Row],[SAP_Productos]]," ",Productos[[#This Row],[Productos]])</f>
        <v>12000170 Mezcla Queso Maquina Empanadas</v>
      </c>
      <c r="N233" t="s">
        <v>687</v>
      </c>
      <c r="O233">
        <v>76072989</v>
      </c>
      <c r="P233">
        <v>10003294</v>
      </c>
      <c r="Q233" t="s">
        <v>501</v>
      </c>
    </row>
    <row r="234" spans="5:17" hidden="1">
      <c r="E234" s="70" t="s">
        <v>628</v>
      </c>
      <c r="F234" s="39" t="s">
        <v>338</v>
      </c>
      <c r="G234" s="40">
        <v>12000095</v>
      </c>
      <c r="H234" t="s">
        <v>563</v>
      </c>
      <c r="K234" t="str">
        <f>_xlfn.CONCAT(Productos[[#This Row],[SAP_Productos]]," ",Productos[[#This Row],[Productos]])</f>
        <v>12000095 Cóctel queso aceituna</v>
      </c>
      <c r="N234" t="s">
        <v>687</v>
      </c>
      <c r="O234">
        <v>76072989</v>
      </c>
      <c r="P234">
        <v>10004121</v>
      </c>
      <c r="Q234" t="s">
        <v>867</v>
      </c>
    </row>
    <row r="235" spans="5:17" hidden="1">
      <c r="E235" s="70" t="s">
        <v>628</v>
      </c>
      <c r="F235" s="39" t="s">
        <v>341</v>
      </c>
      <c r="G235" s="40">
        <v>12000402</v>
      </c>
      <c r="H235" t="s">
        <v>563</v>
      </c>
      <c r="K235" t="str">
        <f>_xlfn.CONCAT(Productos[[#This Row],[SAP_Productos]]," ",Productos[[#This Row],[Productos]])</f>
        <v>12000402 Empanada Hoja Queso</v>
      </c>
      <c r="N235" t="s">
        <v>689</v>
      </c>
      <c r="O235">
        <v>78901250</v>
      </c>
      <c r="P235">
        <v>10000390</v>
      </c>
      <c r="Q235" t="s">
        <v>631</v>
      </c>
    </row>
    <row r="236" spans="5:17" hidden="1">
      <c r="E236" s="70" t="s">
        <v>628</v>
      </c>
      <c r="F236" s="39" t="s">
        <v>344</v>
      </c>
      <c r="G236" s="40">
        <v>12000407</v>
      </c>
      <c r="H236" t="s">
        <v>563</v>
      </c>
      <c r="K236" t="str">
        <f>_xlfn.CONCAT(Productos[[#This Row],[SAP_Productos]]," ",Productos[[#This Row],[Productos]])</f>
        <v>12000407 Empanada Coctel Carne</v>
      </c>
      <c r="N236" t="s">
        <v>689</v>
      </c>
      <c r="O236">
        <v>78901250</v>
      </c>
      <c r="P236">
        <v>10003026</v>
      </c>
      <c r="Q236" t="s">
        <v>868</v>
      </c>
    </row>
    <row r="237" spans="5:17" hidden="1">
      <c r="E237" s="70" t="s">
        <v>628</v>
      </c>
      <c r="F237" s="39" t="s">
        <v>347</v>
      </c>
      <c r="G237" s="40">
        <v>12000409</v>
      </c>
      <c r="H237" t="s">
        <v>563</v>
      </c>
      <c r="K237" t="str">
        <f>_xlfn.CONCAT(Productos[[#This Row],[SAP_Productos]]," ",Productos[[#This Row],[Productos]])</f>
        <v>12000409 Empanada Coctel Queso</v>
      </c>
      <c r="N237" t="s">
        <v>689</v>
      </c>
      <c r="O237">
        <v>78901250</v>
      </c>
      <c r="P237">
        <v>10003028</v>
      </c>
      <c r="Q237" t="s">
        <v>848</v>
      </c>
    </row>
    <row r="238" spans="5:17" hidden="1">
      <c r="E238" s="70" t="s">
        <v>628</v>
      </c>
      <c r="F238" s="39" t="s">
        <v>351</v>
      </c>
      <c r="G238" s="40">
        <v>12001365</v>
      </c>
      <c r="H238" t="s">
        <v>563</v>
      </c>
      <c r="K238" t="str">
        <f>_xlfn.CONCAT(Productos[[#This Row],[SAP_Productos]]," ",Productos[[#This Row],[Productos]])</f>
        <v>12001365 Coctel Jamón Queso</v>
      </c>
      <c r="N238" t="s">
        <v>689</v>
      </c>
      <c r="O238">
        <v>78901250</v>
      </c>
      <c r="P238">
        <v>10003036</v>
      </c>
      <c r="Q238" t="s">
        <v>869</v>
      </c>
    </row>
    <row r="239" spans="5:17" hidden="1">
      <c r="E239" s="70" t="s">
        <v>628</v>
      </c>
      <c r="F239" s="39" t="s">
        <v>355</v>
      </c>
      <c r="G239" s="40">
        <v>12001367</v>
      </c>
      <c r="H239" t="s">
        <v>563</v>
      </c>
      <c r="K239" t="str">
        <f>_xlfn.CONCAT(Productos[[#This Row],[SAP_Productos]]," ",Productos[[#This Row],[Productos]])</f>
        <v>12001367 Empanada Hoja Jamón Queso</v>
      </c>
      <c r="N239" t="s">
        <v>689</v>
      </c>
      <c r="O239">
        <v>78901250</v>
      </c>
      <c r="P239">
        <v>10003055</v>
      </c>
      <c r="Q239" t="s">
        <v>870</v>
      </c>
    </row>
    <row r="240" spans="5:17" hidden="1">
      <c r="E240" s="70" t="s">
        <v>628</v>
      </c>
      <c r="F240" s="39" t="s">
        <v>359</v>
      </c>
      <c r="G240" s="40">
        <v>12001368</v>
      </c>
      <c r="H240" t="s">
        <v>563</v>
      </c>
      <c r="K240" t="str">
        <f>_xlfn.CONCAT(Productos[[#This Row],[SAP_Productos]]," ",Productos[[#This Row],[Productos]])</f>
        <v>12001368 Empanada Hoja Pino</v>
      </c>
      <c r="N240" t="s">
        <v>689</v>
      </c>
      <c r="O240">
        <v>78901250</v>
      </c>
      <c r="P240">
        <v>10003070</v>
      </c>
      <c r="Q240" t="s">
        <v>871</v>
      </c>
    </row>
    <row r="241" spans="5:17">
      <c r="E241" s="70" t="s">
        <v>628</v>
      </c>
      <c r="F241" s="39" t="s">
        <v>362</v>
      </c>
      <c r="G241" s="40">
        <v>12001369</v>
      </c>
      <c r="H241" t="s">
        <v>563</v>
      </c>
      <c r="K241" t="str">
        <f>_xlfn.CONCAT(Productos[[#This Row],[SAP_Productos]]," ",Productos[[#This Row],[Productos]])</f>
        <v>12001369 Empanada Horno Suprema</v>
      </c>
      <c r="N241" t="s">
        <v>689</v>
      </c>
      <c r="O241">
        <v>78901250</v>
      </c>
      <c r="P241">
        <v>10003105</v>
      </c>
      <c r="Q241" t="s">
        <v>872</v>
      </c>
    </row>
    <row r="242" spans="5:17" hidden="1">
      <c r="E242" s="70" t="s">
        <v>628</v>
      </c>
      <c r="F242" s="39" t="s">
        <v>95</v>
      </c>
      <c r="G242" s="40">
        <v>12001398</v>
      </c>
      <c r="H242" t="s">
        <v>563</v>
      </c>
      <c r="K242" t="str">
        <f>_xlfn.CONCAT(Productos[[#This Row],[SAP_Productos]]," ",Productos[[#This Row],[Productos]])</f>
        <v>12001398 Semi Elaborado Doblada</v>
      </c>
      <c r="N242" t="s">
        <v>689</v>
      </c>
      <c r="O242">
        <v>78901250</v>
      </c>
      <c r="P242">
        <v>10003107</v>
      </c>
      <c r="Q242" t="s">
        <v>850</v>
      </c>
    </row>
    <row r="243" spans="5:17" hidden="1">
      <c r="E243" s="70" t="s">
        <v>628</v>
      </c>
      <c r="F243" s="39" t="s">
        <v>124</v>
      </c>
      <c r="G243" s="40">
        <v>13001004</v>
      </c>
      <c r="H243" t="s">
        <v>563</v>
      </c>
      <c r="K243" t="str">
        <f>_xlfn.CONCAT(Productos[[#This Row],[SAP_Productos]]," ",Productos[[#This Row],[Productos]])</f>
        <v>13001004 Dobladas</v>
      </c>
      <c r="N243" t="s">
        <v>689</v>
      </c>
      <c r="O243">
        <v>78901250</v>
      </c>
      <c r="P243">
        <v>10003113</v>
      </c>
      <c r="Q243" t="s">
        <v>873</v>
      </c>
    </row>
    <row r="244" spans="5:17" hidden="1">
      <c r="E244" s="70" t="s">
        <v>628</v>
      </c>
      <c r="F244" s="39" t="s">
        <v>151</v>
      </c>
      <c r="G244" s="40">
        <v>13030199</v>
      </c>
      <c r="H244" t="s">
        <v>563</v>
      </c>
      <c r="K244" t="str">
        <f>_xlfn.CONCAT(Productos[[#This Row],[SAP_Productos]]," ",Productos[[#This Row],[Productos]])</f>
        <v>13030199 Dobladas (Ekono)</v>
      </c>
      <c r="N244" t="s">
        <v>689</v>
      </c>
      <c r="O244">
        <v>78901250</v>
      </c>
      <c r="P244">
        <v>10003115</v>
      </c>
      <c r="Q244" t="s">
        <v>851</v>
      </c>
    </row>
    <row r="245" spans="5:17" hidden="1">
      <c r="E245" s="70" t="s">
        <v>628</v>
      </c>
      <c r="F245" s="39" t="s">
        <v>176</v>
      </c>
      <c r="G245" s="40">
        <v>13030406</v>
      </c>
      <c r="H245" t="s">
        <v>563</v>
      </c>
      <c r="K245" t="str">
        <f>_xlfn.CONCAT(Productos[[#This Row],[SAP_Productos]]," ",Productos[[#This Row],[Productos]])</f>
        <v>13030406 Dobladas Ekono (B)</v>
      </c>
      <c r="N245" t="s">
        <v>689</v>
      </c>
      <c r="O245">
        <v>78901250</v>
      </c>
      <c r="P245">
        <v>10003119</v>
      </c>
      <c r="Q245" t="s">
        <v>874</v>
      </c>
    </row>
    <row r="246" spans="5:17" hidden="1">
      <c r="E246" s="70" t="s">
        <v>628</v>
      </c>
      <c r="F246" s="39" t="s">
        <v>198</v>
      </c>
      <c r="G246" s="40">
        <v>12001376</v>
      </c>
      <c r="H246" t="s">
        <v>563</v>
      </c>
      <c r="K246" t="str">
        <f>_xlfn.CONCAT(Productos[[#This Row],[SAP_Productos]]," ",Productos[[#This Row],[Productos]])</f>
        <v>12001376 Merma masa Dobladas</v>
      </c>
      <c r="N246" t="s">
        <v>689</v>
      </c>
      <c r="O246">
        <v>78901250</v>
      </c>
      <c r="P246">
        <v>10003121</v>
      </c>
      <c r="Q246" t="s">
        <v>875</v>
      </c>
    </row>
    <row r="247" spans="5:17" hidden="1">
      <c r="E247" s="70" t="s">
        <v>628</v>
      </c>
      <c r="F247" s="39" t="s">
        <v>92</v>
      </c>
      <c r="G247" s="40">
        <v>13030409</v>
      </c>
      <c r="H247" t="s">
        <v>563</v>
      </c>
      <c r="K247" t="str">
        <f>_xlfn.CONCAT(Productos[[#This Row],[SAP_Productos]]," ",Productos[[#This Row],[Productos]])</f>
        <v>13030409 Pizza Salame</v>
      </c>
      <c r="N247" t="s">
        <v>690</v>
      </c>
      <c r="O247">
        <v>76541630</v>
      </c>
      <c r="P247">
        <v>10000105</v>
      </c>
      <c r="Q247" t="s">
        <v>512</v>
      </c>
    </row>
    <row r="248" spans="5:17" hidden="1">
      <c r="E248" s="70" t="s">
        <v>628</v>
      </c>
      <c r="F248" s="39" t="s">
        <v>121</v>
      </c>
      <c r="G248" s="40">
        <v>13030435</v>
      </c>
      <c r="H248" t="s">
        <v>563</v>
      </c>
      <c r="K248" t="str">
        <f>_xlfn.CONCAT(Productos[[#This Row],[SAP_Productos]]," ",Productos[[#This Row],[Productos]])</f>
        <v>13030435 Pizza Casino Napolitana</v>
      </c>
      <c r="N248" t="s">
        <v>690</v>
      </c>
      <c r="O248">
        <v>76541630</v>
      </c>
      <c r="P248">
        <v>10004227</v>
      </c>
      <c r="Q248" t="s">
        <v>876</v>
      </c>
    </row>
    <row r="249" spans="5:17" hidden="1">
      <c r="E249" s="70" t="s">
        <v>628</v>
      </c>
      <c r="F249" s="39" t="s">
        <v>148</v>
      </c>
      <c r="G249" s="40">
        <v>13030495</v>
      </c>
      <c r="H249" t="s">
        <v>563</v>
      </c>
      <c r="K249" t="str">
        <f>_xlfn.CONCAT(Productos[[#This Row],[SAP_Productos]]," ",Productos[[#This Row],[Productos]])</f>
        <v>13030495 Pizza Española</v>
      </c>
      <c r="N249" t="s">
        <v>692</v>
      </c>
      <c r="O249">
        <v>76483167</v>
      </c>
      <c r="P249">
        <v>11000055</v>
      </c>
      <c r="Q249" t="s">
        <v>877</v>
      </c>
    </row>
    <row r="250" spans="5:17" hidden="1">
      <c r="E250" s="70" t="s">
        <v>628</v>
      </c>
      <c r="F250" s="39" t="s">
        <v>173</v>
      </c>
      <c r="G250" s="40">
        <v>13030544</v>
      </c>
      <c r="H250" t="s">
        <v>563</v>
      </c>
      <c r="K250" t="str">
        <f>_xlfn.CONCAT(Productos[[#This Row],[SAP_Productos]]," ",Productos[[#This Row],[Productos]])</f>
        <v>13030544 Pizza Casino Napolitana Cuadrada</v>
      </c>
      <c r="N250" t="s">
        <v>692</v>
      </c>
      <c r="O250">
        <v>76483167</v>
      </c>
      <c r="P250">
        <v>16000404</v>
      </c>
      <c r="Q250" t="s">
        <v>878</v>
      </c>
    </row>
    <row r="251" spans="5:17" hidden="1">
      <c r="E251" s="70" t="s">
        <v>628</v>
      </c>
      <c r="F251" s="39" t="s">
        <v>195</v>
      </c>
      <c r="G251" s="40">
        <v>13030093</v>
      </c>
      <c r="H251" t="s">
        <v>563</v>
      </c>
      <c r="K251" t="str">
        <f>_xlfn.CONCAT(Productos[[#This Row],[SAP_Productos]]," ",Productos[[#This Row],[Productos]])</f>
        <v>13030093 Pizza Napolitana</v>
      </c>
      <c r="N251" t="s">
        <v>692</v>
      </c>
      <c r="O251">
        <v>76483167</v>
      </c>
      <c r="P251">
        <v>16000444</v>
      </c>
      <c r="Q251" t="s">
        <v>879</v>
      </c>
    </row>
    <row r="252" spans="5:17">
      <c r="E252" s="70" t="s">
        <v>628</v>
      </c>
      <c r="F252" s="39" t="s">
        <v>217</v>
      </c>
      <c r="G252" s="40">
        <v>13030104</v>
      </c>
      <c r="H252" t="s">
        <v>563</v>
      </c>
      <c r="K252" t="str">
        <f>_xlfn.CONCAT(Productos[[#This Row],[SAP_Productos]]," ",Productos[[#This Row],[Productos]])</f>
        <v>13030104 Masa Pre Pizza Pack</v>
      </c>
      <c r="N252" t="s">
        <v>692</v>
      </c>
      <c r="O252">
        <v>76483167</v>
      </c>
      <c r="P252">
        <v>16000476</v>
      </c>
      <c r="Q252" t="s">
        <v>880</v>
      </c>
    </row>
    <row r="253" spans="5:17" hidden="1">
      <c r="E253" s="70" t="s">
        <v>628</v>
      </c>
      <c r="F253" s="39" t="s">
        <v>237</v>
      </c>
      <c r="G253" s="40">
        <v>13030190</v>
      </c>
      <c r="H253" t="s">
        <v>563</v>
      </c>
      <c r="K253" t="str">
        <f>_xlfn.CONCAT(Productos[[#This Row],[SAP_Productos]]," ",Productos[[#This Row],[Productos]])</f>
        <v>13030190 Pizza Napolitana SBA (acuenta)</v>
      </c>
      <c r="N253" t="s">
        <v>692</v>
      </c>
      <c r="O253">
        <v>76483167</v>
      </c>
      <c r="P253">
        <v>16000477</v>
      </c>
      <c r="Q253" t="s">
        <v>574</v>
      </c>
    </row>
    <row r="254" spans="5:17" hidden="1">
      <c r="E254" s="70" t="s">
        <v>628</v>
      </c>
      <c r="F254" s="39" t="s">
        <v>253</v>
      </c>
      <c r="G254" s="40">
        <v>13030191</v>
      </c>
      <c r="H254" t="s">
        <v>563</v>
      </c>
      <c r="K254" t="str">
        <f>_xlfn.CONCAT(Productos[[#This Row],[SAP_Productos]]," ",Productos[[#This Row],[Productos]])</f>
        <v>13030191 Pizza Pollo Champiñon SBA</v>
      </c>
      <c r="N254" t="s">
        <v>692</v>
      </c>
      <c r="O254">
        <v>76483167</v>
      </c>
      <c r="P254">
        <v>16000494</v>
      </c>
      <c r="Q254" t="s">
        <v>881</v>
      </c>
    </row>
    <row r="255" spans="5:17">
      <c r="E255" s="70" t="s">
        <v>628</v>
      </c>
      <c r="F255" s="39" t="s">
        <v>264</v>
      </c>
      <c r="G255" s="40">
        <v>13030279</v>
      </c>
      <c r="H255" t="s">
        <v>563</v>
      </c>
      <c r="K255" t="str">
        <f>_xlfn.CONCAT(Productos[[#This Row],[SAP_Productos]]," ",Productos[[#This Row],[Productos]])</f>
        <v>13030279 Masa Pre Pizza Ultra Delgada</v>
      </c>
      <c r="N255" t="s">
        <v>692</v>
      </c>
      <c r="O255">
        <v>76483167</v>
      </c>
      <c r="P255">
        <v>16000502</v>
      </c>
      <c r="Q255" t="s">
        <v>882</v>
      </c>
    </row>
    <row r="256" spans="5:17" hidden="1">
      <c r="E256" s="70" t="s">
        <v>628</v>
      </c>
      <c r="F256" s="39" t="s">
        <v>272</v>
      </c>
      <c r="G256" s="40">
        <v>13030280</v>
      </c>
      <c r="H256" t="s">
        <v>563</v>
      </c>
      <c r="K256" t="str">
        <f>_xlfn.CONCAT(Productos[[#This Row],[SAP_Productos]]," ",Productos[[#This Row],[Productos]])</f>
        <v>13030280 Pizza Pepperoni Acuenta</v>
      </c>
      <c r="N256" t="s">
        <v>692</v>
      </c>
      <c r="O256">
        <v>76483167</v>
      </c>
      <c r="P256">
        <v>16000504</v>
      </c>
      <c r="Q256" t="s">
        <v>883</v>
      </c>
    </row>
    <row r="257" spans="5:17" hidden="1">
      <c r="E257" s="70" t="s">
        <v>628</v>
      </c>
      <c r="F257" s="39" t="s">
        <v>279</v>
      </c>
      <c r="G257" s="40">
        <v>12001366</v>
      </c>
      <c r="H257" t="s">
        <v>563</v>
      </c>
      <c r="K257" t="str">
        <f>_xlfn.CONCAT(Productos[[#This Row],[SAP_Productos]]," ",Productos[[#This Row],[Productos]])</f>
        <v>12001366 Masa Pizza Ultra Delgada</v>
      </c>
      <c r="N257" t="s">
        <v>692</v>
      </c>
      <c r="O257">
        <v>76483167</v>
      </c>
      <c r="P257">
        <v>16000505</v>
      </c>
      <c r="Q257" t="s">
        <v>884</v>
      </c>
    </row>
    <row r="258" spans="5:17" hidden="1">
      <c r="E258" s="70" t="s">
        <v>628</v>
      </c>
      <c r="F258" s="39" t="s">
        <v>93</v>
      </c>
      <c r="G258" s="40">
        <v>12001396</v>
      </c>
      <c r="H258" t="s">
        <v>563</v>
      </c>
      <c r="K258" t="str">
        <f>_xlfn.CONCAT(Productos[[#This Row],[SAP_Productos]]," ",Productos[[#This Row],[Productos]])</f>
        <v>12001396 Semi elaborado hallulla</v>
      </c>
      <c r="N258" t="s">
        <v>692</v>
      </c>
      <c r="O258">
        <v>76483167</v>
      </c>
      <c r="P258">
        <v>16000506</v>
      </c>
      <c r="Q258" t="s">
        <v>885</v>
      </c>
    </row>
    <row r="259" spans="5:17" hidden="1">
      <c r="E259" s="70" t="s">
        <v>628</v>
      </c>
      <c r="F259" s="39" t="s">
        <v>149</v>
      </c>
      <c r="G259" s="40">
        <v>12001406</v>
      </c>
      <c r="H259" t="s">
        <v>563</v>
      </c>
      <c r="K259" t="str">
        <f>_xlfn.CONCAT(Productos[[#This Row],[SAP_Productos]]," ",Productos[[#This Row],[Productos]])</f>
        <v>12001406 Semi Elaborado Pan Coliza</v>
      </c>
      <c r="N259" t="s">
        <v>692</v>
      </c>
      <c r="O259">
        <v>76483167</v>
      </c>
      <c r="P259">
        <v>18000071</v>
      </c>
      <c r="Q259" t="s">
        <v>886</v>
      </c>
    </row>
    <row r="260" spans="5:17" hidden="1">
      <c r="E260" s="70" t="s">
        <v>628</v>
      </c>
      <c r="F260" s="39" t="s">
        <v>123</v>
      </c>
      <c r="G260" s="40">
        <v>13030401</v>
      </c>
      <c r="H260" t="s">
        <v>563</v>
      </c>
      <c r="K260" t="str">
        <f>_xlfn.CONCAT(Productos[[#This Row],[SAP_Productos]]," ",Productos[[#This Row],[Productos]])</f>
        <v>13030401 Hallulla_2 Ban</v>
      </c>
      <c r="N260" t="s">
        <v>692</v>
      </c>
      <c r="O260">
        <v>76483167</v>
      </c>
      <c r="P260">
        <v>18000355</v>
      </c>
      <c r="Q260" t="s">
        <v>887</v>
      </c>
    </row>
    <row r="261" spans="5:17" hidden="1">
      <c r="E261" s="70" t="s">
        <v>628</v>
      </c>
      <c r="F261" s="39" t="s">
        <v>150</v>
      </c>
      <c r="G261" s="40">
        <v>13030403</v>
      </c>
      <c r="H261" t="s">
        <v>563</v>
      </c>
      <c r="K261" t="str">
        <f>_xlfn.CONCAT(Productos[[#This Row],[SAP_Productos]]," ",Productos[[#This Row],[Productos]])</f>
        <v>13030403 Hallulla_2 Ekono (B)</v>
      </c>
      <c r="N261" t="s">
        <v>694</v>
      </c>
      <c r="O261">
        <v>90828000</v>
      </c>
      <c r="P261">
        <v>10001101</v>
      </c>
      <c r="Q261" t="s">
        <v>888</v>
      </c>
    </row>
    <row r="262" spans="5:17" hidden="1">
      <c r="E262" s="70" t="s">
        <v>628</v>
      </c>
      <c r="F262" s="39" t="s">
        <v>175</v>
      </c>
      <c r="G262" s="40">
        <v>13030467</v>
      </c>
      <c r="H262" t="s">
        <v>563</v>
      </c>
      <c r="K262" t="str">
        <f>_xlfn.CONCAT(Productos[[#This Row],[SAP_Productos]]," ",Productos[[#This Row],[Productos]])</f>
        <v>13030467 Hallulla_2 (10 BAN)</v>
      </c>
      <c r="N262" t="s">
        <v>694</v>
      </c>
      <c r="O262">
        <v>90828000</v>
      </c>
      <c r="P262">
        <v>10003731</v>
      </c>
      <c r="Q262" t="s">
        <v>889</v>
      </c>
    </row>
    <row r="263" spans="5:17" hidden="1">
      <c r="E263" s="70" t="s">
        <v>628</v>
      </c>
      <c r="F263" s="39" t="s">
        <v>197</v>
      </c>
      <c r="G263" s="40">
        <v>13030469</v>
      </c>
      <c r="H263" t="s">
        <v>563</v>
      </c>
      <c r="K263" t="str">
        <f>_xlfn.CONCAT(Productos[[#This Row],[SAP_Productos]]," ",Productos[[#This Row],[Productos]])</f>
        <v>13030469 Hallulla_2 (15 BAN)</v>
      </c>
      <c r="N263" t="s">
        <v>694</v>
      </c>
      <c r="O263">
        <v>90828000</v>
      </c>
      <c r="P263">
        <v>10004283</v>
      </c>
      <c r="Q263" t="s">
        <v>860</v>
      </c>
    </row>
    <row r="264" spans="5:17" hidden="1">
      <c r="E264" s="70" t="s">
        <v>628</v>
      </c>
      <c r="F264" s="39" t="s">
        <v>219</v>
      </c>
      <c r="G264" s="40">
        <v>13030543</v>
      </c>
      <c r="H264" t="s">
        <v>563</v>
      </c>
      <c r="K264" t="str">
        <f>_xlfn.CONCAT(Productos[[#This Row],[SAP_Productos]]," ",Productos[[#This Row],[Productos]])</f>
        <v>13030543 Hallulla Casino Granel (Intense)</v>
      </c>
      <c r="N264" t="s">
        <v>695</v>
      </c>
      <c r="O264">
        <v>5920758</v>
      </c>
      <c r="P264">
        <v>10003474</v>
      </c>
      <c r="Q264" t="s">
        <v>514</v>
      </c>
    </row>
    <row r="265" spans="5:17" hidden="1">
      <c r="E265" s="70" t="s">
        <v>628</v>
      </c>
      <c r="F265" s="39" t="s">
        <v>239</v>
      </c>
      <c r="G265" s="40">
        <v>13030098</v>
      </c>
      <c r="H265" t="s">
        <v>563</v>
      </c>
      <c r="K265" t="str">
        <f>_xlfn.CONCAT(Productos[[#This Row],[SAP_Productos]]," ",Productos[[#This Row],[Productos]])</f>
        <v>13030098 Hallulla Congelada</v>
      </c>
      <c r="N265" t="s">
        <v>696</v>
      </c>
      <c r="O265">
        <v>78382760</v>
      </c>
      <c r="P265">
        <v>10001107</v>
      </c>
      <c r="Q265" t="s">
        <v>473</v>
      </c>
    </row>
    <row r="266" spans="5:17" hidden="1">
      <c r="E266" s="70" t="s">
        <v>628</v>
      </c>
      <c r="F266" s="39" t="s">
        <v>255</v>
      </c>
      <c r="G266" s="40">
        <v>13030177</v>
      </c>
      <c r="H266" t="s">
        <v>563</v>
      </c>
      <c r="K266" t="str">
        <f>_xlfn.CONCAT(Productos[[#This Row],[SAP_Productos]]," ",Productos[[#This Row],[Productos]])</f>
        <v>13030177 Hallulla Envasada</v>
      </c>
      <c r="N266" t="s">
        <v>696</v>
      </c>
      <c r="O266">
        <v>78382760</v>
      </c>
      <c r="P266">
        <v>10003748</v>
      </c>
      <c r="Q266" t="s">
        <v>472</v>
      </c>
    </row>
    <row r="267" spans="5:17" hidden="1">
      <c r="E267" s="70" t="s">
        <v>628</v>
      </c>
      <c r="F267" s="39" t="s">
        <v>292</v>
      </c>
      <c r="G267" s="40">
        <v>13030407</v>
      </c>
      <c r="H267" t="s">
        <v>563</v>
      </c>
      <c r="K267" t="str">
        <f>_xlfn.CONCAT(Productos[[#This Row],[SAP_Productos]]," ",Productos[[#This Row],[Productos]])</f>
        <v>13030407 Pan Coliza</v>
      </c>
      <c r="N267" t="s">
        <v>697</v>
      </c>
      <c r="O267">
        <v>13697415</v>
      </c>
      <c r="P267">
        <v>11000421</v>
      </c>
      <c r="Q267" t="s">
        <v>296</v>
      </c>
    </row>
    <row r="268" spans="5:17" hidden="1">
      <c r="E268" s="70" t="s">
        <v>628</v>
      </c>
      <c r="F268" s="39" t="s">
        <v>295</v>
      </c>
      <c r="G268" s="40">
        <v>13030520</v>
      </c>
      <c r="H268" t="s">
        <v>563</v>
      </c>
      <c r="K268" t="str">
        <f>_xlfn.CONCAT(Productos[[#This Row],[SAP_Productos]]," ",Productos[[#This Row],[Productos]])</f>
        <v>13030520 Pan Coliza Congelada PLT</v>
      </c>
      <c r="N268" t="s">
        <v>697</v>
      </c>
      <c r="O268">
        <v>13697415</v>
      </c>
      <c r="P268">
        <v>16000472</v>
      </c>
      <c r="Q268" t="s">
        <v>890</v>
      </c>
    </row>
    <row r="269" spans="5:17" hidden="1">
      <c r="E269" s="70" t="s">
        <v>628</v>
      </c>
      <c r="F269" s="39" t="s">
        <v>298</v>
      </c>
      <c r="G269" s="40">
        <v>12001372</v>
      </c>
      <c r="H269" t="s">
        <v>563</v>
      </c>
      <c r="K269" t="str">
        <f>_xlfn.CONCAT(Productos[[#This Row],[SAP_Productos]]," ",Productos[[#This Row],[Productos]])</f>
        <v>12001372 Merma masa Hallulla</v>
      </c>
      <c r="N269" t="s">
        <v>697</v>
      </c>
      <c r="O269">
        <v>13697415</v>
      </c>
      <c r="P269">
        <v>16000476</v>
      </c>
      <c r="Q269" t="s">
        <v>880</v>
      </c>
    </row>
    <row r="270" spans="5:17" hidden="1">
      <c r="E270" s="70" t="s">
        <v>628</v>
      </c>
      <c r="F270" s="39" t="s">
        <v>307</v>
      </c>
      <c r="G270" s="40">
        <v>12001381</v>
      </c>
      <c r="H270" t="s">
        <v>563</v>
      </c>
      <c r="K270" t="str">
        <f>_xlfn.CONCAT(Productos[[#This Row],[SAP_Productos]]," ",Productos[[#This Row],[Productos]])</f>
        <v>12001381 Merma masa Coliza</v>
      </c>
      <c r="N270" t="s">
        <v>697</v>
      </c>
      <c r="O270">
        <v>13697415</v>
      </c>
      <c r="P270">
        <v>16000477</v>
      </c>
      <c r="Q270" t="s">
        <v>574</v>
      </c>
    </row>
    <row r="271" spans="5:17" hidden="1">
      <c r="E271" s="70" t="s">
        <v>628</v>
      </c>
      <c r="F271" s="39" t="s">
        <v>94</v>
      </c>
      <c r="G271" s="40">
        <v>12001397</v>
      </c>
      <c r="H271" t="s">
        <v>563</v>
      </c>
      <c r="K271" t="str">
        <f>_xlfn.CONCAT(Productos[[#This Row],[SAP_Productos]]," ",Productos[[#This Row],[Productos]])</f>
        <v>12001397 Semi elaborado marraqueta</v>
      </c>
      <c r="N271" t="s">
        <v>697</v>
      </c>
      <c r="O271">
        <v>13697415</v>
      </c>
      <c r="P271">
        <v>16000494</v>
      </c>
      <c r="Q271" t="s">
        <v>881</v>
      </c>
    </row>
    <row r="272" spans="5:17" hidden="1">
      <c r="E272" s="70" t="s">
        <v>628</v>
      </c>
      <c r="F272" s="39" t="s">
        <v>122</v>
      </c>
      <c r="G272" s="40">
        <v>12001472</v>
      </c>
      <c r="H272" t="s">
        <v>563</v>
      </c>
      <c r="K272" t="str">
        <f>_xlfn.CONCAT(Productos[[#This Row],[SAP_Productos]]," ",Productos[[#This Row],[Productos]])</f>
        <v>12001472 Semi Elaborado Marraqueta piloto</v>
      </c>
      <c r="N272" t="s">
        <v>697</v>
      </c>
      <c r="O272">
        <v>13697415</v>
      </c>
      <c r="P272">
        <v>18000071</v>
      </c>
      <c r="Q272" t="s">
        <v>886</v>
      </c>
    </row>
    <row r="273" spans="5:17" hidden="1">
      <c r="E273" s="70" t="s">
        <v>628</v>
      </c>
      <c r="F273" s="39" t="s">
        <v>96</v>
      </c>
      <c r="G273" s="40">
        <v>12001411</v>
      </c>
      <c r="H273" t="s">
        <v>563</v>
      </c>
      <c r="K273" t="str">
        <f>_xlfn.CONCAT(Productos[[#This Row],[SAP_Productos]]," ",Productos[[#This Row],[Productos]])</f>
        <v>12001411 Semi Elaborado Pan italiano</v>
      </c>
      <c r="N273" t="s">
        <v>697</v>
      </c>
      <c r="O273">
        <v>13697415</v>
      </c>
      <c r="P273">
        <v>18000089</v>
      </c>
      <c r="Q273" t="s">
        <v>891</v>
      </c>
    </row>
    <row r="274" spans="5:17" hidden="1">
      <c r="E274" s="70" t="s">
        <v>628</v>
      </c>
      <c r="F274" s="39" t="s">
        <v>174</v>
      </c>
      <c r="G274" s="40">
        <v>13000270</v>
      </c>
      <c r="H274" t="s">
        <v>563</v>
      </c>
      <c r="K274" t="str">
        <f>_xlfn.CONCAT(Productos[[#This Row],[SAP_Productos]]," ",Productos[[#This Row],[Productos]])</f>
        <v>13000270 Marraqueta Manga  (24 Unidades) CM</v>
      </c>
      <c r="N274" t="s">
        <v>699</v>
      </c>
      <c r="O274">
        <v>96733580</v>
      </c>
      <c r="P274">
        <v>10000443</v>
      </c>
      <c r="Q274" t="s">
        <v>471</v>
      </c>
    </row>
    <row r="275" spans="5:17" hidden="1">
      <c r="E275" s="70" t="s">
        <v>628</v>
      </c>
      <c r="F275" s="39" t="s">
        <v>196</v>
      </c>
      <c r="G275" s="40">
        <v>13030097</v>
      </c>
      <c r="H275" t="s">
        <v>563</v>
      </c>
      <c r="K275" t="str">
        <f>_xlfn.CONCAT(Productos[[#This Row],[SAP_Productos]]," ",Productos[[#This Row],[Productos]])</f>
        <v>13030097 Marraqueta Congelada</v>
      </c>
      <c r="N275" t="s">
        <v>701</v>
      </c>
      <c r="O275">
        <v>77428590</v>
      </c>
      <c r="P275">
        <v>11001948</v>
      </c>
      <c r="Q275" t="s">
        <v>817</v>
      </c>
    </row>
    <row r="276" spans="5:17" hidden="1">
      <c r="E276" s="70" t="s">
        <v>628</v>
      </c>
      <c r="F276" s="39" t="s">
        <v>218</v>
      </c>
      <c r="G276" s="40">
        <v>13030176</v>
      </c>
      <c r="H276" t="s">
        <v>563</v>
      </c>
      <c r="K276" t="str">
        <f>_xlfn.CONCAT(Productos[[#This Row],[SAP_Productos]]," ",Productos[[#This Row],[Productos]])</f>
        <v>13030176 Marraqueta Envasada</v>
      </c>
      <c r="N276" t="s">
        <v>702</v>
      </c>
      <c r="O276">
        <v>76623620</v>
      </c>
      <c r="P276">
        <v>10003026</v>
      </c>
      <c r="Q276" t="s">
        <v>868</v>
      </c>
    </row>
    <row r="277" spans="5:17" hidden="1">
      <c r="E277" s="70" t="s">
        <v>628</v>
      </c>
      <c r="F277" s="39" t="s">
        <v>238</v>
      </c>
      <c r="G277" s="40">
        <v>13030210</v>
      </c>
      <c r="H277" t="s">
        <v>563</v>
      </c>
      <c r="K277" t="str">
        <f>_xlfn.CONCAT(Productos[[#This Row],[SAP_Productos]]," ",Productos[[#This Row],[Productos]])</f>
        <v>13030210 Marraqueta Manga (12 Unidades)</v>
      </c>
      <c r="N277" t="s">
        <v>702</v>
      </c>
      <c r="O277">
        <v>76623620</v>
      </c>
      <c r="P277">
        <v>10003061</v>
      </c>
      <c r="Q277" t="s">
        <v>892</v>
      </c>
    </row>
    <row r="278" spans="5:17" hidden="1">
      <c r="E278" s="70" t="s">
        <v>628</v>
      </c>
      <c r="F278" s="39" t="s">
        <v>254</v>
      </c>
      <c r="G278" s="40">
        <v>13030321</v>
      </c>
      <c r="H278" t="s">
        <v>563</v>
      </c>
      <c r="K278" t="str">
        <f>_xlfn.CONCAT(Productos[[#This Row],[SAP_Productos]]," ",Productos[[#This Row],[Productos]])</f>
        <v>13030321 Marraqueta_2 Ekono</v>
      </c>
      <c r="N278" t="s">
        <v>703</v>
      </c>
      <c r="O278">
        <v>99565620</v>
      </c>
      <c r="P278">
        <v>10000277</v>
      </c>
      <c r="Q278" t="s">
        <v>128</v>
      </c>
    </row>
    <row r="279" spans="5:17" hidden="1">
      <c r="E279" s="70" t="s">
        <v>628</v>
      </c>
      <c r="F279" s="39" t="s">
        <v>265</v>
      </c>
      <c r="G279" s="40">
        <v>13030402</v>
      </c>
      <c r="H279" t="s">
        <v>563</v>
      </c>
      <c r="K279" t="str">
        <f>_xlfn.CONCAT(Productos[[#This Row],[SAP_Productos]]," ",Productos[[#This Row],[Productos]])</f>
        <v>13030402 Marraqueta_2 Ban</v>
      </c>
      <c r="N279" t="s">
        <v>704</v>
      </c>
      <c r="O279">
        <v>99549330</v>
      </c>
      <c r="P279">
        <v>11001868</v>
      </c>
      <c r="Q279" t="s">
        <v>893</v>
      </c>
    </row>
    <row r="280" spans="5:17" hidden="1">
      <c r="E280" s="70" t="s">
        <v>628</v>
      </c>
      <c r="F280" s="39" t="s">
        <v>273</v>
      </c>
      <c r="G280" s="40">
        <v>13030404</v>
      </c>
      <c r="H280" t="s">
        <v>563</v>
      </c>
      <c r="K280" t="str">
        <f>_xlfn.CONCAT(Productos[[#This Row],[SAP_Productos]]," ",Productos[[#This Row],[Productos]])</f>
        <v>13030404 Marraqueta_2 Ekono (B)</v>
      </c>
      <c r="N280" t="s">
        <v>704</v>
      </c>
      <c r="O280">
        <v>99549330</v>
      </c>
      <c r="P280">
        <v>11001869</v>
      </c>
      <c r="Q280" t="s">
        <v>894</v>
      </c>
    </row>
    <row r="281" spans="5:17" hidden="1">
      <c r="E281" s="70" t="s">
        <v>628</v>
      </c>
      <c r="F281" s="39" t="s">
        <v>280</v>
      </c>
      <c r="G281" s="40">
        <v>13030468</v>
      </c>
      <c r="H281" t="s">
        <v>563</v>
      </c>
      <c r="K281" t="str">
        <f>_xlfn.CONCAT(Productos[[#This Row],[SAP_Productos]]," ",Productos[[#This Row],[Productos]])</f>
        <v>13030468 Marraqueta_2 (10 BAN)</v>
      </c>
      <c r="N281" t="s">
        <v>705</v>
      </c>
      <c r="O281">
        <v>76057769</v>
      </c>
      <c r="P281">
        <v>10000520</v>
      </c>
      <c r="Q281" t="s">
        <v>895</v>
      </c>
    </row>
    <row r="282" spans="5:17" hidden="1">
      <c r="E282" s="70" t="s">
        <v>628</v>
      </c>
      <c r="F282" s="39" t="s">
        <v>285</v>
      </c>
      <c r="G282" s="40">
        <v>13030597</v>
      </c>
      <c r="H282" t="s">
        <v>563</v>
      </c>
      <c r="K282" t="str">
        <f>_xlfn.CONCAT(Productos[[#This Row],[SAP_Productos]]," ",Productos[[#This Row],[Productos]])</f>
        <v>13030597 Marraqueta granel piloto</v>
      </c>
      <c r="N282" t="s">
        <v>705</v>
      </c>
      <c r="O282">
        <v>76057769</v>
      </c>
      <c r="P282">
        <v>10002460</v>
      </c>
      <c r="Q282" t="s">
        <v>468</v>
      </c>
    </row>
    <row r="283" spans="5:17" hidden="1">
      <c r="E283" s="70" t="s">
        <v>628</v>
      </c>
      <c r="F283" s="39" t="s">
        <v>125</v>
      </c>
      <c r="G283" s="40">
        <v>13030301</v>
      </c>
      <c r="H283" t="s">
        <v>563</v>
      </c>
      <c r="K283" t="str">
        <f>_xlfn.CONCAT(Productos[[#This Row],[SAP_Productos]]," ",Productos[[#This Row],[Productos]])</f>
        <v>13030301 Pan Italiano</v>
      </c>
      <c r="N283" t="s">
        <v>705</v>
      </c>
      <c r="O283">
        <v>76057769</v>
      </c>
      <c r="P283">
        <v>10003478</v>
      </c>
      <c r="Q283" t="s">
        <v>469</v>
      </c>
    </row>
    <row r="284" spans="5:17" hidden="1">
      <c r="E284" s="70" t="s">
        <v>628</v>
      </c>
      <c r="F284" s="39" t="s">
        <v>152</v>
      </c>
      <c r="G284" s="40">
        <v>13030322</v>
      </c>
      <c r="H284" t="s">
        <v>563</v>
      </c>
      <c r="K284" t="str">
        <f>_xlfn.CONCAT(Productos[[#This Row],[SAP_Productos]]," ",Productos[[#This Row],[Productos]])</f>
        <v>13030322 Pan Italiano Ekono (B)</v>
      </c>
      <c r="N284" t="s">
        <v>705</v>
      </c>
      <c r="O284">
        <v>76057769</v>
      </c>
      <c r="P284">
        <v>10004256</v>
      </c>
      <c r="Q284" t="s">
        <v>896</v>
      </c>
    </row>
    <row r="285" spans="5:17" hidden="1">
      <c r="E285" s="70" t="s">
        <v>628</v>
      </c>
      <c r="F285" s="39" t="s">
        <v>177</v>
      </c>
      <c r="G285" s="40">
        <v>13030489</v>
      </c>
      <c r="H285" t="s">
        <v>563</v>
      </c>
      <c r="K285" t="str">
        <f>_xlfn.CONCAT(Productos[[#This Row],[SAP_Productos]]," ",Productos[[#This Row],[Productos]])</f>
        <v>13030489 Italiano CM 5 K</v>
      </c>
      <c r="N285" t="s">
        <v>706</v>
      </c>
      <c r="O285">
        <v>81145500</v>
      </c>
      <c r="P285">
        <v>10000521</v>
      </c>
      <c r="Q285" t="s">
        <v>513</v>
      </c>
    </row>
    <row r="286" spans="5:17" hidden="1">
      <c r="E286" s="70" t="s">
        <v>628</v>
      </c>
      <c r="F286" s="39" t="s">
        <v>199</v>
      </c>
      <c r="G286" s="40">
        <v>13030519</v>
      </c>
      <c r="H286" t="s">
        <v>563</v>
      </c>
      <c r="K286" t="str">
        <f>_xlfn.CONCAT(Productos[[#This Row],[SAP_Productos]]," ",Productos[[#This Row],[Productos]])</f>
        <v>13030519 Pan Italiano Congelado PLT</v>
      </c>
      <c r="N286" t="s">
        <v>706</v>
      </c>
      <c r="O286">
        <v>81145500</v>
      </c>
      <c r="P286">
        <v>10004293</v>
      </c>
      <c r="Q286" t="s">
        <v>897</v>
      </c>
    </row>
    <row r="287" spans="5:17" hidden="1">
      <c r="E287" s="70" t="s">
        <v>628</v>
      </c>
      <c r="F287" s="39" t="s">
        <v>220</v>
      </c>
      <c r="G287" s="40">
        <v>12001374</v>
      </c>
      <c r="H287" t="s">
        <v>563</v>
      </c>
      <c r="K287" t="str">
        <f>_xlfn.CONCAT(Productos[[#This Row],[SAP_Productos]]," ",Productos[[#This Row],[Productos]])</f>
        <v>12001374 Merma masa Pan Italiano</v>
      </c>
      <c r="N287" t="s">
        <v>708</v>
      </c>
      <c r="O287">
        <v>76188974</v>
      </c>
      <c r="P287">
        <v>11001614</v>
      </c>
      <c r="Q287" t="s">
        <v>399</v>
      </c>
    </row>
    <row r="288" spans="5:17" hidden="1">
      <c r="E288" s="70" t="s">
        <v>628</v>
      </c>
      <c r="F288" s="39" t="s">
        <v>308</v>
      </c>
      <c r="G288" s="40">
        <v>12001447</v>
      </c>
      <c r="H288" t="s">
        <v>563</v>
      </c>
      <c r="K288" t="str">
        <f>_xlfn.CONCAT(Productos[[#This Row],[SAP_Productos]]," ",Productos[[#This Row],[Productos]])</f>
        <v>12001447 Merma Masa marraqueta piloto</v>
      </c>
      <c r="N288" t="s">
        <v>708</v>
      </c>
      <c r="O288">
        <v>76188974</v>
      </c>
      <c r="P288">
        <v>11001659</v>
      </c>
      <c r="Q288" t="s">
        <v>395</v>
      </c>
    </row>
    <row r="289" spans="5:17" hidden="1">
      <c r="E289" s="70" t="s">
        <v>628</v>
      </c>
      <c r="F289" s="39" t="s">
        <v>313</v>
      </c>
      <c r="G289" s="40">
        <v>12001339</v>
      </c>
      <c r="H289" t="s">
        <v>563</v>
      </c>
      <c r="K289" t="str">
        <f>_xlfn.CONCAT(Productos[[#This Row],[SAP_Productos]]," ",Productos[[#This Row],[Productos]])</f>
        <v>12001339 Merma Masa Marraqueta</v>
      </c>
      <c r="N289" t="s">
        <v>708</v>
      </c>
      <c r="O289">
        <v>76188974</v>
      </c>
      <c r="P289">
        <v>11001858</v>
      </c>
      <c r="Q289" t="s">
        <v>541</v>
      </c>
    </row>
    <row r="290" spans="5:17" hidden="1">
      <c r="E290" s="70" t="s">
        <v>628</v>
      </c>
      <c r="F290" s="39" t="s">
        <v>299</v>
      </c>
      <c r="G290" s="40">
        <v>12001407</v>
      </c>
      <c r="H290" t="s">
        <v>563</v>
      </c>
      <c r="K290" t="str">
        <f>_xlfn.CONCAT(Productos[[#This Row],[SAP_Productos]]," ",Productos[[#This Row],[Productos]])</f>
        <v>12001407 Semi Elaborado Pan Amasado</v>
      </c>
      <c r="N290" t="s">
        <v>709</v>
      </c>
      <c r="O290">
        <v>6371206</v>
      </c>
      <c r="P290">
        <v>10000188</v>
      </c>
      <c r="Q290" t="s">
        <v>898</v>
      </c>
    </row>
    <row r="291" spans="5:17" hidden="1">
      <c r="E291" s="70" t="s">
        <v>628</v>
      </c>
      <c r="F291" s="39" t="s">
        <v>303</v>
      </c>
      <c r="G291" s="40">
        <v>13030395</v>
      </c>
      <c r="H291" t="s">
        <v>563</v>
      </c>
      <c r="K291" t="str">
        <f>_xlfn.CONCAT(Productos[[#This Row],[SAP_Productos]]," ",Productos[[#This Row],[Productos]])</f>
        <v>13030395 Pan Amasado</v>
      </c>
      <c r="N291" t="s">
        <v>709</v>
      </c>
      <c r="O291">
        <v>6371206</v>
      </c>
      <c r="P291">
        <v>10003552</v>
      </c>
      <c r="Q291" t="s">
        <v>899</v>
      </c>
    </row>
    <row r="292" spans="5:17" hidden="1">
      <c r="E292" s="70" t="s">
        <v>628</v>
      </c>
      <c r="F292" s="39" t="s">
        <v>309</v>
      </c>
      <c r="G292" s="40">
        <v>13030396</v>
      </c>
      <c r="H292" t="s">
        <v>563</v>
      </c>
      <c r="K292" t="str">
        <f>_xlfn.CONCAT(Productos[[#This Row],[SAP_Productos]]," ",Productos[[#This Row],[Productos]])</f>
        <v>13030396 Pan Amasado Congelado</v>
      </c>
      <c r="N292" t="s">
        <v>709</v>
      </c>
      <c r="O292">
        <v>6371206</v>
      </c>
      <c r="P292">
        <v>10003553</v>
      </c>
      <c r="Q292" t="s">
        <v>900</v>
      </c>
    </row>
    <row r="293" spans="5:17" hidden="1">
      <c r="E293" s="70" t="s">
        <v>628</v>
      </c>
      <c r="F293" s="39" t="s">
        <v>314</v>
      </c>
      <c r="G293" s="40">
        <v>13030397</v>
      </c>
      <c r="H293" t="s">
        <v>563</v>
      </c>
      <c r="K293" t="str">
        <f>_xlfn.CONCAT(Productos[[#This Row],[SAP_Productos]]," ",Productos[[#This Row],[Productos]])</f>
        <v>13030397 Pan Amasado Ekono</v>
      </c>
      <c r="N293" t="s">
        <v>709</v>
      </c>
      <c r="O293">
        <v>6371206</v>
      </c>
      <c r="P293">
        <v>10003749</v>
      </c>
      <c r="Q293" t="s">
        <v>901</v>
      </c>
    </row>
    <row r="294" spans="5:17" hidden="1">
      <c r="E294" s="70" t="s">
        <v>628</v>
      </c>
      <c r="F294" s="39" t="s">
        <v>318</v>
      </c>
      <c r="G294" s="40">
        <v>13030405</v>
      </c>
      <c r="H294" t="s">
        <v>563</v>
      </c>
      <c r="K294" t="str">
        <f>_xlfn.CONCAT(Productos[[#This Row],[SAP_Productos]]," ",Productos[[#This Row],[Productos]])</f>
        <v>13030405 Pan Amasado Ekono (B)</v>
      </c>
      <c r="N294" t="s">
        <v>709</v>
      </c>
      <c r="O294">
        <v>6371206</v>
      </c>
      <c r="P294">
        <v>10004200</v>
      </c>
      <c r="Q294" t="s">
        <v>486</v>
      </c>
    </row>
    <row r="295" spans="5:17" hidden="1">
      <c r="E295" s="70" t="s">
        <v>628</v>
      </c>
      <c r="F295" s="39" t="s">
        <v>201</v>
      </c>
      <c r="G295" s="40">
        <v>13030488</v>
      </c>
      <c r="H295" t="s">
        <v>563</v>
      </c>
      <c r="K295" t="str">
        <f>_xlfn.CONCAT(Productos[[#This Row],[SAP_Productos]]," ",Productos[[#This Row],[Productos]])</f>
        <v>13030488 Pan Amasado ATM</v>
      </c>
      <c r="N295" t="s">
        <v>709</v>
      </c>
      <c r="O295">
        <v>6371206</v>
      </c>
      <c r="P295">
        <v>10004261</v>
      </c>
      <c r="Q295" t="s">
        <v>902</v>
      </c>
    </row>
    <row r="296" spans="5:17" hidden="1">
      <c r="E296" s="70" t="s">
        <v>628</v>
      </c>
      <c r="F296" s="39" t="s">
        <v>222</v>
      </c>
      <c r="G296" s="40">
        <v>13030504</v>
      </c>
      <c r="H296" t="s">
        <v>563</v>
      </c>
      <c r="K296" t="str">
        <f>_xlfn.CONCAT(Productos[[#This Row],[SAP_Productos]]," ",Productos[[#This Row],[Productos]])</f>
        <v>13030504 Amasado ATM CM</v>
      </c>
      <c r="N296" t="s">
        <v>709</v>
      </c>
      <c r="O296">
        <v>6371206</v>
      </c>
      <c r="P296">
        <v>10004285</v>
      </c>
      <c r="Q296" t="s">
        <v>903</v>
      </c>
    </row>
    <row r="297" spans="5:17" hidden="1">
      <c r="E297" s="70" t="s">
        <v>628</v>
      </c>
      <c r="F297" s="39" t="s">
        <v>328</v>
      </c>
      <c r="G297" s="40">
        <v>13030521</v>
      </c>
      <c r="H297" t="s">
        <v>563</v>
      </c>
      <c r="K297" t="str">
        <f>_xlfn.CONCAT(Productos[[#This Row],[SAP_Productos]]," ",Productos[[#This Row],[Productos]])</f>
        <v>13030521 Pan Amasado Congelado PLT</v>
      </c>
      <c r="N297" t="s">
        <v>709</v>
      </c>
      <c r="O297">
        <v>6371206</v>
      </c>
      <c r="P297">
        <v>10004393</v>
      </c>
      <c r="Q297" t="s">
        <v>904</v>
      </c>
    </row>
    <row r="298" spans="5:17">
      <c r="E298" s="70" t="s">
        <v>628</v>
      </c>
      <c r="F298" s="39" t="s">
        <v>332</v>
      </c>
      <c r="G298" s="40">
        <v>12001408</v>
      </c>
      <c r="H298" t="s">
        <v>563</v>
      </c>
      <c r="K298" t="str">
        <f>_xlfn.CONCAT(Productos[[#This Row],[SAP_Productos]]," ",Productos[[#This Row],[Productos]])</f>
        <v>12001408 Semi Elaborado Hallullita especial preco</v>
      </c>
      <c r="N298" t="s">
        <v>709</v>
      </c>
      <c r="O298">
        <v>6371206</v>
      </c>
      <c r="P298">
        <v>11001898</v>
      </c>
      <c r="Q298" t="s">
        <v>543</v>
      </c>
    </row>
    <row r="299" spans="5:17" hidden="1">
      <c r="E299" s="70" t="s">
        <v>628</v>
      </c>
      <c r="F299" s="39" t="s">
        <v>97</v>
      </c>
      <c r="G299" s="40">
        <v>13030492</v>
      </c>
      <c r="H299" t="s">
        <v>563</v>
      </c>
      <c r="K299" t="str">
        <f>_xlfn.CONCAT(Productos[[#This Row],[SAP_Productos]]," ",Productos[[#This Row],[Productos]])</f>
        <v>13030492 Hallullita ATM</v>
      </c>
      <c r="N299" t="s">
        <v>710</v>
      </c>
      <c r="O299">
        <v>79522140</v>
      </c>
      <c r="P299">
        <v>11000602</v>
      </c>
      <c r="Q299" t="s">
        <v>826</v>
      </c>
    </row>
    <row r="300" spans="5:17" hidden="1">
      <c r="E300" s="70" t="s">
        <v>628</v>
      </c>
      <c r="F300" s="39" t="s">
        <v>126</v>
      </c>
      <c r="G300" s="40">
        <v>13030553</v>
      </c>
      <c r="H300" t="s">
        <v>563</v>
      </c>
      <c r="K300" t="str">
        <f>_xlfn.CONCAT(Productos[[#This Row],[SAP_Productos]]," ",Productos[[#This Row],[Productos]])</f>
        <v>13030553 Hallullita ATM Sampling</v>
      </c>
      <c r="N300" t="s">
        <v>710</v>
      </c>
      <c r="O300">
        <v>79522140</v>
      </c>
      <c r="P300">
        <v>11001962</v>
      </c>
      <c r="Q300" t="s">
        <v>905</v>
      </c>
    </row>
    <row r="301" spans="5:17" hidden="1">
      <c r="E301" s="70" t="s">
        <v>628</v>
      </c>
      <c r="F301" s="39" t="s">
        <v>153</v>
      </c>
      <c r="G301" s="40">
        <v>13030554</v>
      </c>
      <c r="H301" t="s">
        <v>563</v>
      </c>
      <c r="K301" t="str">
        <f>_xlfn.CONCAT(Productos[[#This Row],[SAP_Productos]]," ",Productos[[#This Row],[Productos]])</f>
        <v>13030554 Hallullita ATM 5 UN</v>
      </c>
      <c r="N301" t="s">
        <v>711</v>
      </c>
      <c r="O301">
        <v>83877600</v>
      </c>
      <c r="P301">
        <v>10000188</v>
      </c>
      <c r="Q301" t="s">
        <v>898</v>
      </c>
    </row>
    <row r="302" spans="5:17" hidden="1">
      <c r="E302" s="70" t="s">
        <v>628</v>
      </c>
      <c r="F302" s="39" t="s">
        <v>178</v>
      </c>
      <c r="G302" s="40">
        <v>13030506</v>
      </c>
      <c r="H302" t="s">
        <v>563</v>
      </c>
      <c r="K302" t="str">
        <f>_xlfn.CONCAT(Productos[[#This Row],[SAP_Productos]]," ",Productos[[#This Row],[Productos]])</f>
        <v>13030506 Hallullitas ATM CM</v>
      </c>
      <c r="N302" t="s">
        <v>712</v>
      </c>
      <c r="O302">
        <v>96540330</v>
      </c>
      <c r="P302">
        <v>16000058</v>
      </c>
      <c r="Q302" t="s">
        <v>906</v>
      </c>
    </row>
    <row r="303" spans="5:17" hidden="1">
      <c r="E303" s="70" t="s">
        <v>628</v>
      </c>
      <c r="F303" s="39" t="s">
        <v>348</v>
      </c>
      <c r="G303" s="40">
        <v>12001386</v>
      </c>
      <c r="H303" t="s">
        <v>563</v>
      </c>
      <c r="K303" t="str">
        <f>_xlfn.CONCAT(Productos[[#This Row],[SAP_Productos]]," ",Productos[[#This Row],[Productos]])</f>
        <v>12001386 Hallulla especial soft para congelar</v>
      </c>
      <c r="N303" t="s">
        <v>714</v>
      </c>
      <c r="O303">
        <v>77961510</v>
      </c>
      <c r="P303">
        <v>10000294</v>
      </c>
      <c r="Q303" t="s">
        <v>494</v>
      </c>
    </row>
    <row r="304" spans="5:17" hidden="1">
      <c r="E304" s="70" t="s">
        <v>628</v>
      </c>
      <c r="F304" s="39" t="s">
        <v>352</v>
      </c>
      <c r="G304" s="40">
        <v>13030425</v>
      </c>
      <c r="H304" t="s">
        <v>563</v>
      </c>
      <c r="K304" t="str">
        <f>_xlfn.CONCAT(Productos[[#This Row],[SAP_Productos]]," ",Productos[[#This Row],[Productos]])</f>
        <v>13030425 Hallulla Especial Suave</v>
      </c>
      <c r="N304" t="s">
        <v>714</v>
      </c>
      <c r="O304">
        <v>77961510</v>
      </c>
      <c r="P304">
        <v>10000704</v>
      </c>
      <c r="Q304" t="s">
        <v>497</v>
      </c>
    </row>
    <row r="305" spans="5:17" hidden="1">
      <c r="E305" s="70" t="s">
        <v>628</v>
      </c>
      <c r="F305" s="39" t="s">
        <v>356</v>
      </c>
      <c r="G305" s="40">
        <v>13030465</v>
      </c>
      <c r="H305" t="s">
        <v>563</v>
      </c>
      <c r="K305" t="str">
        <f>_xlfn.CONCAT(Productos[[#This Row],[SAP_Productos]]," ",Productos[[#This Row],[Productos]])</f>
        <v>13030465 Hallulla Especial Suave 10UN</v>
      </c>
      <c r="N305" t="s">
        <v>714</v>
      </c>
      <c r="O305">
        <v>77961510</v>
      </c>
      <c r="P305">
        <v>10003283</v>
      </c>
      <c r="Q305" t="s">
        <v>315</v>
      </c>
    </row>
    <row r="306" spans="5:17" hidden="1">
      <c r="E306" s="70" t="s">
        <v>628</v>
      </c>
      <c r="F306" s="39" t="s">
        <v>365</v>
      </c>
      <c r="G306" s="40">
        <v>12001375</v>
      </c>
      <c r="H306" t="s">
        <v>563</v>
      </c>
      <c r="K306" t="str">
        <f>_xlfn.CONCAT(Productos[[#This Row],[SAP_Productos]]," ",Productos[[#This Row],[Productos]])</f>
        <v>12001375 Merma Masa Pan Amasado</v>
      </c>
      <c r="N306" t="s">
        <v>716</v>
      </c>
      <c r="O306">
        <v>96511330</v>
      </c>
      <c r="P306">
        <v>10001571</v>
      </c>
      <c r="Q306" t="s">
        <v>520</v>
      </c>
    </row>
    <row r="307" spans="5:17" hidden="1">
      <c r="E307" s="70" t="s">
        <v>628</v>
      </c>
      <c r="F307" s="39" t="s">
        <v>368</v>
      </c>
      <c r="G307" s="40">
        <v>12001409</v>
      </c>
      <c r="H307" t="s">
        <v>563</v>
      </c>
      <c r="K307" t="str">
        <f>_xlfn.CONCAT(Productos[[#This Row],[SAP_Productos]]," ",Productos[[#This Row],[Productos]])</f>
        <v>12001409 Merma masa Hallullita</v>
      </c>
      <c r="N307" t="s">
        <v>716</v>
      </c>
      <c r="O307">
        <v>96511330</v>
      </c>
      <c r="P307">
        <v>10001672</v>
      </c>
      <c r="Q307" t="s">
        <v>516</v>
      </c>
    </row>
    <row r="308" spans="5:17" hidden="1">
      <c r="E308" s="70" t="s">
        <v>628</v>
      </c>
      <c r="F308" s="39" t="s">
        <v>371</v>
      </c>
      <c r="G308" s="40">
        <v>12000110</v>
      </c>
      <c r="H308" t="s">
        <v>563</v>
      </c>
      <c r="K308" t="str">
        <f>_xlfn.CONCAT(Productos[[#This Row],[SAP_Productos]]," ",Productos[[#This Row],[Productos]])</f>
        <v>12000110 Merma masa Hallulla Especial Suave</v>
      </c>
      <c r="N308" t="s">
        <v>716</v>
      </c>
      <c r="O308">
        <v>96511330</v>
      </c>
      <c r="P308">
        <v>10002531</v>
      </c>
      <c r="Q308" t="s">
        <v>467</v>
      </c>
    </row>
    <row r="309" spans="5:17" hidden="1">
      <c r="E309" s="70" t="s">
        <v>628</v>
      </c>
      <c r="F309" s="53" t="s">
        <v>374</v>
      </c>
      <c r="G309" s="54">
        <v>12001373</v>
      </c>
      <c r="H309" t="s">
        <v>563</v>
      </c>
      <c r="K309" t="str">
        <f>_xlfn.CONCAT(Productos[[#This Row],[SAP_Productos]]," ",Productos[[#This Row],[Productos]])</f>
        <v>12001373 Merma masa Hallulla Especial</v>
      </c>
      <c r="N309" t="s">
        <v>716</v>
      </c>
      <c r="O309">
        <v>96511330</v>
      </c>
      <c r="P309">
        <v>10003804</v>
      </c>
      <c r="Q309" t="s">
        <v>907</v>
      </c>
    </row>
    <row r="310" spans="5:17" hidden="1">
      <c r="E310" s="70" t="s">
        <v>33</v>
      </c>
      <c r="F310" s="41" t="s">
        <v>93</v>
      </c>
      <c r="G310" s="42">
        <v>12001396</v>
      </c>
      <c r="H310" t="s">
        <v>563</v>
      </c>
      <c r="K310" t="str">
        <f>_xlfn.CONCAT(Productos[[#This Row],[SAP_Productos]]," ",Productos[[#This Row],[Productos]])</f>
        <v>12001396 Semi elaborado hallulla</v>
      </c>
      <c r="N310" t="s">
        <v>716</v>
      </c>
      <c r="O310">
        <v>96511330</v>
      </c>
      <c r="P310">
        <v>10003805</v>
      </c>
      <c r="Q310" t="s">
        <v>492</v>
      </c>
    </row>
    <row r="311" spans="5:17" hidden="1">
      <c r="E311" s="70" t="s">
        <v>33</v>
      </c>
      <c r="F311" s="43" t="s">
        <v>95</v>
      </c>
      <c r="G311" s="44">
        <v>12001398</v>
      </c>
      <c r="H311" t="s">
        <v>563</v>
      </c>
      <c r="K311" t="str">
        <f>_xlfn.CONCAT(Productos[[#This Row],[SAP_Productos]]," ",Productos[[#This Row],[Productos]])</f>
        <v>12001398 Semi Elaborado Doblada</v>
      </c>
      <c r="N311" t="s">
        <v>716</v>
      </c>
      <c r="O311">
        <v>96511330</v>
      </c>
      <c r="P311">
        <v>10004201</v>
      </c>
      <c r="Q311" t="s">
        <v>483</v>
      </c>
    </row>
    <row r="312" spans="5:17" hidden="1">
      <c r="E312" s="70" t="s">
        <v>33</v>
      </c>
      <c r="F312" s="41" t="s">
        <v>149</v>
      </c>
      <c r="G312" s="42">
        <v>12001406</v>
      </c>
      <c r="H312" t="s">
        <v>563</v>
      </c>
      <c r="K312" t="str">
        <f>_xlfn.CONCAT(Productos[[#This Row],[SAP_Productos]]," ",Productos[[#This Row],[Productos]])</f>
        <v>12001406 Semi Elaborado Pan Coliza</v>
      </c>
      <c r="N312" t="s">
        <v>716</v>
      </c>
      <c r="O312">
        <v>96511330</v>
      </c>
      <c r="P312">
        <v>10004232</v>
      </c>
      <c r="Q312" t="s">
        <v>908</v>
      </c>
    </row>
    <row r="313" spans="5:17" hidden="1">
      <c r="E313" s="70" t="s">
        <v>33</v>
      </c>
      <c r="F313" s="43" t="s">
        <v>123</v>
      </c>
      <c r="G313" s="44">
        <v>13030401</v>
      </c>
      <c r="H313" t="s">
        <v>563</v>
      </c>
      <c r="K313" t="str">
        <f>_xlfn.CONCAT(Productos[[#This Row],[SAP_Productos]]," ",Productos[[#This Row],[Productos]])</f>
        <v>13030401 Hallulla_2 Ban</v>
      </c>
      <c r="N313" t="s">
        <v>716</v>
      </c>
      <c r="O313">
        <v>96511330</v>
      </c>
      <c r="P313">
        <v>10004328</v>
      </c>
      <c r="Q313" t="s">
        <v>909</v>
      </c>
    </row>
    <row r="314" spans="5:17" hidden="1">
      <c r="E314" s="70" t="s">
        <v>33</v>
      </c>
      <c r="F314" s="41" t="s">
        <v>150</v>
      </c>
      <c r="G314" s="42">
        <v>13030403</v>
      </c>
      <c r="H314" t="s">
        <v>563</v>
      </c>
      <c r="K314" t="str">
        <f>_xlfn.CONCAT(Productos[[#This Row],[SAP_Productos]]," ",Productos[[#This Row],[Productos]])</f>
        <v>13030403 Hallulla_2 Ekono (B)</v>
      </c>
      <c r="N314" t="s">
        <v>716</v>
      </c>
      <c r="O314">
        <v>96511330</v>
      </c>
      <c r="P314">
        <v>10004362</v>
      </c>
      <c r="Q314" t="s">
        <v>910</v>
      </c>
    </row>
    <row r="315" spans="5:17" hidden="1">
      <c r="E315" s="70" t="s">
        <v>33</v>
      </c>
      <c r="F315" s="43" t="s">
        <v>175</v>
      </c>
      <c r="G315" s="44">
        <v>13030467</v>
      </c>
      <c r="H315" t="s">
        <v>563</v>
      </c>
      <c r="K315" t="str">
        <f>_xlfn.CONCAT(Productos[[#This Row],[SAP_Productos]]," ",Productos[[#This Row],[Productos]])</f>
        <v>13030467 Hallulla_2 (10 BAN)</v>
      </c>
      <c r="N315" t="s">
        <v>716</v>
      </c>
      <c r="O315">
        <v>96511330</v>
      </c>
      <c r="P315">
        <v>10004395</v>
      </c>
      <c r="Q315" t="s">
        <v>911</v>
      </c>
    </row>
    <row r="316" spans="5:17" hidden="1">
      <c r="E316" s="70" t="s">
        <v>33</v>
      </c>
      <c r="F316" s="41" t="s">
        <v>197</v>
      </c>
      <c r="G316" s="42">
        <v>13030469</v>
      </c>
      <c r="H316" t="s">
        <v>563</v>
      </c>
      <c r="K316" t="str">
        <f>_xlfn.CONCAT(Productos[[#This Row],[SAP_Productos]]," ",Productos[[#This Row],[Productos]])</f>
        <v>13030469 Hallulla_2 (15 BAN)</v>
      </c>
      <c r="N316" t="s">
        <v>717</v>
      </c>
      <c r="O316">
        <v>96954210</v>
      </c>
      <c r="P316">
        <v>10002457</v>
      </c>
      <c r="Q316" t="s">
        <v>507</v>
      </c>
    </row>
    <row r="317" spans="5:17" hidden="1">
      <c r="E317" s="70" t="s">
        <v>33</v>
      </c>
      <c r="F317" s="43" t="s">
        <v>219</v>
      </c>
      <c r="G317" s="44">
        <v>13030543</v>
      </c>
      <c r="H317" t="s">
        <v>563</v>
      </c>
      <c r="K317" t="str">
        <f>_xlfn.CONCAT(Productos[[#This Row],[SAP_Productos]]," ",Productos[[#This Row],[Productos]])</f>
        <v>13030543 Hallulla Casino Granel (Intense)</v>
      </c>
      <c r="N317" t="s">
        <v>719</v>
      </c>
      <c r="O317">
        <v>81210400</v>
      </c>
      <c r="P317">
        <v>16000477</v>
      </c>
      <c r="Q317" t="s">
        <v>912</v>
      </c>
    </row>
    <row r="318" spans="5:17" hidden="1">
      <c r="E318" s="70" t="s">
        <v>33</v>
      </c>
      <c r="F318" s="41" t="s">
        <v>239</v>
      </c>
      <c r="G318" s="42">
        <v>13030098</v>
      </c>
      <c r="H318" t="s">
        <v>563</v>
      </c>
      <c r="K318" t="str">
        <f>_xlfn.CONCAT(Productos[[#This Row],[SAP_Productos]]," ",Productos[[#This Row],[Productos]])</f>
        <v>13030098 Hallulla Congelada</v>
      </c>
      <c r="N318" t="s">
        <v>719</v>
      </c>
      <c r="O318">
        <v>81210400</v>
      </c>
      <c r="P318">
        <v>18000065</v>
      </c>
      <c r="Q318" t="s">
        <v>913</v>
      </c>
    </row>
    <row r="319" spans="5:17" hidden="1">
      <c r="E319" s="70" t="s">
        <v>33</v>
      </c>
      <c r="F319" s="39" t="s">
        <v>255</v>
      </c>
      <c r="G319" s="40">
        <v>13030177</v>
      </c>
      <c r="H319" t="s">
        <v>563</v>
      </c>
      <c r="K319" t="str">
        <f>_xlfn.CONCAT(Productos[[#This Row],[SAP_Productos]]," ",Productos[[#This Row],[Productos]])</f>
        <v>13030177 Hallulla Envasada</v>
      </c>
      <c r="N319" t="s">
        <v>719</v>
      </c>
      <c r="O319">
        <v>81210400</v>
      </c>
      <c r="P319">
        <v>18000069</v>
      </c>
      <c r="Q319" t="s">
        <v>914</v>
      </c>
    </row>
    <row r="320" spans="5:17" hidden="1">
      <c r="E320" s="70" t="s">
        <v>33</v>
      </c>
      <c r="F320" s="41" t="s">
        <v>124</v>
      </c>
      <c r="G320" s="42">
        <v>13001004</v>
      </c>
      <c r="H320" t="s">
        <v>563</v>
      </c>
      <c r="K320" t="str">
        <f>_xlfn.CONCAT(Productos[[#This Row],[SAP_Productos]]," ",Productos[[#This Row],[Productos]])</f>
        <v>13001004 Dobladas</v>
      </c>
      <c r="N320" t="s">
        <v>719</v>
      </c>
      <c r="O320">
        <v>81210400</v>
      </c>
      <c r="P320">
        <v>18000071</v>
      </c>
      <c r="Q320" t="s">
        <v>915</v>
      </c>
    </row>
    <row r="321" spans="5:17" hidden="1">
      <c r="E321" s="70" t="s">
        <v>33</v>
      </c>
      <c r="F321" s="43" t="s">
        <v>151</v>
      </c>
      <c r="G321" s="44">
        <v>13030199</v>
      </c>
      <c r="H321" t="s">
        <v>563</v>
      </c>
      <c r="K321" t="str">
        <f>_xlfn.CONCAT(Productos[[#This Row],[SAP_Productos]]," ",Productos[[#This Row],[Productos]])</f>
        <v>13030199 Dobladas (Ekono)</v>
      </c>
      <c r="N321" t="s">
        <v>719</v>
      </c>
      <c r="O321">
        <v>81210400</v>
      </c>
      <c r="P321">
        <v>18000349</v>
      </c>
      <c r="Q321" t="s">
        <v>916</v>
      </c>
    </row>
    <row r="322" spans="5:17" hidden="1">
      <c r="E322" s="70" t="s">
        <v>33</v>
      </c>
      <c r="F322" s="41" t="s">
        <v>176</v>
      </c>
      <c r="G322" s="42">
        <v>13030406</v>
      </c>
      <c r="H322" t="s">
        <v>563</v>
      </c>
      <c r="K322" t="str">
        <f>_xlfn.CONCAT(Productos[[#This Row],[SAP_Productos]]," ",Productos[[#This Row],[Productos]])</f>
        <v>13030406 Dobladas Ekono (B)</v>
      </c>
      <c r="N322" t="s">
        <v>720</v>
      </c>
      <c r="O322">
        <v>90060000</v>
      </c>
      <c r="P322">
        <v>10001101</v>
      </c>
      <c r="Q322" t="s">
        <v>917</v>
      </c>
    </row>
    <row r="323" spans="5:17" hidden="1">
      <c r="E323" s="70" t="s">
        <v>33</v>
      </c>
      <c r="F323" s="43" t="s">
        <v>292</v>
      </c>
      <c r="G323" s="44">
        <v>13030407</v>
      </c>
      <c r="H323" t="s">
        <v>563</v>
      </c>
      <c r="K323" t="str">
        <f>_xlfn.CONCAT(Productos[[#This Row],[SAP_Productos]]," ",Productos[[#This Row],[Productos]])</f>
        <v>13030407 Pan Coliza</v>
      </c>
      <c r="N323" t="s">
        <v>720</v>
      </c>
      <c r="O323">
        <v>90060000</v>
      </c>
      <c r="P323">
        <v>10003731</v>
      </c>
      <c r="Q323" t="s">
        <v>889</v>
      </c>
    </row>
    <row r="324" spans="5:17" hidden="1">
      <c r="E324" s="70" t="s">
        <v>33</v>
      </c>
      <c r="F324" s="41" t="s">
        <v>295</v>
      </c>
      <c r="G324" s="42">
        <v>13030520</v>
      </c>
      <c r="H324" t="s">
        <v>563</v>
      </c>
      <c r="K324" t="str">
        <f>_xlfn.CONCAT(Productos[[#This Row],[SAP_Productos]]," ",Productos[[#This Row],[Productos]])</f>
        <v>13030520 Pan Coliza Congelada PLT</v>
      </c>
      <c r="N324" t="s">
        <v>720</v>
      </c>
      <c r="O324">
        <v>90060000</v>
      </c>
      <c r="P324">
        <v>10003838</v>
      </c>
      <c r="Q324" t="s">
        <v>455</v>
      </c>
    </row>
    <row r="325" spans="5:17" hidden="1">
      <c r="E325" s="70" t="s">
        <v>33</v>
      </c>
      <c r="F325" s="43" t="s">
        <v>298</v>
      </c>
      <c r="G325" s="44">
        <v>12001372</v>
      </c>
      <c r="H325" t="s">
        <v>563</v>
      </c>
      <c r="K325" t="str">
        <f>_xlfn.CONCAT(Productos[[#This Row],[SAP_Productos]]," ",Productos[[#This Row],[Productos]])</f>
        <v>12001372 Merma masa Hallulla</v>
      </c>
      <c r="N325" t="s">
        <v>720</v>
      </c>
      <c r="O325">
        <v>90060000</v>
      </c>
      <c r="P325">
        <v>10004283</v>
      </c>
      <c r="Q325" t="s">
        <v>860</v>
      </c>
    </row>
    <row r="326" spans="5:17" hidden="1">
      <c r="E326" s="70" t="s">
        <v>33</v>
      </c>
      <c r="F326" s="41" t="s">
        <v>198</v>
      </c>
      <c r="G326" s="42">
        <v>12001376</v>
      </c>
      <c r="H326" t="s">
        <v>563</v>
      </c>
      <c r="K326" t="str">
        <f>_xlfn.CONCAT(Productos[[#This Row],[SAP_Productos]]," ",Productos[[#This Row],[Productos]])</f>
        <v>12001376 Merma masa Dobladas</v>
      </c>
      <c r="N326" t="s">
        <v>720</v>
      </c>
      <c r="O326">
        <v>90060000</v>
      </c>
      <c r="P326">
        <v>10004394</v>
      </c>
      <c r="Q326" t="s">
        <v>918</v>
      </c>
    </row>
    <row r="327" spans="5:17" hidden="1">
      <c r="E327" s="70" t="s">
        <v>33</v>
      </c>
      <c r="F327" s="43" t="s">
        <v>307</v>
      </c>
      <c r="G327" s="44">
        <v>12001381</v>
      </c>
      <c r="H327" t="s">
        <v>563</v>
      </c>
      <c r="K327" t="str">
        <f>_xlfn.CONCAT(Productos[[#This Row],[SAP_Productos]]," ",Productos[[#This Row],[Productos]])</f>
        <v>12001381 Merma masa Coliza</v>
      </c>
      <c r="N327" t="s">
        <v>722</v>
      </c>
      <c r="O327">
        <v>96549220</v>
      </c>
      <c r="P327">
        <v>10003295</v>
      </c>
      <c r="Q327" t="s">
        <v>500</v>
      </c>
    </row>
    <row r="328" spans="5:17" hidden="1">
      <c r="E328" s="70" t="s">
        <v>33</v>
      </c>
      <c r="F328" s="37" t="s">
        <v>94</v>
      </c>
      <c r="G328" s="38">
        <v>12001397</v>
      </c>
      <c r="H328" t="s">
        <v>563</v>
      </c>
      <c r="K328" t="str">
        <f>_xlfn.CONCAT(Productos[[#This Row],[SAP_Productos]]," ",Productos[[#This Row],[Productos]])</f>
        <v>12001397 Semi elaborado marraqueta</v>
      </c>
      <c r="N328" t="s">
        <v>722</v>
      </c>
      <c r="O328">
        <v>96549220</v>
      </c>
      <c r="P328">
        <v>10003296</v>
      </c>
      <c r="Q328" t="s">
        <v>498</v>
      </c>
    </row>
    <row r="329" spans="5:17" hidden="1">
      <c r="E329" s="70" t="s">
        <v>33</v>
      </c>
      <c r="F329" s="39" t="s">
        <v>122</v>
      </c>
      <c r="G329" s="40">
        <v>12001472</v>
      </c>
      <c r="H329" t="s">
        <v>563</v>
      </c>
      <c r="K329" t="str">
        <f>_xlfn.CONCAT(Productos[[#This Row],[SAP_Productos]]," ",Productos[[#This Row],[Productos]])</f>
        <v>12001472 Semi Elaborado Marraqueta piloto</v>
      </c>
      <c r="N329" t="s">
        <v>722</v>
      </c>
      <c r="O329">
        <v>96549220</v>
      </c>
      <c r="P329">
        <v>10003298</v>
      </c>
      <c r="Q329" t="s">
        <v>503</v>
      </c>
    </row>
    <row r="330" spans="5:17" hidden="1">
      <c r="E330" s="70" t="s">
        <v>33</v>
      </c>
      <c r="F330" s="37" t="s">
        <v>96</v>
      </c>
      <c r="G330" s="38">
        <v>12001411</v>
      </c>
      <c r="H330" t="s">
        <v>563</v>
      </c>
      <c r="K330" t="str">
        <f>_xlfn.CONCAT(Productos[[#This Row],[SAP_Productos]]," ",Productos[[#This Row],[Productos]])</f>
        <v>12001411 Semi Elaborado Pan italiano</v>
      </c>
      <c r="N330" t="s">
        <v>722</v>
      </c>
      <c r="O330">
        <v>96549220</v>
      </c>
      <c r="P330">
        <v>10004121</v>
      </c>
      <c r="Q330" t="s">
        <v>867</v>
      </c>
    </row>
    <row r="331" spans="5:17" hidden="1">
      <c r="E331" s="70" t="s">
        <v>33</v>
      </c>
      <c r="F331" s="39" t="s">
        <v>174</v>
      </c>
      <c r="G331" s="40">
        <v>13000270</v>
      </c>
      <c r="H331" t="s">
        <v>563</v>
      </c>
      <c r="K331" t="str">
        <f>_xlfn.CONCAT(Productos[[#This Row],[SAP_Productos]]," ",Productos[[#This Row],[Productos]])</f>
        <v>13000270 Marraqueta Manga  (24 Unidades) CM</v>
      </c>
      <c r="N331" t="s">
        <v>724</v>
      </c>
      <c r="O331">
        <v>76085332</v>
      </c>
      <c r="P331">
        <v>11001534</v>
      </c>
      <c r="Q331" t="s">
        <v>919</v>
      </c>
    </row>
    <row r="332" spans="5:17" hidden="1">
      <c r="E332" s="70" t="s">
        <v>33</v>
      </c>
      <c r="F332" s="37" t="s">
        <v>196</v>
      </c>
      <c r="G332" s="38">
        <v>13030097</v>
      </c>
      <c r="H332" t="s">
        <v>563</v>
      </c>
      <c r="K332" t="str">
        <f>_xlfn.CONCAT(Productos[[#This Row],[SAP_Productos]]," ",Productos[[#This Row],[Productos]])</f>
        <v>13030097 Marraqueta Congelada</v>
      </c>
      <c r="N332" t="s">
        <v>724</v>
      </c>
      <c r="O332">
        <v>76085332</v>
      </c>
      <c r="P332">
        <v>11001559</v>
      </c>
      <c r="Q332" t="s">
        <v>686</v>
      </c>
    </row>
    <row r="333" spans="5:17" hidden="1">
      <c r="E333" s="70" t="s">
        <v>33</v>
      </c>
      <c r="F333" s="39" t="s">
        <v>218</v>
      </c>
      <c r="G333" s="40">
        <v>13030176</v>
      </c>
      <c r="H333" t="s">
        <v>563</v>
      </c>
      <c r="K333" t="str">
        <f>_xlfn.CONCAT(Productos[[#This Row],[SAP_Productos]]," ",Productos[[#This Row],[Productos]])</f>
        <v>13030176 Marraqueta Envasada</v>
      </c>
      <c r="N333" t="s">
        <v>724</v>
      </c>
      <c r="O333">
        <v>76085332</v>
      </c>
      <c r="P333">
        <v>11001645</v>
      </c>
      <c r="Q333" t="s">
        <v>920</v>
      </c>
    </row>
    <row r="334" spans="5:17" hidden="1">
      <c r="E334" s="70" t="s">
        <v>33</v>
      </c>
      <c r="F334" s="37" t="s">
        <v>238</v>
      </c>
      <c r="G334" s="38">
        <v>13030210</v>
      </c>
      <c r="H334" t="s">
        <v>563</v>
      </c>
      <c r="K334" t="str">
        <f>_xlfn.CONCAT(Productos[[#This Row],[SAP_Productos]]," ",Productos[[#This Row],[Productos]])</f>
        <v>13030210 Marraqueta Manga (12 Unidades)</v>
      </c>
      <c r="N334" t="s">
        <v>724</v>
      </c>
      <c r="O334">
        <v>76085332</v>
      </c>
      <c r="P334">
        <v>11001707</v>
      </c>
      <c r="Q334" t="s">
        <v>842</v>
      </c>
    </row>
    <row r="335" spans="5:17" hidden="1">
      <c r="E335" s="70" t="s">
        <v>33</v>
      </c>
      <c r="F335" s="39" t="s">
        <v>254</v>
      </c>
      <c r="G335" s="40">
        <v>13030321</v>
      </c>
      <c r="H335" t="s">
        <v>563</v>
      </c>
      <c r="K335" t="str">
        <f>_xlfn.CONCAT(Productos[[#This Row],[SAP_Productos]]," ",Productos[[#This Row],[Productos]])</f>
        <v>13030321 Marraqueta_2 Ekono</v>
      </c>
      <c r="N335" t="s">
        <v>724</v>
      </c>
      <c r="O335">
        <v>76085332</v>
      </c>
      <c r="P335">
        <v>11001712</v>
      </c>
      <c r="Q335" t="s">
        <v>688</v>
      </c>
    </row>
    <row r="336" spans="5:17" hidden="1">
      <c r="E336" s="70" t="s">
        <v>33</v>
      </c>
      <c r="F336" s="37" t="s">
        <v>265</v>
      </c>
      <c r="G336" s="38">
        <v>13030402</v>
      </c>
      <c r="H336" t="s">
        <v>563</v>
      </c>
      <c r="K336" t="str">
        <f>_xlfn.CONCAT(Productos[[#This Row],[SAP_Productos]]," ",Productos[[#This Row],[Productos]])</f>
        <v>13030402 Marraqueta_2 Ban</v>
      </c>
      <c r="N336" t="s">
        <v>724</v>
      </c>
      <c r="O336">
        <v>76085332</v>
      </c>
      <c r="P336">
        <v>11001757</v>
      </c>
      <c r="Q336" t="s">
        <v>921</v>
      </c>
    </row>
    <row r="337" spans="5:17" hidden="1">
      <c r="E337" s="70" t="s">
        <v>33</v>
      </c>
      <c r="F337" s="39" t="s">
        <v>273</v>
      </c>
      <c r="G337" s="40">
        <v>13030404</v>
      </c>
      <c r="H337" t="s">
        <v>563</v>
      </c>
      <c r="K337" t="str">
        <f>_xlfn.CONCAT(Productos[[#This Row],[SAP_Productos]]," ",Productos[[#This Row],[Productos]])</f>
        <v>13030404 Marraqueta_2 Ekono (B)</v>
      </c>
      <c r="N337" t="s">
        <v>724</v>
      </c>
      <c r="O337">
        <v>76085332</v>
      </c>
      <c r="P337">
        <v>11001759</v>
      </c>
      <c r="Q337" t="s">
        <v>922</v>
      </c>
    </row>
    <row r="338" spans="5:17" hidden="1">
      <c r="E338" s="70" t="s">
        <v>33</v>
      </c>
      <c r="F338" s="37" t="s">
        <v>280</v>
      </c>
      <c r="G338" s="38">
        <v>13030468</v>
      </c>
      <c r="H338" t="s">
        <v>563</v>
      </c>
      <c r="K338" t="str">
        <f>_xlfn.CONCAT(Productos[[#This Row],[SAP_Productos]]," ",Productos[[#This Row],[Productos]])</f>
        <v>13030468 Marraqueta_2 (10 BAN)</v>
      </c>
      <c r="N338" t="s">
        <v>724</v>
      </c>
      <c r="O338">
        <v>76085332</v>
      </c>
      <c r="P338">
        <v>11001765</v>
      </c>
      <c r="Q338" t="s">
        <v>923</v>
      </c>
    </row>
    <row r="339" spans="5:17" hidden="1">
      <c r="E339" s="70" t="s">
        <v>33</v>
      </c>
      <c r="F339" s="39" t="s">
        <v>285</v>
      </c>
      <c r="G339" s="40">
        <v>13030597</v>
      </c>
      <c r="H339" t="s">
        <v>563</v>
      </c>
      <c r="K339" t="str">
        <f>_xlfn.CONCAT(Productos[[#This Row],[SAP_Productos]]," ",Productos[[#This Row],[Productos]])</f>
        <v>13030597 Marraqueta granel piloto</v>
      </c>
      <c r="N339" t="s">
        <v>724</v>
      </c>
      <c r="O339">
        <v>76085332</v>
      </c>
      <c r="P339">
        <v>11001769</v>
      </c>
      <c r="Q339" t="s">
        <v>924</v>
      </c>
    </row>
    <row r="340" spans="5:17" hidden="1">
      <c r="E340" s="70" t="s">
        <v>33</v>
      </c>
      <c r="F340" s="37" t="s">
        <v>125</v>
      </c>
      <c r="G340" s="38">
        <v>13030301</v>
      </c>
      <c r="H340" t="s">
        <v>563</v>
      </c>
      <c r="K340" t="str">
        <f>_xlfn.CONCAT(Productos[[#This Row],[SAP_Productos]]," ",Productos[[#This Row],[Productos]])</f>
        <v>13030301 Pan Italiano</v>
      </c>
      <c r="N340" t="s">
        <v>724</v>
      </c>
      <c r="O340">
        <v>76085332</v>
      </c>
      <c r="P340">
        <v>11001772</v>
      </c>
      <c r="Q340" t="s">
        <v>925</v>
      </c>
    </row>
    <row r="341" spans="5:17" hidden="1">
      <c r="E341" s="70" t="s">
        <v>33</v>
      </c>
      <c r="F341" s="39" t="s">
        <v>152</v>
      </c>
      <c r="G341" s="40">
        <v>13030322</v>
      </c>
      <c r="H341" t="s">
        <v>563</v>
      </c>
      <c r="K341" t="str">
        <f>_xlfn.CONCAT(Productos[[#This Row],[SAP_Productos]]," ",Productos[[#This Row],[Productos]])</f>
        <v>13030322 Pan Italiano Ekono (B)</v>
      </c>
      <c r="N341" t="s">
        <v>724</v>
      </c>
      <c r="O341">
        <v>76085332</v>
      </c>
      <c r="P341">
        <v>11001774</v>
      </c>
      <c r="Q341" t="s">
        <v>926</v>
      </c>
    </row>
    <row r="342" spans="5:17" hidden="1">
      <c r="E342" s="70" t="s">
        <v>33</v>
      </c>
      <c r="F342" s="37" t="s">
        <v>177</v>
      </c>
      <c r="G342" s="38">
        <v>13030489</v>
      </c>
      <c r="H342" t="s">
        <v>563</v>
      </c>
      <c r="K342" t="str">
        <f>_xlfn.CONCAT(Productos[[#This Row],[SAP_Productos]]," ",Productos[[#This Row],[Productos]])</f>
        <v>13030489 Italiano CM 5 K</v>
      </c>
      <c r="N342" t="s">
        <v>724</v>
      </c>
      <c r="O342">
        <v>76085332</v>
      </c>
      <c r="P342">
        <v>11001778</v>
      </c>
      <c r="Q342" t="s">
        <v>927</v>
      </c>
    </row>
    <row r="343" spans="5:17" hidden="1">
      <c r="E343" s="70" t="s">
        <v>33</v>
      </c>
      <c r="F343" s="39" t="s">
        <v>199</v>
      </c>
      <c r="G343" s="40">
        <v>13030519</v>
      </c>
      <c r="H343" t="s">
        <v>563</v>
      </c>
      <c r="K343" t="str">
        <f>_xlfn.CONCAT(Productos[[#This Row],[SAP_Productos]]," ",Productos[[#This Row],[Productos]])</f>
        <v>13030519 Pan Italiano Congelado PLT</v>
      </c>
      <c r="N343" t="s">
        <v>724</v>
      </c>
      <c r="O343">
        <v>76085332</v>
      </c>
      <c r="P343">
        <v>11001779</v>
      </c>
      <c r="Q343" t="s">
        <v>928</v>
      </c>
    </row>
    <row r="344" spans="5:17" hidden="1">
      <c r="E344" s="70" t="s">
        <v>33</v>
      </c>
      <c r="F344" s="37" t="s">
        <v>220</v>
      </c>
      <c r="G344" s="38">
        <v>12001374</v>
      </c>
      <c r="H344" t="s">
        <v>563</v>
      </c>
      <c r="K344" t="str">
        <f>_xlfn.CONCAT(Productos[[#This Row],[SAP_Productos]]," ",Productos[[#This Row],[Productos]])</f>
        <v>12001374 Merma masa Pan Italiano</v>
      </c>
      <c r="N344" t="s">
        <v>724</v>
      </c>
      <c r="O344">
        <v>76085332</v>
      </c>
      <c r="P344">
        <v>11001780</v>
      </c>
      <c r="Q344" t="s">
        <v>929</v>
      </c>
    </row>
    <row r="345" spans="5:17" hidden="1">
      <c r="E345" s="70" t="s">
        <v>33</v>
      </c>
      <c r="F345" s="39" t="s">
        <v>308</v>
      </c>
      <c r="G345" s="40">
        <v>12001447</v>
      </c>
      <c r="H345" t="s">
        <v>563</v>
      </c>
      <c r="K345" t="str">
        <f>_xlfn.CONCAT(Productos[[#This Row],[SAP_Productos]]," ",Productos[[#This Row],[Productos]])</f>
        <v>12001447 Merma Masa marraqueta piloto</v>
      </c>
      <c r="N345" t="s">
        <v>724</v>
      </c>
      <c r="O345">
        <v>76085332</v>
      </c>
      <c r="P345">
        <v>11001786</v>
      </c>
      <c r="Q345" t="s">
        <v>529</v>
      </c>
    </row>
    <row r="346" spans="5:17" hidden="1">
      <c r="E346" s="70" t="s">
        <v>33</v>
      </c>
      <c r="F346" s="37" t="s">
        <v>313</v>
      </c>
      <c r="G346" s="38">
        <v>12001339</v>
      </c>
      <c r="H346" t="s">
        <v>563</v>
      </c>
      <c r="K346" t="str">
        <f>_xlfn.CONCAT(Productos[[#This Row],[SAP_Productos]]," ",Productos[[#This Row],[Productos]])</f>
        <v>12001339 Merma Masa Marraqueta</v>
      </c>
      <c r="N346" t="s">
        <v>724</v>
      </c>
      <c r="O346">
        <v>76085332</v>
      </c>
      <c r="P346">
        <v>11001808</v>
      </c>
      <c r="Q346" t="s">
        <v>930</v>
      </c>
    </row>
    <row r="347" spans="5:17" hidden="1">
      <c r="E347" s="70" t="s">
        <v>33</v>
      </c>
      <c r="F347" s="37" t="s">
        <v>299</v>
      </c>
      <c r="G347" s="38">
        <v>12001407</v>
      </c>
      <c r="H347" t="s">
        <v>563</v>
      </c>
      <c r="K347" t="str">
        <f>_xlfn.CONCAT(Productos[[#This Row],[SAP_Productos]]," ",Productos[[#This Row],[Productos]])</f>
        <v>12001407 Semi Elaborado Pan Amasado</v>
      </c>
      <c r="N347" t="s">
        <v>724</v>
      </c>
      <c r="O347">
        <v>76085332</v>
      </c>
      <c r="P347">
        <v>11001812</v>
      </c>
      <c r="Q347" t="s">
        <v>931</v>
      </c>
    </row>
    <row r="348" spans="5:17" hidden="1">
      <c r="E348" s="70" t="s">
        <v>33</v>
      </c>
      <c r="F348" s="37" t="s">
        <v>303</v>
      </c>
      <c r="G348" s="38">
        <v>13030395</v>
      </c>
      <c r="H348" t="s">
        <v>563</v>
      </c>
      <c r="K348" t="str">
        <f>_xlfn.CONCAT(Productos[[#This Row],[SAP_Productos]]," ",Productos[[#This Row],[Productos]])</f>
        <v>13030395 Pan Amasado</v>
      </c>
      <c r="N348" t="s">
        <v>724</v>
      </c>
      <c r="O348">
        <v>76085332</v>
      </c>
      <c r="P348">
        <v>11001832</v>
      </c>
      <c r="Q348" t="s">
        <v>932</v>
      </c>
    </row>
    <row r="349" spans="5:17" hidden="1">
      <c r="E349" s="70" t="s">
        <v>33</v>
      </c>
      <c r="F349" s="37" t="s">
        <v>309</v>
      </c>
      <c r="G349" s="38">
        <v>13030396</v>
      </c>
      <c r="H349" t="s">
        <v>563</v>
      </c>
      <c r="K349" t="str">
        <f>_xlfn.CONCAT(Productos[[#This Row],[SAP_Productos]]," ",Productos[[#This Row],[Productos]])</f>
        <v>13030396 Pan Amasado Congelado</v>
      </c>
      <c r="N349" t="s">
        <v>724</v>
      </c>
      <c r="O349">
        <v>76085332</v>
      </c>
      <c r="P349">
        <v>11001860</v>
      </c>
      <c r="Q349" t="s">
        <v>933</v>
      </c>
    </row>
    <row r="350" spans="5:17" hidden="1">
      <c r="E350" s="70" t="s">
        <v>33</v>
      </c>
      <c r="F350" s="37" t="s">
        <v>314</v>
      </c>
      <c r="G350" s="38">
        <v>13030397</v>
      </c>
      <c r="H350" t="s">
        <v>563</v>
      </c>
      <c r="K350" t="str">
        <f>_xlfn.CONCAT(Productos[[#This Row],[SAP_Productos]]," ",Productos[[#This Row],[Productos]])</f>
        <v>13030397 Pan Amasado Ekono</v>
      </c>
      <c r="N350" t="s">
        <v>724</v>
      </c>
      <c r="O350">
        <v>76085332</v>
      </c>
      <c r="P350">
        <v>11001861</v>
      </c>
      <c r="Q350" t="s">
        <v>934</v>
      </c>
    </row>
    <row r="351" spans="5:17" hidden="1">
      <c r="E351" s="70" t="s">
        <v>33</v>
      </c>
      <c r="F351" s="37" t="s">
        <v>318</v>
      </c>
      <c r="G351" s="38">
        <v>13030405</v>
      </c>
      <c r="H351" t="s">
        <v>563</v>
      </c>
      <c r="K351" t="str">
        <f>_xlfn.CONCAT(Productos[[#This Row],[SAP_Productos]]," ",Productos[[#This Row],[Productos]])</f>
        <v>13030405 Pan Amasado Ekono (B)</v>
      </c>
      <c r="N351" t="s">
        <v>724</v>
      </c>
      <c r="O351">
        <v>76085332</v>
      </c>
      <c r="P351">
        <v>11001862</v>
      </c>
      <c r="Q351" t="s">
        <v>935</v>
      </c>
    </row>
    <row r="352" spans="5:17" hidden="1">
      <c r="E352" s="70" t="s">
        <v>33</v>
      </c>
      <c r="F352" s="37" t="s">
        <v>328</v>
      </c>
      <c r="G352" s="38">
        <v>13030521</v>
      </c>
      <c r="H352" t="s">
        <v>563</v>
      </c>
      <c r="K352" t="str">
        <f>_xlfn.CONCAT(Productos[[#This Row],[SAP_Productos]]," ",Productos[[#This Row],[Productos]])</f>
        <v>13030521 Pan Amasado Congelado PLT</v>
      </c>
      <c r="N352" t="s">
        <v>724</v>
      </c>
      <c r="O352">
        <v>76085332</v>
      </c>
      <c r="P352">
        <v>11001863</v>
      </c>
      <c r="Q352" t="s">
        <v>936</v>
      </c>
    </row>
    <row r="353" spans="5:17" hidden="1">
      <c r="E353" s="70" t="s">
        <v>33</v>
      </c>
      <c r="F353" s="41" t="s">
        <v>93</v>
      </c>
      <c r="G353" s="42">
        <v>12001396</v>
      </c>
      <c r="H353" t="s">
        <v>563</v>
      </c>
      <c r="K353" t="str">
        <f>_xlfn.CONCAT(Productos[[#This Row],[SAP_Productos]]," ",Productos[[#This Row],[Productos]])</f>
        <v>12001396 Semi elaborado hallulla</v>
      </c>
      <c r="N353" t="s">
        <v>724</v>
      </c>
      <c r="O353">
        <v>76085332</v>
      </c>
      <c r="P353">
        <v>11001868</v>
      </c>
      <c r="Q353" t="s">
        <v>893</v>
      </c>
    </row>
    <row r="354" spans="5:17">
      <c r="E354" s="70" t="s">
        <v>33</v>
      </c>
      <c r="F354" s="39" t="s">
        <v>332</v>
      </c>
      <c r="G354" s="40">
        <v>12001408</v>
      </c>
      <c r="H354" t="s">
        <v>563</v>
      </c>
      <c r="K354" t="str">
        <f>_xlfn.CONCAT(Productos[[#This Row],[SAP_Productos]]," ",Productos[[#This Row],[Productos]])</f>
        <v>12001408 Semi Elaborado Hallullita especial preco</v>
      </c>
      <c r="N354" t="s">
        <v>724</v>
      </c>
      <c r="O354">
        <v>76085332</v>
      </c>
      <c r="P354">
        <v>11001869</v>
      </c>
      <c r="Q354" t="s">
        <v>894</v>
      </c>
    </row>
    <row r="355" spans="5:17" hidden="1">
      <c r="E355" s="70" t="s">
        <v>33</v>
      </c>
      <c r="F355" s="37" t="s">
        <v>365</v>
      </c>
      <c r="G355" s="38">
        <v>12001375</v>
      </c>
      <c r="H355" t="s">
        <v>563</v>
      </c>
      <c r="K355" t="str">
        <f>_xlfn.CONCAT(Productos[[#This Row],[SAP_Productos]]," ",Productos[[#This Row],[Productos]])</f>
        <v>12001375 Merma Masa Pan Amasado</v>
      </c>
      <c r="N355" t="s">
        <v>724</v>
      </c>
      <c r="O355">
        <v>76085332</v>
      </c>
      <c r="P355">
        <v>11001873</v>
      </c>
      <c r="Q355" t="s">
        <v>673</v>
      </c>
    </row>
    <row r="356" spans="5:17" hidden="1">
      <c r="E356" s="70" t="s">
        <v>33</v>
      </c>
      <c r="F356" s="37" t="s">
        <v>368</v>
      </c>
      <c r="G356" s="38">
        <v>12001409</v>
      </c>
      <c r="H356" t="s">
        <v>563</v>
      </c>
      <c r="K356" t="str">
        <f>_xlfn.CONCAT(Productos[[#This Row],[SAP_Productos]]," ",Productos[[#This Row],[Productos]])</f>
        <v>12001409 Merma masa Hallullita</v>
      </c>
      <c r="N356" t="s">
        <v>724</v>
      </c>
      <c r="O356">
        <v>76085332</v>
      </c>
      <c r="P356">
        <v>11001874</v>
      </c>
      <c r="Q356" t="s">
        <v>937</v>
      </c>
    </row>
    <row r="357" spans="5:17" hidden="1">
      <c r="E357" s="70" t="s">
        <v>33</v>
      </c>
      <c r="F357" s="37" t="s">
        <v>371</v>
      </c>
      <c r="G357" s="38">
        <v>12000110</v>
      </c>
      <c r="H357" t="s">
        <v>563</v>
      </c>
      <c r="K357" t="str">
        <f>_xlfn.CONCAT(Productos[[#This Row],[SAP_Productos]]," ",Productos[[#This Row],[Productos]])</f>
        <v>12000110 Merma masa Hallulla Especial Suave</v>
      </c>
      <c r="N357" t="s">
        <v>724</v>
      </c>
      <c r="O357">
        <v>76085332</v>
      </c>
      <c r="P357">
        <v>11001900</v>
      </c>
      <c r="Q357" t="s">
        <v>938</v>
      </c>
    </row>
    <row r="358" spans="5:17" hidden="1">
      <c r="E358" s="70" t="s">
        <v>33</v>
      </c>
      <c r="F358" s="37" t="s">
        <v>374</v>
      </c>
      <c r="G358" s="38">
        <v>12001373</v>
      </c>
      <c r="H358" t="s">
        <v>563</v>
      </c>
      <c r="K358" t="str">
        <f>_xlfn.CONCAT(Productos[[#This Row],[SAP_Productos]]," ",Productos[[#This Row],[Productos]])</f>
        <v>12001373 Merma masa Hallulla Especial</v>
      </c>
      <c r="N358" t="s">
        <v>724</v>
      </c>
      <c r="O358">
        <v>76085332</v>
      </c>
      <c r="P358">
        <v>11001901</v>
      </c>
      <c r="Q358" t="s">
        <v>939</v>
      </c>
    </row>
    <row r="359" spans="5:17" hidden="1">
      <c r="E359" s="70" t="s">
        <v>33</v>
      </c>
      <c r="F359" s="37" t="s">
        <v>751</v>
      </c>
      <c r="G359" s="38">
        <v>13030605</v>
      </c>
      <c r="H359" t="s">
        <v>563</v>
      </c>
      <c r="K359" t="str">
        <f>_xlfn.CONCAT(Productos[[#This Row],[SAP_Productos]]," ",Productos[[#This Row],[Productos]])</f>
        <v>13030605 Italiano Familiar</v>
      </c>
      <c r="N359" t="s">
        <v>724</v>
      </c>
      <c r="O359">
        <v>76085332</v>
      </c>
      <c r="P359">
        <v>11001902</v>
      </c>
      <c r="Q359" t="s">
        <v>939</v>
      </c>
    </row>
    <row r="360" spans="5:17" hidden="1">
      <c r="E360" s="70" t="s">
        <v>33</v>
      </c>
      <c r="F360" s="37" t="s">
        <v>753</v>
      </c>
      <c r="G360" s="38">
        <v>13030301</v>
      </c>
      <c r="H360" t="s">
        <v>563</v>
      </c>
      <c r="K360" t="str">
        <f>_xlfn.CONCAT(Productos[[#This Row],[SAP_Productos]]," ",Productos[[#This Row],[Productos]])</f>
        <v>13030301 Italiano 120g</v>
      </c>
      <c r="N360" t="s">
        <v>724</v>
      </c>
      <c r="O360">
        <v>76085332</v>
      </c>
      <c r="P360">
        <v>11001903</v>
      </c>
      <c r="Q360" t="s">
        <v>940</v>
      </c>
    </row>
    <row r="361" spans="5:17" hidden="1">
      <c r="E361" s="70" t="s">
        <v>33</v>
      </c>
      <c r="F361" s="37" t="s">
        <v>755</v>
      </c>
      <c r="G361" s="38">
        <v>13030601</v>
      </c>
      <c r="H361" t="s">
        <v>563</v>
      </c>
      <c r="K361" t="str">
        <f>_xlfn.CONCAT(Productos[[#This Row],[SAP_Productos]]," ",Productos[[#This Row],[Productos]])</f>
        <v>13030601 Baguette 250gr</v>
      </c>
      <c r="N361" t="s">
        <v>724</v>
      </c>
      <c r="O361">
        <v>76085332</v>
      </c>
      <c r="P361">
        <v>11001904</v>
      </c>
      <c r="Q361" t="s">
        <v>941</v>
      </c>
    </row>
    <row r="362" spans="5:17" hidden="1">
      <c r="E362" s="70" t="s">
        <v>33</v>
      </c>
      <c r="F362" s="37" t="s">
        <v>757</v>
      </c>
      <c r="G362" s="38">
        <v>13030602</v>
      </c>
      <c r="H362" t="s">
        <v>563</v>
      </c>
      <c r="K362" t="str">
        <f>_xlfn.CONCAT(Productos[[#This Row],[SAP_Productos]]," ",Productos[[#This Row],[Productos]])</f>
        <v>13030602 Baguette 120gr</v>
      </c>
      <c r="N362" t="s">
        <v>724</v>
      </c>
      <c r="O362">
        <v>76085332</v>
      </c>
      <c r="P362">
        <v>11001905</v>
      </c>
      <c r="Q362" t="s">
        <v>942</v>
      </c>
    </row>
    <row r="363" spans="5:17" hidden="1">
      <c r="E363" s="70" t="s">
        <v>33</v>
      </c>
      <c r="F363" s="37" t="s">
        <v>759</v>
      </c>
      <c r="G363" s="38">
        <v>13030603</v>
      </c>
      <c r="H363" t="s">
        <v>563</v>
      </c>
      <c r="K363" t="str">
        <f>_xlfn.CONCAT(Productos[[#This Row],[SAP_Productos]]," ",Productos[[#This Row],[Productos]])</f>
        <v>13030603 Chocosito</v>
      </c>
      <c r="N363" t="s">
        <v>724</v>
      </c>
      <c r="O363">
        <v>76085332</v>
      </c>
      <c r="P363">
        <v>11001906</v>
      </c>
      <c r="Q363" t="s">
        <v>943</v>
      </c>
    </row>
    <row r="364" spans="5:17" hidden="1">
      <c r="E364" s="70" t="s">
        <v>33</v>
      </c>
      <c r="F364" s="49" t="s">
        <v>92</v>
      </c>
      <c r="G364" s="50">
        <v>13030409</v>
      </c>
      <c r="H364" t="s">
        <v>563</v>
      </c>
      <c r="K364" t="str">
        <f>_xlfn.CONCAT(Productos[[#This Row],[SAP_Productos]]," ",Productos[[#This Row],[Productos]])</f>
        <v>13030409 Pizza Salame</v>
      </c>
      <c r="N364" t="s">
        <v>724</v>
      </c>
      <c r="O364">
        <v>76085332</v>
      </c>
      <c r="P364">
        <v>11001907</v>
      </c>
      <c r="Q364" t="s">
        <v>944</v>
      </c>
    </row>
    <row r="365" spans="5:17" hidden="1">
      <c r="E365" s="70" t="s">
        <v>33</v>
      </c>
      <c r="F365" s="49" t="s">
        <v>121</v>
      </c>
      <c r="G365" s="50">
        <v>13030435</v>
      </c>
      <c r="H365" t="s">
        <v>563</v>
      </c>
      <c r="K365" t="str">
        <f>_xlfn.CONCAT(Productos[[#This Row],[SAP_Productos]]," ",Productos[[#This Row],[Productos]])</f>
        <v>13030435 Pizza Casino Napolitana</v>
      </c>
      <c r="N365" t="s">
        <v>724</v>
      </c>
      <c r="O365">
        <v>76085332</v>
      </c>
      <c r="P365">
        <v>11001908</v>
      </c>
      <c r="Q365" t="s">
        <v>945</v>
      </c>
    </row>
    <row r="366" spans="5:17" hidden="1">
      <c r="E366" s="70" t="s">
        <v>33</v>
      </c>
      <c r="F366" s="49" t="s">
        <v>148</v>
      </c>
      <c r="G366" s="50">
        <v>13030495</v>
      </c>
      <c r="H366" t="s">
        <v>563</v>
      </c>
      <c r="K366" t="str">
        <f>_xlfn.CONCAT(Productos[[#This Row],[SAP_Productos]]," ",Productos[[#This Row],[Productos]])</f>
        <v>13030495 Pizza Española</v>
      </c>
      <c r="N366" t="s">
        <v>724</v>
      </c>
      <c r="O366">
        <v>76085332</v>
      </c>
      <c r="P366">
        <v>11001924</v>
      </c>
      <c r="Q366" t="s">
        <v>946</v>
      </c>
    </row>
    <row r="367" spans="5:17" hidden="1">
      <c r="E367" s="70" t="s">
        <v>33</v>
      </c>
      <c r="F367" s="49" t="s">
        <v>173</v>
      </c>
      <c r="G367" s="50">
        <v>13030544</v>
      </c>
      <c r="H367" t="s">
        <v>563</v>
      </c>
      <c r="K367" t="str">
        <f>_xlfn.CONCAT(Productos[[#This Row],[SAP_Productos]]," ",Productos[[#This Row],[Productos]])</f>
        <v>13030544 Pizza Casino Napolitana Cuadrada</v>
      </c>
      <c r="N367" t="s">
        <v>724</v>
      </c>
      <c r="O367">
        <v>76085332</v>
      </c>
      <c r="P367">
        <v>11001925</v>
      </c>
      <c r="Q367" t="s">
        <v>947</v>
      </c>
    </row>
    <row r="368" spans="5:17" hidden="1">
      <c r="E368" s="70" t="s">
        <v>33</v>
      </c>
      <c r="F368" s="49" t="s">
        <v>195</v>
      </c>
      <c r="G368" s="50">
        <v>13030093</v>
      </c>
      <c r="H368" t="s">
        <v>563</v>
      </c>
      <c r="K368" t="str">
        <f>_xlfn.CONCAT(Productos[[#This Row],[SAP_Productos]]," ",Productos[[#This Row],[Productos]])</f>
        <v>13030093 Pizza Napolitana</v>
      </c>
      <c r="N368" t="s">
        <v>724</v>
      </c>
      <c r="O368">
        <v>76085332</v>
      </c>
      <c r="P368">
        <v>11001926</v>
      </c>
      <c r="Q368" t="s">
        <v>948</v>
      </c>
    </row>
    <row r="369" spans="5:17">
      <c r="E369" s="70" t="s">
        <v>33</v>
      </c>
      <c r="F369" s="49" t="s">
        <v>217</v>
      </c>
      <c r="G369" s="50">
        <v>13030104</v>
      </c>
      <c r="H369" t="s">
        <v>563</v>
      </c>
      <c r="K369" t="str">
        <f>_xlfn.CONCAT(Productos[[#This Row],[SAP_Productos]]," ",Productos[[#This Row],[Productos]])</f>
        <v>13030104 Masa Pre Pizza Pack</v>
      </c>
      <c r="N369" t="s">
        <v>724</v>
      </c>
      <c r="O369">
        <v>76085332</v>
      </c>
      <c r="P369">
        <v>11001927</v>
      </c>
      <c r="Q369" t="s">
        <v>949</v>
      </c>
    </row>
    <row r="370" spans="5:17" hidden="1">
      <c r="E370" s="70" t="s">
        <v>33</v>
      </c>
      <c r="F370" s="49" t="s">
        <v>237</v>
      </c>
      <c r="G370" s="50">
        <v>13030190</v>
      </c>
      <c r="H370" t="s">
        <v>563</v>
      </c>
      <c r="K370" t="str">
        <f>_xlfn.CONCAT(Productos[[#This Row],[SAP_Productos]]," ",Productos[[#This Row],[Productos]])</f>
        <v>13030190 Pizza Napolitana SBA (acuenta)</v>
      </c>
      <c r="N370" t="s">
        <v>724</v>
      </c>
      <c r="O370">
        <v>76085332</v>
      </c>
      <c r="P370">
        <v>11001928</v>
      </c>
      <c r="Q370" t="s">
        <v>950</v>
      </c>
    </row>
    <row r="371" spans="5:17" hidden="1">
      <c r="E371" s="70" t="s">
        <v>33</v>
      </c>
      <c r="F371" s="49" t="s">
        <v>253</v>
      </c>
      <c r="G371" s="50">
        <v>13030191</v>
      </c>
      <c r="H371" t="s">
        <v>563</v>
      </c>
      <c r="K371" t="str">
        <f>_xlfn.CONCAT(Productos[[#This Row],[SAP_Productos]]," ",Productos[[#This Row],[Productos]])</f>
        <v>13030191 Pizza Pollo Champiñon SBA</v>
      </c>
      <c r="N371" t="s">
        <v>724</v>
      </c>
      <c r="O371">
        <v>76085332</v>
      </c>
      <c r="P371">
        <v>11001930</v>
      </c>
      <c r="Q371" t="s">
        <v>951</v>
      </c>
    </row>
    <row r="372" spans="5:17" hidden="1">
      <c r="E372" s="70" t="s">
        <v>33</v>
      </c>
      <c r="F372" s="126" t="s">
        <v>769</v>
      </c>
      <c r="G372" s="52">
        <v>13030092</v>
      </c>
      <c r="H372" t="s">
        <v>563</v>
      </c>
      <c r="K372" t="str">
        <f>_xlfn.CONCAT(Productos[[#This Row],[SAP_Productos]]," ",Productos[[#This Row],[Productos]])</f>
        <v>13030092 Pizza Pepperoni Lider</v>
      </c>
      <c r="N372" t="s">
        <v>724</v>
      </c>
      <c r="O372">
        <v>76085332</v>
      </c>
      <c r="P372">
        <v>11001932</v>
      </c>
      <c r="Q372" t="s">
        <v>952</v>
      </c>
    </row>
    <row r="373" spans="5:17" hidden="1">
      <c r="E373" s="70" t="s">
        <v>33</v>
      </c>
      <c r="F373" s="151" t="s">
        <v>771</v>
      </c>
      <c r="G373" s="50">
        <v>13030094</v>
      </c>
      <c r="H373" t="s">
        <v>563</v>
      </c>
      <c r="K373" t="str">
        <f>_xlfn.CONCAT(Productos[[#This Row],[SAP_Productos]]," ",Productos[[#This Row],[Productos]])</f>
        <v>13030094 Pizza Vegetariana</v>
      </c>
      <c r="N373" t="s">
        <v>724</v>
      </c>
      <c r="O373">
        <v>76085332</v>
      </c>
      <c r="P373">
        <v>11001934</v>
      </c>
      <c r="Q373" t="s">
        <v>953</v>
      </c>
    </row>
    <row r="374" spans="5:17">
      <c r="E374" s="70" t="s">
        <v>33</v>
      </c>
      <c r="F374" s="49" t="s">
        <v>264</v>
      </c>
      <c r="G374" s="50">
        <v>13030279</v>
      </c>
      <c r="H374" t="s">
        <v>563</v>
      </c>
      <c r="K374" t="str">
        <f>_xlfn.CONCAT(Productos[[#This Row],[SAP_Productos]]," ",Productos[[#This Row],[Productos]])</f>
        <v>13030279 Masa Pre Pizza Ultra Delgada</v>
      </c>
      <c r="N374" t="s">
        <v>724</v>
      </c>
      <c r="O374">
        <v>76085332</v>
      </c>
      <c r="P374">
        <v>11001935</v>
      </c>
      <c r="Q374" t="s">
        <v>954</v>
      </c>
    </row>
    <row r="375" spans="5:17" hidden="1">
      <c r="E375" s="70" t="s">
        <v>33</v>
      </c>
      <c r="F375" s="49" t="s">
        <v>272</v>
      </c>
      <c r="G375" s="50">
        <v>13030280</v>
      </c>
      <c r="H375" t="s">
        <v>563</v>
      </c>
      <c r="K375" t="str">
        <f>_xlfn.CONCAT(Productos[[#This Row],[SAP_Productos]]," ",Productos[[#This Row],[Productos]])</f>
        <v>13030280 Pizza Pepperoni Acuenta</v>
      </c>
      <c r="N375" t="s">
        <v>724</v>
      </c>
      <c r="O375">
        <v>76085332</v>
      </c>
      <c r="P375">
        <v>11001936</v>
      </c>
      <c r="Q375" t="s">
        <v>955</v>
      </c>
    </row>
    <row r="376" spans="5:17" hidden="1">
      <c r="E376" s="70" t="s">
        <v>33</v>
      </c>
      <c r="F376" s="49" t="s">
        <v>279</v>
      </c>
      <c r="G376" s="38">
        <v>12001366</v>
      </c>
      <c r="H376" t="s">
        <v>563</v>
      </c>
      <c r="K376" t="str">
        <f>_xlfn.CONCAT(Productos[[#This Row],[SAP_Productos]]," ",Productos[[#This Row],[Productos]])</f>
        <v>12001366 Masa Pizza Ultra Delgada</v>
      </c>
      <c r="N376" t="s">
        <v>724</v>
      </c>
      <c r="O376">
        <v>76085332</v>
      </c>
      <c r="P376">
        <v>11001937</v>
      </c>
      <c r="Q376" t="s">
        <v>956</v>
      </c>
    </row>
    <row r="377" spans="5:17" hidden="1">
      <c r="E377" s="70" t="s">
        <v>33</v>
      </c>
      <c r="F377" s="39" t="s">
        <v>91</v>
      </c>
      <c r="G377" s="40">
        <v>13000011</v>
      </c>
      <c r="H377" t="s">
        <v>563</v>
      </c>
      <c r="K377" t="str">
        <f>_xlfn.CONCAT(Productos[[#This Row],[SAP_Productos]]," ",Productos[[#This Row],[Productos]])</f>
        <v>13000011 Empanada Horno Seleccion</v>
      </c>
      <c r="N377" t="s">
        <v>724</v>
      </c>
      <c r="O377">
        <v>76085332</v>
      </c>
      <c r="P377">
        <v>11001939</v>
      </c>
      <c r="Q377" t="s">
        <v>957</v>
      </c>
    </row>
    <row r="378" spans="5:17" hidden="1">
      <c r="E378" s="70" t="s">
        <v>33</v>
      </c>
      <c r="F378" s="37" t="s">
        <v>120</v>
      </c>
      <c r="G378" s="38">
        <v>13000012</v>
      </c>
      <c r="H378" t="s">
        <v>563</v>
      </c>
      <c r="K378" t="str">
        <f>_xlfn.CONCAT(Productos[[#This Row],[SAP_Productos]]," ",Productos[[#This Row],[Productos]])</f>
        <v>13000012 Empanada Horno Mediana</v>
      </c>
      <c r="N378" t="s">
        <v>724</v>
      </c>
      <c r="O378">
        <v>76085332</v>
      </c>
      <c r="P378">
        <v>11001941</v>
      </c>
      <c r="Q378" t="s">
        <v>958</v>
      </c>
    </row>
    <row r="379" spans="5:17" hidden="1">
      <c r="E379" s="70" t="s">
        <v>33</v>
      </c>
      <c r="F379" s="39" t="s">
        <v>147</v>
      </c>
      <c r="G379" s="40">
        <v>13000013</v>
      </c>
      <c r="H379" t="s">
        <v>563</v>
      </c>
      <c r="K379" t="str">
        <f>_xlfn.CONCAT(Productos[[#This Row],[SAP_Productos]]," ",Productos[[#This Row],[Productos]])</f>
        <v>13000013 Chaparrita Salchicha Queso</v>
      </c>
      <c r="N379" t="s">
        <v>724</v>
      </c>
      <c r="O379">
        <v>76085332</v>
      </c>
      <c r="P379">
        <v>11001942</v>
      </c>
      <c r="Q379" t="s">
        <v>959</v>
      </c>
    </row>
    <row r="380" spans="5:17" hidden="1">
      <c r="E380" s="70" t="s">
        <v>33</v>
      </c>
      <c r="F380" s="37" t="s">
        <v>172</v>
      </c>
      <c r="G380" s="38">
        <v>13000751</v>
      </c>
      <c r="H380" t="s">
        <v>563</v>
      </c>
      <c r="K380" t="str">
        <f>_xlfn.CONCAT(Productos[[#This Row],[SAP_Productos]]," ",Productos[[#This Row],[Productos]])</f>
        <v>13000751 Pack Horno Mediana 2 un. Ekono</v>
      </c>
      <c r="N380" t="s">
        <v>724</v>
      </c>
      <c r="O380">
        <v>76085332</v>
      </c>
      <c r="P380">
        <v>11001943</v>
      </c>
      <c r="Q380" t="s">
        <v>960</v>
      </c>
    </row>
    <row r="381" spans="5:17" hidden="1">
      <c r="E381" s="70" t="s">
        <v>33</v>
      </c>
      <c r="F381" s="39" t="s">
        <v>194</v>
      </c>
      <c r="G381" s="40">
        <v>13001720</v>
      </c>
      <c r="H381" t="s">
        <v>563</v>
      </c>
      <c r="K381" t="str">
        <f>_xlfn.CONCAT(Productos[[#This Row],[SAP_Productos]]," ",Productos[[#This Row],[Productos]])</f>
        <v>13001720 Empanada Coctel Carne Mayorista</v>
      </c>
      <c r="N381" t="s">
        <v>724</v>
      </c>
      <c r="O381">
        <v>76085332</v>
      </c>
      <c r="P381">
        <v>11001944</v>
      </c>
      <c r="Q381" t="s">
        <v>961</v>
      </c>
    </row>
    <row r="382" spans="5:17" hidden="1">
      <c r="E382" s="70" t="s">
        <v>33</v>
      </c>
      <c r="F382" s="37" t="s">
        <v>216</v>
      </c>
      <c r="G382" s="38">
        <v>13001721</v>
      </c>
      <c r="H382" t="s">
        <v>563</v>
      </c>
      <c r="K382" t="str">
        <f>_xlfn.CONCAT(Productos[[#This Row],[SAP_Productos]]," ",Productos[[#This Row],[Productos]])</f>
        <v>13001721 Empanada Coctel Pollo Mayorista</v>
      </c>
      <c r="N382" t="s">
        <v>724</v>
      </c>
      <c r="O382">
        <v>76085332</v>
      </c>
      <c r="P382">
        <v>11001945</v>
      </c>
      <c r="Q382" t="s">
        <v>962</v>
      </c>
    </row>
    <row r="383" spans="5:17" hidden="1">
      <c r="E383" s="70" t="s">
        <v>33</v>
      </c>
      <c r="F383" s="39" t="s">
        <v>236</v>
      </c>
      <c r="G383" s="40">
        <v>13001723</v>
      </c>
      <c r="H383" t="s">
        <v>563</v>
      </c>
      <c r="K383" t="str">
        <f>_xlfn.CONCAT(Productos[[#This Row],[SAP_Productos]]," ",Productos[[#This Row],[Productos]])</f>
        <v>13001723 Chaparrita Salchicha Queso Mayorista</v>
      </c>
      <c r="N383" t="s">
        <v>724</v>
      </c>
      <c r="O383">
        <v>76085332</v>
      </c>
      <c r="P383">
        <v>11001963</v>
      </c>
      <c r="Q383" t="s">
        <v>963</v>
      </c>
    </row>
    <row r="384" spans="5:17" hidden="1">
      <c r="E384" s="70" t="s">
        <v>33</v>
      </c>
      <c r="F384" s="37" t="s">
        <v>252</v>
      </c>
      <c r="G384" s="38">
        <v>13001807</v>
      </c>
      <c r="H384" t="s">
        <v>563</v>
      </c>
      <c r="K384" t="str">
        <f>_xlfn.CONCAT(Productos[[#This Row],[SAP_Productos]]," ",Productos[[#This Row],[Productos]])</f>
        <v>13001807 Empanada Horno Mediana Mayorista</v>
      </c>
      <c r="N384" t="s">
        <v>724</v>
      </c>
      <c r="O384">
        <v>76085332</v>
      </c>
      <c r="P384">
        <v>11001967</v>
      </c>
      <c r="Q384" t="s">
        <v>964</v>
      </c>
    </row>
    <row r="385" spans="5:17" hidden="1">
      <c r="E385" s="70" t="s">
        <v>33</v>
      </c>
      <c r="F385" s="39" t="s">
        <v>263</v>
      </c>
      <c r="G385" s="40">
        <v>13030282</v>
      </c>
      <c r="H385" t="s">
        <v>563</v>
      </c>
      <c r="K385" t="str">
        <f>_xlfn.CONCAT(Productos[[#This Row],[SAP_Productos]]," ",Productos[[#This Row],[Productos]])</f>
        <v>13030282 Pack Empanada Coctel Jamón Queso 10 un.</v>
      </c>
      <c r="N385" t="s">
        <v>724</v>
      </c>
      <c r="O385">
        <v>76085332</v>
      </c>
      <c r="P385">
        <v>11001968</v>
      </c>
      <c r="Q385" t="s">
        <v>965</v>
      </c>
    </row>
    <row r="386" spans="5:17" hidden="1">
      <c r="E386" s="70" t="s">
        <v>33</v>
      </c>
      <c r="F386" s="37" t="s">
        <v>271</v>
      </c>
      <c r="G386" s="38">
        <v>13030283</v>
      </c>
      <c r="H386" t="s">
        <v>563</v>
      </c>
      <c r="K386" t="str">
        <f>_xlfn.CONCAT(Productos[[#This Row],[SAP_Productos]]," ",Productos[[#This Row],[Productos]])</f>
        <v>13030283 Pack Empanada Hoja Pino 2 un.</v>
      </c>
      <c r="N386" t="s">
        <v>724</v>
      </c>
      <c r="O386">
        <v>76085332</v>
      </c>
      <c r="P386">
        <v>11001970</v>
      </c>
      <c r="Q386" t="s">
        <v>966</v>
      </c>
    </row>
    <row r="387" spans="5:17" hidden="1">
      <c r="E387" s="70" t="s">
        <v>33</v>
      </c>
      <c r="F387" s="39" t="s">
        <v>278</v>
      </c>
      <c r="G387" s="40">
        <v>13030284</v>
      </c>
      <c r="H387" t="s">
        <v>563</v>
      </c>
      <c r="K387" t="str">
        <f>_xlfn.CONCAT(Productos[[#This Row],[SAP_Productos]]," ",Productos[[#This Row],[Productos]])</f>
        <v>13030284 Pack Empanada Hoja Jamón Queso 2 Und.</v>
      </c>
      <c r="N387" t="s">
        <v>724</v>
      </c>
      <c r="O387">
        <v>76085332</v>
      </c>
      <c r="P387">
        <v>11001971</v>
      </c>
      <c r="Q387" t="s">
        <v>967</v>
      </c>
    </row>
    <row r="388" spans="5:17">
      <c r="E388" s="70" t="s">
        <v>33</v>
      </c>
      <c r="F388" s="37" t="s">
        <v>284</v>
      </c>
      <c r="G388" s="38">
        <v>13030285</v>
      </c>
      <c r="H388" t="s">
        <v>563</v>
      </c>
      <c r="K388" t="str">
        <f>_xlfn.CONCAT(Productos[[#This Row],[SAP_Productos]]," ",Productos[[#This Row],[Productos]])</f>
        <v>13030285 Empanada Horno Suprema Rf</v>
      </c>
      <c r="N388" t="s">
        <v>726</v>
      </c>
      <c r="O388">
        <v>87711700</v>
      </c>
      <c r="P388">
        <v>11000159</v>
      </c>
      <c r="Q388" t="s">
        <v>345</v>
      </c>
    </row>
    <row r="389" spans="5:17" hidden="1">
      <c r="E389" s="70" t="s">
        <v>33</v>
      </c>
      <c r="F389" s="39" t="s">
        <v>288</v>
      </c>
      <c r="G389" s="40">
        <v>13030286</v>
      </c>
      <c r="H389" t="s">
        <v>563</v>
      </c>
      <c r="K389" t="str">
        <f>_xlfn.CONCAT(Productos[[#This Row],[SAP_Productos]]," ",Productos[[#This Row],[Productos]])</f>
        <v>13030286 Empanada Horno Mediana Rf</v>
      </c>
      <c r="N389" t="s">
        <v>728</v>
      </c>
      <c r="O389">
        <v>84144400</v>
      </c>
      <c r="P389">
        <v>10003707</v>
      </c>
      <c r="Q389" t="s">
        <v>377</v>
      </c>
    </row>
    <row r="390" spans="5:17" hidden="1">
      <c r="E390" s="70" t="s">
        <v>33</v>
      </c>
      <c r="F390" s="37" t="s">
        <v>291</v>
      </c>
      <c r="G390" s="38">
        <v>13030336</v>
      </c>
      <c r="H390" t="s">
        <v>563</v>
      </c>
      <c r="K390" t="str">
        <f>_xlfn.CONCAT(Productos[[#This Row],[SAP_Productos]]," ",Productos[[#This Row],[Productos]])</f>
        <v>13030336 Pack Empanada Coctel Aceituna Queso</v>
      </c>
      <c r="N390" t="s">
        <v>728</v>
      </c>
      <c r="O390">
        <v>84144400</v>
      </c>
      <c r="P390">
        <v>11001387</v>
      </c>
      <c r="Q390" t="s">
        <v>968</v>
      </c>
    </row>
    <row r="391" spans="5:17" hidden="1">
      <c r="E391" s="70" t="s">
        <v>33</v>
      </c>
      <c r="F391" s="39" t="s">
        <v>120</v>
      </c>
      <c r="G391" s="40">
        <v>12000401</v>
      </c>
      <c r="H391" t="s">
        <v>563</v>
      </c>
      <c r="K391" t="str">
        <f>_xlfn.CONCAT(Productos[[#This Row],[SAP_Productos]]," ",Productos[[#This Row],[Productos]])</f>
        <v>12000401 Empanada Horno Mediana</v>
      </c>
      <c r="N391" t="s">
        <v>728</v>
      </c>
      <c r="O391">
        <v>84144400</v>
      </c>
      <c r="P391">
        <v>11001387</v>
      </c>
      <c r="Q391" t="s">
        <v>969</v>
      </c>
    </row>
    <row r="392" spans="5:17" hidden="1">
      <c r="E392" s="70" t="s">
        <v>33</v>
      </c>
      <c r="F392" s="37" t="s">
        <v>147</v>
      </c>
      <c r="G392" s="38">
        <v>12000406</v>
      </c>
      <c r="H392" t="s">
        <v>563</v>
      </c>
      <c r="K392" t="str">
        <f>_xlfn.CONCAT(Productos[[#This Row],[SAP_Productos]]," ",Productos[[#This Row],[Productos]])</f>
        <v>12000406 Chaparrita Salchicha Queso</v>
      </c>
      <c r="N392" t="s">
        <v>728</v>
      </c>
      <c r="O392">
        <v>84144400</v>
      </c>
      <c r="P392">
        <v>11001495</v>
      </c>
      <c r="Q392" t="s">
        <v>970</v>
      </c>
    </row>
    <row r="393" spans="5:17" hidden="1">
      <c r="E393" s="70" t="s">
        <v>33</v>
      </c>
      <c r="F393" s="39" t="s">
        <v>302</v>
      </c>
      <c r="G393" s="40">
        <v>12000408</v>
      </c>
      <c r="H393" t="s">
        <v>563</v>
      </c>
      <c r="K393" t="str">
        <f>_xlfn.CONCAT(Productos[[#This Row],[SAP_Productos]]," ",Productos[[#This Row],[Productos]])</f>
        <v>12000408 Empanada Coctel Pollo</v>
      </c>
      <c r="N393" t="s">
        <v>728</v>
      </c>
      <c r="O393">
        <v>84144400</v>
      </c>
      <c r="P393">
        <v>11001503</v>
      </c>
      <c r="Q393" t="s">
        <v>971</v>
      </c>
    </row>
    <row r="394" spans="5:17" hidden="1">
      <c r="E394" s="70" t="s">
        <v>33</v>
      </c>
      <c r="F394" s="37" t="s">
        <v>306</v>
      </c>
      <c r="G394" s="38">
        <v>13030541</v>
      </c>
      <c r="H394" t="s">
        <v>563</v>
      </c>
      <c r="K394" t="str">
        <f>_xlfn.CONCAT(Productos[[#This Row],[SAP_Productos]]," ",Productos[[#This Row],[Productos]])</f>
        <v>13030541 Chaparrita Casino</v>
      </c>
      <c r="N394" t="s">
        <v>728</v>
      </c>
      <c r="O394">
        <v>84144400</v>
      </c>
      <c r="P394">
        <v>11001804</v>
      </c>
      <c r="Q394" t="s">
        <v>972</v>
      </c>
    </row>
    <row r="395" spans="5:17" hidden="1">
      <c r="E395" s="70" t="s">
        <v>33</v>
      </c>
      <c r="F395" s="39" t="s">
        <v>312</v>
      </c>
      <c r="G395" s="40">
        <v>13030542</v>
      </c>
      <c r="H395" t="s">
        <v>563</v>
      </c>
      <c r="K395" t="str">
        <f>_xlfn.CONCAT(Productos[[#This Row],[SAP_Productos]]," ",Productos[[#This Row],[Productos]])</f>
        <v>13030542 Empanada Coctel Pollo Congelada Casino</v>
      </c>
      <c r="N395" t="s">
        <v>728</v>
      </c>
      <c r="O395">
        <v>84144400</v>
      </c>
      <c r="P395">
        <v>11001829</v>
      </c>
      <c r="Q395" t="s">
        <v>973</v>
      </c>
    </row>
    <row r="396" spans="5:17" hidden="1">
      <c r="E396" s="70" t="s">
        <v>33</v>
      </c>
      <c r="F396" s="37" t="s">
        <v>317</v>
      </c>
      <c r="G396" s="38">
        <v>13000463</v>
      </c>
      <c r="H396" t="s">
        <v>563</v>
      </c>
      <c r="K396" t="str">
        <f>_xlfn.CONCAT(Productos[[#This Row],[SAP_Productos]]," ",Productos[[#This Row],[Productos]])</f>
        <v>13000463 Pack Empanada Horno Mediana 2 un.</v>
      </c>
      <c r="N396" t="s">
        <v>730</v>
      </c>
      <c r="O396">
        <v>76487466</v>
      </c>
      <c r="P396">
        <v>11001964</v>
      </c>
      <c r="Q396" t="s">
        <v>974</v>
      </c>
    </row>
    <row r="397" spans="5:17" hidden="1">
      <c r="E397" s="70" t="s">
        <v>33</v>
      </c>
      <c r="F397" s="39" t="s">
        <v>321</v>
      </c>
      <c r="G397" s="40">
        <v>13000464</v>
      </c>
      <c r="H397" t="s">
        <v>563</v>
      </c>
      <c r="K397" t="str">
        <f>_xlfn.CONCAT(Productos[[#This Row],[SAP_Productos]]," ",Productos[[#This Row],[Productos]])</f>
        <v>13000464 Pack Empanada Hoja Queso 2 un.</v>
      </c>
      <c r="N397" t="s">
        <v>732</v>
      </c>
      <c r="O397">
        <v>77099530</v>
      </c>
      <c r="P397">
        <v>10003539</v>
      </c>
      <c r="Q397" t="s">
        <v>819</v>
      </c>
    </row>
    <row r="398" spans="5:17" hidden="1">
      <c r="E398" s="70" t="s">
        <v>33</v>
      </c>
      <c r="F398" s="37" t="s">
        <v>324</v>
      </c>
      <c r="G398" s="38">
        <v>13000469</v>
      </c>
      <c r="H398" t="s">
        <v>563</v>
      </c>
      <c r="K398" t="str">
        <f>_xlfn.CONCAT(Productos[[#This Row],[SAP_Productos]]," ",Productos[[#This Row],[Productos]])</f>
        <v>13000469 Pack Empanada Coctel Carne 10 un</v>
      </c>
      <c r="N398" t="s">
        <v>732</v>
      </c>
      <c r="O398">
        <v>77099530</v>
      </c>
      <c r="P398">
        <v>11000050</v>
      </c>
      <c r="Q398" t="s">
        <v>821</v>
      </c>
    </row>
    <row r="399" spans="5:17" hidden="1">
      <c r="E399" s="70" t="s">
        <v>33</v>
      </c>
      <c r="F399" s="39" t="s">
        <v>327</v>
      </c>
      <c r="G399" s="40">
        <v>13000470</v>
      </c>
      <c r="H399" t="s">
        <v>563</v>
      </c>
      <c r="K399" t="str">
        <f>_xlfn.CONCAT(Productos[[#This Row],[SAP_Productos]]," ",Productos[[#This Row],[Productos]])</f>
        <v>13000470 Pack Empanada Coctel Pollo 10 un.</v>
      </c>
      <c r="N399" t="s">
        <v>732</v>
      </c>
      <c r="O399">
        <v>77099530</v>
      </c>
      <c r="P399">
        <v>11000601</v>
      </c>
      <c r="Q399" t="s">
        <v>401</v>
      </c>
    </row>
    <row r="400" spans="5:17" hidden="1">
      <c r="E400" s="70" t="s">
        <v>33</v>
      </c>
      <c r="F400" s="37" t="s">
        <v>331</v>
      </c>
      <c r="G400" s="38">
        <v>13000471</v>
      </c>
      <c r="H400" t="s">
        <v>563</v>
      </c>
      <c r="K400" t="str">
        <f>_xlfn.CONCAT(Productos[[#This Row],[SAP_Productos]]," ",Productos[[#This Row],[Productos]])</f>
        <v>13000471 Pack Empanada Coctel Queso 12 un</v>
      </c>
      <c r="N400" t="s">
        <v>732</v>
      </c>
      <c r="O400">
        <v>77099530</v>
      </c>
      <c r="P400">
        <v>11001446</v>
      </c>
      <c r="Q400" t="s">
        <v>421</v>
      </c>
    </row>
    <row r="401" spans="5:17" hidden="1">
      <c r="E401" s="70" t="s">
        <v>33</v>
      </c>
      <c r="F401" s="39" t="s">
        <v>335</v>
      </c>
      <c r="G401" s="40">
        <v>12000170</v>
      </c>
      <c r="H401" t="s">
        <v>563</v>
      </c>
      <c r="K401" t="str">
        <f>_xlfn.CONCAT(Productos[[#This Row],[SAP_Productos]]," ",Productos[[#This Row],[Productos]])</f>
        <v>12000170 Mezcla Queso Maquina Empanadas</v>
      </c>
      <c r="N401" t="s">
        <v>732</v>
      </c>
      <c r="O401">
        <v>77099530</v>
      </c>
      <c r="P401">
        <v>11001448</v>
      </c>
      <c r="Q401" t="s">
        <v>828</v>
      </c>
    </row>
    <row r="402" spans="5:17" hidden="1">
      <c r="E402" s="70" t="s">
        <v>33</v>
      </c>
      <c r="F402" s="37" t="s">
        <v>338</v>
      </c>
      <c r="G402" s="38">
        <v>12000095</v>
      </c>
      <c r="H402" t="s">
        <v>563</v>
      </c>
      <c r="K402" t="str">
        <f>_xlfn.CONCAT(Productos[[#This Row],[SAP_Productos]]," ",Productos[[#This Row],[Productos]])</f>
        <v>12000095 Cóctel queso aceituna</v>
      </c>
      <c r="N402" t="s">
        <v>732</v>
      </c>
      <c r="O402">
        <v>77099530</v>
      </c>
      <c r="P402">
        <v>11001505</v>
      </c>
      <c r="Q402" t="s">
        <v>829</v>
      </c>
    </row>
    <row r="403" spans="5:17" hidden="1">
      <c r="E403" s="70" t="s">
        <v>33</v>
      </c>
      <c r="F403" s="39" t="s">
        <v>341</v>
      </c>
      <c r="G403" s="40">
        <v>12000402</v>
      </c>
      <c r="H403" t="s">
        <v>563</v>
      </c>
      <c r="K403" t="str">
        <f>_xlfn.CONCAT(Productos[[#This Row],[SAP_Productos]]," ",Productos[[#This Row],[Productos]])</f>
        <v>12000402 Empanada Hoja Queso</v>
      </c>
      <c r="N403" t="s">
        <v>732</v>
      </c>
      <c r="O403">
        <v>77099530</v>
      </c>
      <c r="P403">
        <v>11001557</v>
      </c>
      <c r="Q403" t="s">
        <v>407</v>
      </c>
    </row>
    <row r="404" spans="5:17" hidden="1">
      <c r="E404" s="70" t="s">
        <v>33</v>
      </c>
      <c r="F404" s="37" t="s">
        <v>344</v>
      </c>
      <c r="G404" s="38">
        <v>12000407</v>
      </c>
      <c r="H404" t="s">
        <v>563</v>
      </c>
      <c r="K404" t="str">
        <f>_xlfn.CONCAT(Productos[[#This Row],[SAP_Productos]]," ",Productos[[#This Row],[Productos]])</f>
        <v>12000407 Empanada Coctel Carne</v>
      </c>
      <c r="N404" t="s">
        <v>734</v>
      </c>
      <c r="O404">
        <v>78088970</v>
      </c>
      <c r="P404">
        <v>10004305</v>
      </c>
      <c r="Q404" t="s">
        <v>975</v>
      </c>
    </row>
    <row r="405" spans="5:17" hidden="1">
      <c r="E405" s="70" t="s">
        <v>33</v>
      </c>
      <c r="F405" s="39" t="s">
        <v>347</v>
      </c>
      <c r="G405" s="40">
        <v>12000409</v>
      </c>
      <c r="H405" t="s">
        <v>563</v>
      </c>
      <c r="K405" t="str">
        <f>_xlfn.CONCAT(Productos[[#This Row],[SAP_Productos]]," ",Productos[[#This Row],[Productos]])</f>
        <v>12000409 Empanada Coctel Queso</v>
      </c>
      <c r="N405" t="s">
        <v>736</v>
      </c>
      <c r="O405">
        <v>76694060</v>
      </c>
      <c r="P405">
        <v>10001122</v>
      </c>
      <c r="Q405" t="s">
        <v>478</v>
      </c>
    </row>
    <row r="406" spans="5:17" hidden="1">
      <c r="E406" s="70" t="s">
        <v>33</v>
      </c>
      <c r="F406" s="37" t="s">
        <v>351</v>
      </c>
      <c r="G406" s="38">
        <v>12001365</v>
      </c>
      <c r="H406" t="s">
        <v>563</v>
      </c>
      <c r="K406" t="str">
        <f>_xlfn.CONCAT(Productos[[#This Row],[SAP_Productos]]," ",Productos[[#This Row],[Productos]])</f>
        <v>12001365 Coctel Jamón Queso</v>
      </c>
      <c r="N406" t="s">
        <v>736</v>
      </c>
      <c r="O406">
        <v>76694060</v>
      </c>
      <c r="P406">
        <v>10002522</v>
      </c>
      <c r="Q406" t="s">
        <v>476</v>
      </c>
    </row>
    <row r="407" spans="5:17" hidden="1">
      <c r="E407" s="70" t="s">
        <v>33</v>
      </c>
      <c r="F407" s="39" t="s">
        <v>355</v>
      </c>
      <c r="G407" s="40">
        <v>12001367</v>
      </c>
      <c r="H407" t="s">
        <v>563</v>
      </c>
      <c r="K407" t="str">
        <f>_xlfn.CONCAT(Productos[[#This Row],[SAP_Productos]]," ",Productos[[#This Row],[Productos]])</f>
        <v>12001367 Empanada Hoja Jamón Queso</v>
      </c>
      <c r="N407" t="s">
        <v>736</v>
      </c>
      <c r="O407">
        <v>76694060</v>
      </c>
      <c r="P407">
        <v>10003166</v>
      </c>
      <c r="Q407" t="s">
        <v>477</v>
      </c>
    </row>
    <row r="408" spans="5:17" hidden="1">
      <c r="E408" s="70" t="s">
        <v>33</v>
      </c>
      <c r="F408" s="37" t="s">
        <v>359</v>
      </c>
      <c r="G408" s="38">
        <v>12001368</v>
      </c>
      <c r="H408" t="s">
        <v>563</v>
      </c>
      <c r="K408" t="str">
        <f>_xlfn.CONCAT(Productos[[#This Row],[SAP_Productos]]," ",Productos[[#This Row],[Productos]])</f>
        <v>12001368 Empanada Hoja Pino</v>
      </c>
      <c r="N408" t="s">
        <v>738</v>
      </c>
      <c r="O408">
        <v>96542490</v>
      </c>
      <c r="P408">
        <v>18000000</v>
      </c>
      <c r="Q408" t="s">
        <v>976</v>
      </c>
    </row>
    <row r="409" spans="5:17">
      <c r="E409" s="70" t="s">
        <v>33</v>
      </c>
      <c r="F409" s="39" t="s">
        <v>362</v>
      </c>
      <c r="G409" s="40">
        <v>12001369</v>
      </c>
      <c r="H409" t="s">
        <v>563</v>
      </c>
      <c r="K409" t="str">
        <f>_xlfn.CONCAT(Productos[[#This Row],[SAP_Productos]]," ",Productos[[#This Row],[Productos]])</f>
        <v>12001369 Empanada Horno Suprema</v>
      </c>
      <c r="N409" t="s">
        <v>738</v>
      </c>
      <c r="O409">
        <v>96542490</v>
      </c>
      <c r="P409">
        <v>18000002</v>
      </c>
      <c r="Q409" t="s">
        <v>977</v>
      </c>
    </row>
    <row r="410" spans="5:17" hidden="1">
      <c r="E410" s="70" t="s">
        <v>33</v>
      </c>
      <c r="F410" s="37" t="s">
        <v>810</v>
      </c>
      <c r="G410" s="38">
        <v>13030550</v>
      </c>
      <c r="H410" t="s">
        <v>563</v>
      </c>
      <c r="K410" t="str">
        <f>_xlfn.CONCAT(Productos[[#This Row],[SAP_Productos]]," ",Productos[[#This Row],[Productos]])</f>
        <v>13030550 EMPANADA NAPOLITANA PACK 2 UN</v>
      </c>
      <c r="N410" t="s">
        <v>738</v>
      </c>
      <c r="O410">
        <v>96542490</v>
      </c>
      <c r="P410">
        <v>18000003</v>
      </c>
      <c r="Q410" t="s">
        <v>978</v>
      </c>
    </row>
    <row r="411" spans="5:17" hidden="1">
      <c r="E411" s="70" t="s">
        <v>33</v>
      </c>
      <c r="F411" s="37" t="s">
        <v>90</v>
      </c>
      <c r="G411" s="38">
        <v>12001435</v>
      </c>
      <c r="H411" t="s">
        <v>563</v>
      </c>
      <c r="K411" t="str">
        <f>_xlfn.CONCAT(Productos[[#This Row],[SAP_Productos]]," ",Productos[[#This Row],[Productos]])</f>
        <v>12001435 Semielaborado Magdalena chips chocolate</v>
      </c>
      <c r="N411" t="s">
        <v>738</v>
      </c>
      <c r="O411">
        <v>96542490</v>
      </c>
      <c r="P411">
        <v>18000004</v>
      </c>
      <c r="Q411" t="s">
        <v>979</v>
      </c>
    </row>
    <row r="412" spans="5:17" hidden="1">
      <c r="E412" s="70" t="s">
        <v>33</v>
      </c>
      <c r="F412" s="39" t="s">
        <v>119</v>
      </c>
      <c r="G412" s="40">
        <v>12001437</v>
      </c>
      <c r="H412" t="s">
        <v>563</v>
      </c>
      <c r="K412" t="str">
        <f>_xlfn.CONCAT(Productos[[#This Row],[SAP_Productos]]," ",Productos[[#This Row],[Productos]])</f>
        <v>12001437 Semielaborado Magdalena tres leches</v>
      </c>
      <c r="N412" t="s">
        <v>738</v>
      </c>
      <c r="O412">
        <v>96542490</v>
      </c>
      <c r="P412">
        <v>18000005</v>
      </c>
      <c r="Q412" t="s">
        <v>980</v>
      </c>
    </row>
    <row r="413" spans="5:17" hidden="1">
      <c r="E413" s="70" t="s">
        <v>33</v>
      </c>
      <c r="F413" s="37" t="s">
        <v>146</v>
      </c>
      <c r="G413" s="38">
        <v>12001436</v>
      </c>
      <c r="H413" t="s">
        <v>563</v>
      </c>
      <c r="K413" t="str">
        <f>_xlfn.CONCAT(Productos[[#This Row],[SAP_Productos]]," ",Productos[[#This Row],[Productos]])</f>
        <v>12001436 Semielaborado Magdalena vainilla</v>
      </c>
      <c r="N413" t="s">
        <v>738</v>
      </c>
      <c r="O413">
        <v>96542490</v>
      </c>
      <c r="P413">
        <v>18000006</v>
      </c>
      <c r="Q413" t="s">
        <v>981</v>
      </c>
    </row>
    <row r="414" spans="5:17" hidden="1">
      <c r="E414" s="70" t="s">
        <v>33</v>
      </c>
      <c r="F414" s="39" t="s">
        <v>171</v>
      </c>
      <c r="G414" s="40">
        <v>12001434</v>
      </c>
      <c r="H414" t="s">
        <v>563</v>
      </c>
      <c r="K414" t="str">
        <f>_xlfn.CONCAT(Productos[[#This Row],[SAP_Productos]]," ",Productos[[#This Row],[Productos]])</f>
        <v>12001434 Semielaborado Magdalena chocolate</v>
      </c>
      <c r="N414" t="s">
        <v>738</v>
      </c>
      <c r="O414">
        <v>96542490</v>
      </c>
      <c r="P414">
        <v>18000007</v>
      </c>
      <c r="Q414" t="s">
        <v>982</v>
      </c>
    </row>
    <row r="415" spans="5:17" hidden="1">
      <c r="E415" s="70" t="s">
        <v>33</v>
      </c>
      <c r="F415" s="220" t="s">
        <v>215</v>
      </c>
      <c r="G415" s="38">
        <v>13030560</v>
      </c>
      <c r="H415" t="s">
        <v>563</v>
      </c>
      <c r="K415" t="str">
        <f>_xlfn.CONCAT(Productos[[#This Row],[SAP_Productos]]," ",Productos[[#This Row],[Productos]])</f>
        <v>13030560 Pack Magdalena chips chocolate - 6 un</v>
      </c>
      <c r="N415" t="s">
        <v>738</v>
      </c>
      <c r="O415">
        <v>96542490</v>
      </c>
      <c r="P415">
        <v>18000008</v>
      </c>
      <c r="Q415" t="s">
        <v>983</v>
      </c>
    </row>
    <row r="416" spans="5:17" hidden="1">
      <c r="E416" s="70" t="s">
        <v>33</v>
      </c>
      <c r="F416" s="221" t="s">
        <v>818</v>
      </c>
      <c r="G416" s="40">
        <v>13030606</v>
      </c>
      <c r="H416" t="s">
        <v>563</v>
      </c>
      <c r="K416" t="str">
        <f>_xlfn.CONCAT(Productos[[#This Row],[SAP_Productos]]," ",Productos[[#This Row],[Productos]])</f>
        <v>13030606 Pack Magdalena tres leches - 6 Un.</v>
      </c>
      <c r="N416" t="s">
        <v>738</v>
      </c>
      <c r="O416">
        <v>96542490</v>
      </c>
      <c r="P416">
        <v>18000009</v>
      </c>
      <c r="Q416" t="s">
        <v>984</v>
      </c>
    </row>
    <row r="417" spans="5:17" hidden="1">
      <c r="E417" s="70" t="s">
        <v>33</v>
      </c>
      <c r="F417" s="220" t="s">
        <v>820</v>
      </c>
      <c r="G417" s="38">
        <v>13030607</v>
      </c>
      <c r="H417" t="s">
        <v>563</v>
      </c>
      <c r="K417" t="str">
        <f>_xlfn.CONCAT(Productos[[#This Row],[SAP_Productos]]," ",Productos[[#This Row],[Productos]])</f>
        <v>13030607 Pack Magdalena Vainilla - 6 Un.</v>
      </c>
      <c r="N417" t="s">
        <v>738</v>
      </c>
      <c r="O417">
        <v>96542490</v>
      </c>
      <c r="P417">
        <v>18000010</v>
      </c>
      <c r="Q417" t="s">
        <v>985</v>
      </c>
    </row>
    <row r="418" spans="5:17" hidden="1">
      <c r="E418" s="70" t="s">
        <v>33</v>
      </c>
      <c r="F418" s="221" t="s">
        <v>193</v>
      </c>
      <c r="G418" s="40">
        <v>13030558</v>
      </c>
      <c r="H418" t="s">
        <v>563</v>
      </c>
      <c r="K418" t="str">
        <f>_xlfn.CONCAT(Productos[[#This Row],[SAP_Productos]]," ",Productos[[#This Row],[Productos]])</f>
        <v>13030558 Pack Magdalena tres leches - 9 Un.</v>
      </c>
      <c r="N418" t="s">
        <v>738</v>
      </c>
      <c r="O418">
        <v>96542490</v>
      </c>
      <c r="P418">
        <v>18000011</v>
      </c>
      <c r="Q418" t="s">
        <v>986</v>
      </c>
    </row>
    <row r="419" spans="5:17" hidden="1">
      <c r="E419" s="70" t="s">
        <v>33</v>
      </c>
      <c r="F419" s="220" t="s">
        <v>235</v>
      </c>
      <c r="G419" s="38">
        <v>13030557</v>
      </c>
      <c r="H419" t="s">
        <v>563</v>
      </c>
      <c r="K419" t="str">
        <f>_xlfn.CONCAT(Productos[[#This Row],[SAP_Productos]]," ",Productos[[#This Row],[Productos]])</f>
        <v>13030557 Pack Magdalena Vainilla - 9 Un.</v>
      </c>
      <c r="N419" t="s">
        <v>740</v>
      </c>
      <c r="O419">
        <v>79676110</v>
      </c>
      <c r="P419">
        <v>16000280</v>
      </c>
      <c r="Q419" t="s">
        <v>987</v>
      </c>
    </row>
    <row r="420" spans="5:17" hidden="1">
      <c r="E420" s="70" t="s">
        <v>33</v>
      </c>
      <c r="F420" s="221" t="s">
        <v>251</v>
      </c>
      <c r="G420" s="40">
        <v>13030559</v>
      </c>
      <c r="H420" t="s">
        <v>563</v>
      </c>
      <c r="K420" t="str">
        <f>_xlfn.CONCAT(Productos[[#This Row],[SAP_Productos]]," ",Productos[[#This Row],[Productos]])</f>
        <v>13030559 Pack Magdalena Chocolate - 9 Un.</v>
      </c>
      <c r="N420" t="s">
        <v>740</v>
      </c>
      <c r="O420">
        <v>79676110</v>
      </c>
      <c r="P420">
        <v>16000495</v>
      </c>
      <c r="Q420" t="s">
        <v>988</v>
      </c>
    </row>
    <row r="421" spans="5:17" hidden="1">
      <c r="E421" s="70" t="s">
        <v>33</v>
      </c>
      <c r="F421" s="220" t="s">
        <v>97</v>
      </c>
      <c r="G421" s="38">
        <v>13030492</v>
      </c>
      <c r="H421" t="s">
        <v>563</v>
      </c>
      <c r="K421" t="str">
        <f>_xlfn.CONCAT(Productos[[#This Row],[SAP_Productos]]," ",Productos[[#This Row],[Productos]])</f>
        <v>13030492 Hallullita ATM</v>
      </c>
      <c r="N421" t="s">
        <v>742</v>
      </c>
      <c r="O421">
        <v>76006727</v>
      </c>
      <c r="P421">
        <v>10002252</v>
      </c>
      <c r="Q421" t="s">
        <v>508</v>
      </c>
    </row>
    <row r="422" spans="5:17" hidden="1">
      <c r="E422" s="70" t="s">
        <v>33</v>
      </c>
      <c r="F422" s="221" t="s">
        <v>126</v>
      </c>
      <c r="G422" s="40">
        <v>13030553</v>
      </c>
      <c r="H422" t="s">
        <v>563</v>
      </c>
      <c r="K422" t="str">
        <f>_xlfn.CONCAT(Productos[[#This Row],[SAP_Productos]]," ",Productos[[#This Row],[Productos]])</f>
        <v>13030553 Hallullita ATM Sampling</v>
      </c>
      <c r="N422" t="s">
        <v>742</v>
      </c>
      <c r="O422">
        <v>76006727</v>
      </c>
      <c r="P422">
        <v>10002457</v>
      </c>
      <c r="Q422" t="s">
        <v>507</v>
      </c>
    </row>
    <row r="423" spans="5:17" hidden="1">
      <c r="E423" s="70" t="s">
        <v>33</v>
      </c>
      <c r="F423" s="220" t="s">
        <v>153</v>
      </c>
      <c r="G423" s="38">
        <v>13030554</v>
      </c>
      <c r="H423" t="s">
        <v>563</v>
      </c>
      <c r="K423" t="str">
        <f>_xlfn.CONCAT(Productos[[#This Row],[SAP_Productos]]," ",Productos[[#This Row],[Productos]])</f>
        <v>13030554 Hallullita ATM 5 UN</v>
      </c>
      <c r="N423" t="s">
        <v>742</v>
      </c>
      <c r="O423">
        <v>76006727</v>
      </c>
      <c r="P423">
        <v>10003596</v>
      </c>
      <c r="Q423" t="s">
        <v>509</v>
      </c>
    </row>
    <row r="424" spans="5:17" hidden="1">
      <c r="E424" s="70" t="s">
        <v>33</v>
      </c>
      <c r="F424" s="221" t="s">
        <v>178</v>
      </c>
      <c r="G424" s="40">
        <v>13030506</v>
      </c>
      <c r="H424" t="s">
        <v>563</v>
      </c>
      <c r="K424" t="str">
        <f>_xlfn.CONCAT(Productos[[#This Row],[SAP_Productos]]," ",Productos[[#This Row],[Productos]])</f>
        <v>13030506 Hallullitas ATM CM</v>
      </c>
      <c r="N424" t="s">
        <v>742</v>
      </c>
      <c r="O424">
        <v>76006727</v>
      </c>
      <c r="P424">
        <v>10004172</v>
      </c>
      <c r="Q424" t="s">
        <v>505</v>
      </c>
    </row>
    <row r="425" spans="5:17" hidden="1">
      <c r="E425" s="70" t="s">
        <v>33</v>
      </c>
      <c r="F425" s="220" t="s">
        <v>200</v>
      </c>
      <c r="G425" s="38">
        <v>13030428</v>
      </c>
      <c r="H425" t="s">
        <v>563</v>
      </c>
      <c r="K425" t="str">
        <f>_xlfn.CONCAT(Productos[[#This Row],[SAP_Productos]]," ",Productos[[#This Row],[Productos]])</f>
        <v>13030428 Marraqueta ATM Lider</v>
      </c>
      <c r="N425" t="s">
        <v>742</v>
      </c>
      <c r="O425">
        <v>76006727</v>
      </c>
      <c r="P425">
        <v>10004322</v>
      </c>
      <c r="Q425" t="s">
        <v>989</v>
      </c>
    </row>
    <row r="426" spans="5:17" hidden="1">
      <c r="E426" s="70" t="s">
        <v>33</v>
      </c>
      <c r="F426" s="221" t="s">
        <v>221</v>
      </c>
      <c r="G426" s="40">
        <v>13030431</v>
      </c>
      <c r="H426" t="s">
        <v>563</v>
      </c>
      <c r="K426" t="str">
        <f>_xlfn.CONCAT(Productos[[#This Row],[SAP_Productos]]," ",Productos[[#This Row],[Productos]])</f>
        <v>13030431 Marraqueta ATM CM</v>
      </c>
      <c r="N426" t="s">
        <v>742</v>
      </c>
      <c r="O426">
        <v>76006727</v>
      </c>
      <c r="P426">
        <v>10004374</v>
      </c>
      <c r="Q426" t="s">
        <v>990</v>
      </c>
    </row>
    <row r="427" spans="5:17" hidden="1">
      <c r="E427" s="70" t="s">
        <v>33</v>
      </c>
      <c r="F427" s="220" t="s">
        <v>99</v>
      </c>
      <c r="G427" s="38">
        <v>13001756</v>
      </c>
      <c r="H427" t="s">
        <v>563</v>
      </c>
      <c r="K427" t="str">
        <f>_xlfn.CONCAT(Productos[[#This Row],[SAP_Productos]]," ",Productos[[#This Row],[Productos]])</f>
        <v>13001756 Hallulla ATM Líder</v>
      </c>
      <c r="N427" t="s">
        <v>742</v>
      </c>
      <c r="O427">
        <v>76006727</v>
      </c>
      <c r="P427">
        <v>10004375</v>
      </c>
      <c r="Q427" t="s">
        <v>991</v>
      </c>
    </row>
    <row r="428" spans="5:17" hidden="1">
      <c r="E428" s="70" t="s">
        <v>33</v>
      </c>
      <c r="F428" s="221" t="s">
        <v>127</v>
      </c>
      <c r="G428" s="40">
        <v>13030317</v>
      </c>
      <c r="H428" t="s">
        <v>563</v>
      </c>
      <c r="K428" t="str">
        <f>_xlfn.CONCAT(Productos[[#This Row],[SAP_Productos]]," ",Productos[[#This Row],[Productos]])</f>
        <v>13030317 Hallulla ATM CM</v>
      </c>
      <c r="N428" t="s">
        <v>744</v>
      </c>
      <c r="O428">
        <v>76979850</v>
      </c>
      <c r="P428">
        <v>11000063</v>
      </c>
      <c r="Q428" t="s">
        <v>495</v>
      </c>
    </row>
    <row r="429" spans="5:17" hidden="1">
      <c r="E429" s="70" t="s">
        <v>33</v>
      </c>
      <c r="F429" s="220" t="s">
        <v>154</v>
      </c>
      <c r="G429" s="38">
        <v>13030471</v>
      </c>
      <c r="H429" t="s">
        <v>563</v>
      </c>
      <c r="K429" t="str">
        <f>_xlfn.CONCAT(Productos[[#This Row],[SAP_Productos]]," ",Productos[[#This Row],[Productos]])</f>
        <v>13030471 Dobladas ATM 9 UN</v>
      </c>
      <c r="N429" t="s">
        <v>744</v>
      </c>
      <c r="O429">
        <v>76979850</v>
      </c>
      <c r="P429">
        <v>11000418</v>
      </c>
      <c r="Q429" t="s">
        <v>293</v>
      </c>
    </row>
    <row r="430" spans="5:17" hidden="1">
      <c r="E430" s="70" t="s">
        <v>33</v>
      </c>
      <c r="F430" s="221" t="s">
        <v>179</v>
      </c>
      <c r="G430" s="40">
        <v>13030505</v>
      </c>
      <c r="H430" t="s">
        <v>563</v>
      </c>
      <c r="K430" t="str">
        <f>_xlfn.CONCAT(Productos[[#This Row],[SAP_Productos]]," ",Productos[[#This Row],[Productos]])</f>
        <v>13030505 Doblada ATM CM</v>
      </c>
      <c r="N430" t="s">
        <v>744</v>
      </c>
      <c r="O430">
        <v>76979850</v>
      </c>
      <c r="P430">
        <v>11000421</v>
      </c>
      <c r="Q430" t="s">
        <v>296</v>
      </c>
    </row>
    <row r="431" spans="5:17" hidden="1">
      <c r="E431" s="70" t="s">
        <v>33</v>
      </c>
      <c r="F431" s="220" t="s">
        <v>201</v>
      </c>
      <c r="G431" s="38">
        <v>13030488</v>
      </c>
      <c r="H431" t="s">
        <v>563</v>
      </c>
      <c r="K431" t="str">
        <f>_xlfn.CONCAT(Productos[[#This Row],[SAP_Productos]]," ",Productos[[#This Row],[Productos]])</f>
        <v>13030488 Pan Amasado ATM</v>
      </c>
      <c r="N431" t="s">
        <v>746</v>
      </c>
      <c r="O431">
        <v>76042014</v>
      </c>
      <c r="P431">
        <v>10003806</v>
      </c>
      <c r="Q431" t="s">
        <v>992</v>
      </c>
    </row>
    <row r="432" spans="5:17" hidden="1">
      <c r="E432" s="70" t="s">
        <v>33</v>
      </c>
      <c r="F432" s="221" t="s">
        <v>222</v>
      </c>
      <c r="G432" s="40">
        <v>13030504</v>
      </c>
      <c r="H432" t="s">
        <v>563</v>
      </c>
      <c r="K432" t="str">
        <f>_xlfn.CONCAT(Productos[[#This Row],[SAP_Productos]]," ",Productos[[#This Row],[Productos]])</f>
        <v>13030504 Amasado ATM CM</v>
      </c>
      <c r="N432" t="s">
        <v>746</v>
      </c>
      <c r="O432">
        <v>76042014</v>
      </c>
      <c r="P432">
        <v>10003917</v>
      </c>
      <c r="Q432" t="s">
        <v>993</v>
      </c>
    </row>
    <row r="433" spans="5:17" hidden="1">
      <c r="E433" s="70" t="s">
        <v>33</v>
      </c>
      <c r="F433" s="220" t="s">
        <v>98</v>
      </c>
      <c r="G433" s="38">
        <v>13030538</v>
      </c>
      <c r="H433" t="s">
        <v>563</v>
      </c>
      <c r="K433" t="str">
        <f>_xlfn.CONCAT(Productos[[#This Row],[SAP_Productos]]," ",Productos[[#This Row],[Productos]])</f>
        <v>13030538 Doblada ATM Tráfico</v>
      </c>
      <c r="N433" t="s">
        <v>746</v>
      </c>
      <c r="O433">
        <v>76042014</v>
      </c>
      <c r="P433">
        <v>10004234</v>
      </c>
      <c r="Q433" t="s">
        <v>994</v>
      </c>
    </row>
    <row r="434" spans="5:17" hidden="1">
      <c r="E434" s="70" t="s">
        <v>33</v>
      </c>
      <c r="F434" s="220" t="s">
        <v>348</v>
      </c>
      <c r="G434" s="38">
        <v>12001386</v>
      </c>
      <c r="H434" t="s">
        <v>563</v>
      </c>
      <c r="K434" t="str">
        <f>_xlfn.CONCAT(Productos[[#This Row],[SAP_Productos]]," ",Productos[[#This Row],[Productos]])</f>
        <v>12001386 Hallulla especial soft para congelar</v>
      </c>
      <c r="N434" t="s">
        <v>748</v>
      </c>
      <c r="O434">
        <v>96920980</v>
      </c>
      <c r="P434">
        <v>11000057</v>
      </c>
      <c r="Q434" t="s">
        <v>995</v>
      </c>
    </row>
    <row r="435" spans="5:17" hidden="1">
      <c r="E435" s="70" t="s">
        <v>33</v>
      </c>
      <c r="F435" s="221" t="s">
        <v>352</v>
      </c>
      <c r="G435" s="40">
        <v>13030425</v>
      </c>
      <c r="H435" t="s">
        <v>563</v>
      </c>
      <c r="K435" t="str">
        <f>_xlfn.CONCAT(Productos[[#This Row],[SAP_Productos]]," ",Productos[[#This Row],[Productos]])</f>
        <v>13030425 Hallulla Especial Suave</v>
      </c>
      <c r="N435" t="s">
        <v>748</v>
      </c>
      <c r="O435">
        <v>96920980</v>
      </c>
      <c r="P435">
        <v>11000601</v>
      </c>
      <c r="Q435" t="s">
        <v>401</v>
      </c>
    </row>
    <row r="436" spans="5:17" hidden="1">
      <c r="E436" s="70" t="s">
        <v>33</v>
      </c>
      <c r="F436" s="220" t="s">
        <v>356</v>
      </c>
      <c r="G436" s="38">
        <v>13030465</v>
      </c>
      <c r="H436" t="s">
        <v>563</v>
      </c>
      <c r="K436" t="str">
        <f>_xlfn.CONCAT(Productos[[#This Row],[SAP_Productos]]," ",Productos[[#This Row],[Productos]])</f>
        <v>13030465 Hallulla Especial Suave 10UN</v>
      </c>
      <c r="N436" t="s">
        <v>748</v>
      </c>
      <c r="O436">
        <v>96920980</v>
      </c>
      <c r="P436">
        <v>11000846</v>
      </c>
      <c r="Q436" t="s">
        <v>417</v>
      </c>
    </row>
    <row r="437" spans="5:17">
      <c r="N437" t="s">
        <v>748</v>
      </c>
      <c r="O437">
        <v>96920980</v>
      </c>
      <c r="P437">
        <v>11001557</v>
      </c>
      <c r="Q437" t="s">
        <v>407</v>
      </c>
    </row>
    <row r="438" spans="5:17">
      <c r="N438" t="s">
        <v>748</v>
      </c>
      <c r="O438">
        <v>96920980</v>
      </c>
      <c r="P438">
        <v>11001635</v>
      </c>
      <c r="Q438" t="s">
        <v>325</v>
      </c>
    </row>
    <row r="439" spans="5:17">
      <c r="N439" t="s">
        <v>748</v>
      </c>
      <c r="O439">
        <v>96920980</v>
      </c>
      <c r="P439">
        <v>11001636</v>
      </c>
      <c r="Q439" t="s">
        <v>329</v>
      </c>
    </row>
    <row r="440" spans="5:17">
      <c r="N440" t="s">
        <v>748</v>
      </c>
      <c r="O440">
        <v>96920980</v>
      </c>
      <c r="P440">
        <v>11001637</v>
      </c>
      <c r="Q440" t="s">
        <v>336</v>
      </c>
    </row>
    <row r="441" spans="5:17">
      <c r="N441" t="s">
        <v>748</v>
      </c>
      <c r="O441">
        <v>96920980</v>
      </c>
      <c r="P441">
        <v>11001638</v>
      </c>
      <c r="Q441" t="s">
        <v>339</v>
      </c>
    </row>
    <row r="442" spans="5:17">
      <c r="N442" t="s">
        <v>748</v>
      </c>
      <c r="O442">
        <v>96920980</v>
      </c>
      <c r="P442">
        <v>11001639</v>
      </c>
      <c r="Q442" t="s">
        <v>333</v>
      </c>
    </row>
    <row r="443" spans="5:17">
      <c r="N443" t="s">
        <v>748</v>
      </c>
      <c r="O443">
        <v>96920980</v>
      </c>
      <c r="P443">
        <v>11001640</v>
      </c>
      <c r="Q443" t="s">
        <v>715</v>
      </c>
    </row>
    <row r="444" spans="5:17">
      <c r="N444" t="s">
        <v>625</v>
      </c>
      <c r="O444">
        <v>77051060</v>
      </c>
      <c r="P444">
        <v>11002020</v>
      </c>
      <c r="Q444" t="s">
        <v>996</v>
      </c>
    </row>
  </sheetData>
  <phoneticPr fontId="9" type="noConversion"/>
  <pageMargins left="0.7" right="0.7" top="0.75" bottom="0.75" header="0.3" footer="0.3"/>
  <pageSetup paperSize="9" orientation="portrait" r:id="rId2"/>
  <legacyDrawing r:id="rId3"/>
  <tableParts count="14">
    <tablePart r:id="rId4"/>
    <tablePart r:id="rId5"/>
    <tablePart r:id="rId6"/>
    <tablePart r:id="rId7"/>
    <tablePart r:id="rId8"/>
    <tablePart r:id="rId9"/>
    <tablePart r:id="rId10"/>
    <tablePart r:id="rId11"/>
    <tablePart r:id="rId12"/>
    <tablePart r:id="rId13"/>
    <tablePart r:id="rId14"/>
    <tablePart r:id="rId15"/>
    <tablePart r:id="rId16"/>
    <tablePart r:id="rId17"/>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Auxiliar!$E$2:$E$15</xm:f>
          </x14:formula1>
          <xm:sqref>A2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AU674"/>
  <sheetViews>
    <sheetView zoomScale="81" zoomScaleNormal="81" workbookViewId="0">
      <selection activeCell="C2" sqref="C2"/>
    </sheetView>
  </sheetViews>
  <sheetFormatPr baseColWidth="10" defaultColWidth="11.453125" defaultRowHeight="14.5" outlineLevelCol="1"/>
  <cols>
    <col min="1" max="1" width="24.54296875" customWidth="1"/>
    <col min="2" max="2" width="17.453125" customWidth="1"/>
    <col min="3" max="3" width="11.453125" style="73"/>
    <col min="6" max="6" width="14.453125" customWidth="1"/>
    <col min="8" max="8" width="16.54296875" customWidth="1"/>
    <col min="9" max="9" width="11.54296875" customWidth="1" outlineLevel="1"/>
    <col min="10" max="10" width="21.54296875" customWidth="1" outlineLevel="1"/>
    <col min="11" max="11" width="18.453125" customWidth="1" outlineLevel="1"/>
    <col min="12" max="12" width="15" customWidth="1" outlineLevel="1"/>
    <col min="13" max="13" width="16.453125" customWidth="1" outlineLevel="1"/>
    <col min="14" max="14" width="24.453125" customWidth="1" outlineLevel="1"/>
    <col min="15" max="15" width="16.453125" customWidth="1" outlineLevel="1"/>
    <col min="16" max="16" width="13.453125" customWidth="1" outlineLevel="1"/>
    <col min="17" max="17" width="46.453125" customWidth="1" outlineLevel="1"/>
    <col min="18" max="18" width="147" customWidth="1" outlineLevel="1"/>
    <col min="19" max="19" width="108.54296875" customWidth="1" outlineLevel="1"/>
    <col min="20" max="20" width="24.453125" customWidth="1" outlineLevel="1"/>
    <col min="21" max="21" width="8.54296875" customWidth="1" outlineLevel="1"/>
    <col min="22" max="22" width="14.54296875" customWidth="1" outlineLevel="1"/>
    <col min="23" max="23" width="20.54296875" customWidth="1"/>
    <col min="24" max="24" width="26.81640625" customWidth="1"/>
    <col min="25" max="25" width="18.54296875" customWidth="1"/>
    <col min="26" max="26" width="14.54296875" customWidth="1"/>
    <col min="27" max="27" width="32.453125" customWidth="1"/>
    <col min="28" max="28" width="31.453125" customWidth="1"/>
    <col min="37" max="37" width="11.453125" style="158"/>
    <col min="39" max="39" width="51.453125" customWidth="1"/>
    <col min="40" max="40" width="108.453125" bestFit="1" customWidth="1"/>
  </cols>
  <sheetData>
    <row r="1" spans="1:40" ht="29">
      <c r="A1" t="s">
        <v>997</v>
      </c>
      <c r="B1" t="s">
        <v>36</v>
      </c>
      <c r="C1" s="73" t="s">
        <v>5</v>
      </c>
      <c r="D1" t="s">
        <v>998</v>
      </c>
      <c r="E1" t="s">
        <v>999</v>
      </c>
      <c r="F1" t="s">
        <v>18</v>
      </c>
      <c r="G1" t="s">
        <v>1000</v>
      </c>
      <c r="H1" t="s">
        <v>546</v>
      </c>
      <c r="I1" t="s">
        <v>1001</v>
      </c>
      <c r="J1" t="s">
        <v>38</v>
      </c>
      <c r="K1" t="s">
        <v>1002</v>
      </c>
      <c r="L1" t="s">
        <v>1003</v>
      </c>
      <c r="M1" t="s">
        <v>39</v>
      </c>
      <c r="N1" t="s">
        <v>1004</v>
      </c>
      <c r="O1" t="s">
        <v>555</v>
      </c>
      <c r="P1" s="154" t="s">
        <v>1005</v>
      </c>
      <c r="Q1" t="s">
        <v>1006</v>
      </c>
      <c r="R1" t="s">
        <v>19</v>
      </c>
      <c r="S1" t="s">
        <v>1007</v>
      </c>
      <c r="T1" t="s">
        <v>1008</v>
      </c>
      <c r="U1" t="s">
        <v>1009</v>
      </c>
      <c r="V1" t="s">
        <v>1010</v>
      </c>
      <c r="W1" t="s">
        <v>1011</v>
      </c>
      <c r="X1" t="s">
        <v>1012</v>
      </c>
      <c r="Y1" t="s">
        <v>1013</v>
      </c>
      <c r="Z1" t="s">
        <v>1014</v>
      </c>
      <c r="AA1" t="s">
        <v>1015</v>
      </c>
      <c r="AB1" t="s">
        <v>1016</v>
      </c>
      <c r="AC1" t="s">
        <v>1017</v>
      </c>
      <c r="AD1" s="167" t="s">
        <v>1018</v>
      </c>
      <c r="AE1" s="168" t="s">
        <v>1019</v>
      </c>
      <c r="AF1" s="168" t="s">
        <v>1020</v>
      </c>
      <c r="AG1" s="168" t="s">
        <v>1021</v>
      </c>
      <c r="AH1" s="168" t="s">
        <v>1022</v>
      </c>
      <c r="AI1" s="168" t="s">
        <v>1023</v>
      </c>
      <c r="AJ1" s="168" t="s">
        <v>1024</v>
      </c>
      <c r="AK1" s="168" t="s">
        <v>1025</v>
      </c>
      <c r="AL1" s="205" t="s">
        <v>75</v>
      </c>
      <c r="AM1" s="169" t="s">
        <v>76</v>
      </c>
      <c r="AN1" s="170" t="s">
        <v>1026</v>
      </c>
    </row>
    <row r="2" spans="1:40">
      <c r="A2" s="407" t="s">
        <v>4819</v>
      </c>
      <c r="B2" s="407">
        <v>2</v>
      </c>
      <c r="C2" s="316">
        <v>45566</v>
      </c>
      <c r="D2" s="408">
        <v>41</v>
      </c>
      <c r="E2" s="409">
        <v>0.50694444444444442</v>
      </c>
      <c r="F2" s="407" t="s">
        <v>78</v>
      </c>
      <c r="G2" s="407" t="s">
        <v>25</v>
      </c>
      <c r="H2" s="407" t="s">
        <v>81</v>
      </c>
      <c r="I2" s="407" t="s">
        <v>581</v>
      </c>
      <c r="J2" s="407" t="s">
        <v>567</v>
      </c>
      <c r="K2" s="407" t="s">
        <v>4817</v>
      </c>
      <c r="L2" s="407" t="s">
        <v>108</v>
      </c>
      <c r="M2" s="407" t="s">
        <v>1029</v>
      </c>
      <c r="N2" s="407">
        <v>967555800</v>
      </c>
      <c r="O2" s="407" t="s">
        <v>255</v>
      </c>
      <c r="P2" s="410">
        <v>13030177</v>
      </c>
      <c r="Q2" s="407" t="s">
        <v>80</v>
      </c>
      <c r="R2" s="407" t="s">
        <v>608</v>
      </c>
      <c r="S2" s="407" t="s">
        <v>4816</v>
      </c>
      <c r="T2" s="407" t="s">
        <v>4818</v>
      </c>
      <c r="U2" s="407" t="s">
        <v>1009</v>
      </c>
      <c r="V2" s="407" t="s">
        <v>1010</v>
      </c>
      <c r="W2" s="407" t="s">
        <v>101</v>
      </c>
      <c r="X2" s="407" t="s">
        <v>129</v>
      </c>
      <c r="Y2" s="411">
        <v>120</v>
      </c>
      <c r="Z2" s="412">
        <v>110115</v>
      </c>
      <c r="AA2" s="407">
        <v>123</v>
      </c>
      <c r="AB2" s="407"/>
      <c r="AC2" s="407"/>
      <c r="AD2" s="413"/>
      <c r="AE2" s="413"/>
      <c r="AF2" s="414"/>
      <c r="AG2" s="414"/>
      <c r="AH2" s="414"/>
      <c r="AI2" s="414"/>
      <c r="AJ2" s="414"/>
      <c r="AK2" s="414"/>
      <c r="AL2" s="415">
        <v>1</v>
      </c>
      <c r="AM2" s="416">
        <v>2024</v>
      </c>
      <c r="AN2" s="250"/>
    </row>
    <row r="3" spans="1:40">
      <c r="A3" t="s">
        <v>4812</v>
      </c>
      <c r="B3">
        <v>2</v>
      </c>
      <c r="C3" s="316">
        <v>45563</v>
      </c>
      <c r="D3">
        <v>40</v>
      </c>
      <c r="E3" s="317">
        <v>0.25</v>
      </c>
      <c r="F3" t="s">
        <v>136</v>
      </c>
      <c r="G3" t="s">
        <v>27</v>
      </c>
      <c r="H3" t="s">
        <v>189</v>
      </c>
      <c r="I3" t="s">
        <v>615</v>
      </c>
      <c r="J3" t="s">
        <v>588</v>
      </c>
      <c r="K3" t="s">
        <v>4808</v>
      </c>
      <c r="L3" t="s">
        <v>108</v>
      </c>
      <c r="M3" t="s">
        <v>1029</v>
      </c>
      <c r="N3">
        <v>967555800</v>
      </c>
      <c r="O3" t="s">
        <v>769</v>
      </c>
      <c r="P3" s="154">
        <v>13030092</v>
      </c>
      <c r="Q3" t="s">
        <v>138</v>
      </c>
      <c r="R3" t="s">
        <v>641</v>
      </c>
      <c r="S3" t="s">
        <v>4807</v>
      </c>
      <c r="T3" t="s">
        <v>4810</v>
      </c>
      <c r="U3" t="s">
        <v>4809</v>
      </c>
      <c r="V3" t="s">
        <v>4811</v>
      </c>
      <c r="W3" t="s">
        <v>101</v>
      </c>
      <c r="X3" t="s">
        <v>129</v>
      </c>
      <c r="Y3" s="229"/>
      <c r="Z3" s="176"/>
      <c r="AA3">
        <v>272</v>
      </c>
      <c r="AD3" s="199"/>
      <c r="AE3" s="199"/>
      <c r="AF3" s="179"/>
      <c r="AG3" s="179"/>
      <c r="AH3" s="179"/>
      <c r="AI3" s="179"/>
      <c r="AJ3" s="179"/>
      <c r="AK3" s="179"/>
      <c r="AL3" s="305">
        <v>9</v>
      </c>
      <c r="AM3" s="306">
        <v>2024</v>
      </c>
      <c r="AN3" s="250"/>
    </row>
    <row r="4" spans="1:40">
      <c r="A4" t="s">
        <v>4803</v>
      </c>
      <c r="B4">
        <v>2</v>
      </c>
      <c r="C4" s="316">
        <v>45562</v>
      </c>
      <c r="D4">
        <v>40</v>
      </c>
      <c r="E4" s="317">
        <v>0.46875</v>
      </c>
      <c r="F4" t="s">
        <v>78</v>
      </c>
      <c r="G4" t="s">
        <v>28</v>
      </c>
      <c r="H4" t="s">
        <v>165</v>
      </c>
      <c r="I4" t="s">
        <v>645</v>
      </c>
      <c r="J4" t="s">
        <v>618</v>
      </c>
      <c r="K4" t="s">
        <v>4799</v>
      </c>
      <c r="L4" t="s">
        <v>108</v>
      </c>
      <c r="M4" t="s">
        <v>1029</v>
      </c>
      <c r="N4">
        <v>967555800</v>
      </c>
      <c r="O4" t="s">
        <v>302</v>
      </c>
      <c r="P4" s="154">
        <v>12000408</v>
      </c>
      <c r="Q4" t="s">
        <v>35</v>
      </c>
      <c r="R4" t="s">
        <v>596</v>
      </c>
      <c r="S4" t="s">
        <v>4804</v>
      </c>
      <c r="T4" t="s">
        <v>4801</v>
      </c>
      <c r="U4" t="s">
        <v>4800</v>
      </c>
      <c r="V4" t="s">
        <v>4802</v>
      </c>
      <c r="W4" t="s">
        <v>101</v>
      </c>
      <c r="X4" t="s">
        <v>102</v>
      </c>
      <c r="Y4" s="229">
        <v>240</v>
      </c>
      <c r="Z4" s="176">
        <v>0</v>
      </c>
      <c r="AA4">
        <v>192</v>
      </c>
      <c r="AD4" s="199"/>
      <c r="AE4" s="199"/>
      <c r="AF4" s="179"/>
      <c r="AG4" s="179"/>
      <c r="AH4" s="179"/>
      <c r="AI4" s="179"/>
      <c r="AJ4" s="179"/>
      <c r="AK4" s="179"/>
      <c r="AL4" s="305">
        <v>9</v>
      </c>
      <c r="AM4" s="306">
        <v>2024</v>
      </c>
      <c r="AN4" s="250"/>
    </row>
    <row r="5" spans="1:40">
      <c r="A5" t="s">
        <v>4796</v>
      </c>
      <c r="B5">
        <v>2</v>
      </c>
      <c r="C5" s="316">
        <v>45561</v>
      </c>
      <c r="D5">
        <v>40</v>
      </c>
      <c r="E5" s="317">
        <v>0.15277777777777779</v>
      </c>
      <c r="F5" t="s">
        <v>136</v>
      </c>
      <c r="G5" t="s">
        <v>32</v>
      </c>
      <c r="H5" t="s">
        <v>114</v>
      </c>
      <c r="I5" t="s">
        <v>635</v>
      </c>
      <c r="J5" t="s">
        <v>169</v>
      </c>
      <c r="K5" t="s">
        <v>4639</v>
      </c>
      <c r="L5" t="s">
        <v>108</v>
      </c>
      <c r="M5" t="s">
        <v>1029</v>
      </c>
      <c r="N5">
        <v>967555800</v>
      </c>
      <c r="O5" t="s">
        <v>200</v>
      </c>
      <c r="P5" s="154">
        <v>13030428</v>
      </c>
      <c r="Q5" t="s">
        <v>80</v>
      </c>
      <c r="R5" t="s">
        <v>589</v>
      </c>
      <c r="S5" t="s">
        <v>4792</v>
      </c>
      <c r="T5" t="s">
        <v>4794</v>
      </c>
      <c r="U5" t="s">
        <v>4793</v>
      </c>
      <c r="V5" t="s">
        <v>4795</v>
      </c>
      <c r="W5" t="s">
        <v>101</v>
      </c>
      <c r="X5" t="s">
        <v>102</v>
      </c>
      <c r="Y5" s="229">
        <v>549</v>
      </c>
      <c r="Z5" s="176">
        <v>0</v>
      </c>
      <c r="AA5">
        <v>269</v>
      </c>
      <c r="AD5" s="199"/>
      <c r="AE5" s="199"/>
      <c r="AF5" s="179"/>
      <c r="AG5" s="179"/>
      <c r="AH5" s="179"/>
      <c r="AI5" s="179"/>
      <c r="AJ5" s="179"/>
      <c r="AK5" s="179"/>
      <c r="AL5" s="305">
        <v>9</v>
      </c>
      <c r="AM5" s="306">
        <v>2024</v>
      </c>
      <c r="AN5" s="250"/>
    </row>
    <row r="6" spans="1:40">
      <c r="A6" t="s">
        <v>4791</v>
      </c>
      <c r="B6">
        <v>2</v>
      </c>
      <c r="C6" s="316">
        <v>45561</v>
      </c>
      <c r="D6">
        <v>40</v>
      </c>
      <c r="E6" s="317">
        <v>0.875</v>
      </c>
      <c r="F6" t="s">
        <v>136</v>
      </c>
      <c r="G6" t="s">
        <v>24</v>
      </c>
      <c r="H6" t="s">
        <v>165</v>
      </c>
      <c r="I6" t="s">
        <v>635</v>
      </c>
      <c r="J6" t="s">
        <v>169</v>
      </c>
      <c r="K6" t="s">
        <v>4787</v>
      </c>
      <c r="L6" t="s">
        <v>108</v>
      </c>
      <c r="M6" t="s">
        <v>1029</v>
      </c>
      <c r="N6">
        <v>967555800</v>
      </c>
      <c r="O6" t="s">
        <v>124</v>
      </c>
      <c r="P6" s="154">
        <v>13001004</v>
      </c>
      <c r="Q6" t="s">
        <v>80</v>
      </c>
      <c r="R6" t="s">
        <v>608</v>
      </c>
      <c r="S6" t="s">
        <v>4786</v>
      </c>
      <c r="T6" t="s">
        <v>4789</v>
      </c>
      <c r="U6" t="s">
        <v>4788</v>
      </c>
      <c r="V6" t="s">
        <v>4790</v>
      </c>
      <c r="W6" t="s">
        <v>101</v>
      </c>
      <c r="X6" t="s">
        <v>129</v>
      </c>
      <c r="Y6" s="229">
        <v>1800</v>
      </c>
      <c r="Z6" s="176"/>
      <c r="AA6">
        <v>269</v>
      </c>
      <c r="AD6" s="199"/>
      <c r="AE6" s="199"/>
      <c r="AF6" s="179"/>
      <c r="AG6" s="179"/>
      <c r="AH6" s="179"/>
      <c r="AI6" s="179"/>
      <c r="AJ6" s="179"/>
      <c r="AK6" s="179"/>
      <c r="AL6" s="305">
        <v>9</v>
      </c>
      <c r="AM6" s="306">
        <v>2024</v>
      </c>
      <c r="AN6" s="250"/>
    </row>
    <row r="7" spans="1:40">
      <c r="A7" t="s">
        <v>4785</v>
      </c>
      <c r="B7">
        <v>2</v>
      </c>
      <c r="C7" s="316">
        <v>45560</v>
      </c>
      <c r="D7">
        <v>40</v>
      </c>
      <c r="E7" s="317">
        <v>0.875</v>
      </c>
      <c r="F7" t="s">
        <v>136</v>
      </c>
      <c r="G7" t="s">
        <v>23</v>
      </c>
      <c r="H7" t="s">
        <v>164</v>
      </c>
      <c r="I7" t="s">
        <v>635</v>
      </c>
      <c r="J7" t="s">
        <v>169</v>
      </c>
      <c r="K7" t="s">
        <v>4639</v>
      </c>
      <c r="L7" t="s">
        <v>108</v>
      </c>
      <c r="M7" t="s">
        <v>1029</v>
      </c>
      <c r="N7">
        <v>967555800</v>
      </c>
      <c r="O7" t="s">
        <v>265</v>
      </c>
      <c r="P7" s="154">
        <v>13030402</v>
      </c>
      <c r="Q7" t="s">
        <v>206</v>
      </c>
      <c r="R7" t="s">
        <v>578</v>
      </c>
      <c r="S7" t="s">
        <v>4779</v>
      </c>
      <c r="T7" t="s">
        <v>4782</v>
      </c>
      <c r="U7" t="s">
        <v>4781</v>
      </c>
      <c r="V7" t="s">
        <v>4783</v>
      </c>
      <c r="W7" t="s">
        <v>101</v>
      </c>
      <c r="X7" t="s">
        <v>129</v>
      </c>
      <c r="Y7" s="229" t="s">
        <v>4784</v>
      </c>
      <c r="Z7" s="176"/>
      <c r="AA7" t="s">
        <v>4780</v>
      </c>
      <c r="AD7" s="199"/>
      <c r="AE7" s="199"/>
      <c r="AF7" s="179"/>
      <c r="AG7" s="179"/>
      <c r="AH7" s="179"/>
      <c r="AI7" s="179"/>
      <c r="AJ7" s="179"/>
      <c r="AK7" s="179"/>
      <c r="AL7" s="305">
        <v>9</v>
      </c>
      <c r="AM7" s="306">
        <v>2024</v>
      </c>
      <c r="AN7" s="250"/>
    </row>
    <row r="8" spans="1:40">
      <c r="A8" t="s">
        <v>4778</v>
      </c>
      <c r="B8">
        <v>2</v>
      </c>
      <c r="C8" s="316">
        <v>45560</v>
      </c>
      <c r="D8">
        <v>40</v>
      </c>
      <c r="E8" s="317">
        <v>0.41319444444444442</v>
      </c>
      <c r="F8" t="s">
        <v>78</v>
      </c>
      <c r="G8" t="s">
        <v>26</v>
      </c>
      <c r="H8" t="s">
        <v>165</v>
      </c>
      <c r="I8" t="s">
        <v>87</v>
      </c>
      <c r="J8" t="s">
        <v>576</v>
      </c>
      <c r="K8" t="s">
        <v>3123</v>
      </c>
      <c r="L8" t="s">
        <v>108</v>
      </c>
      <c r="M8" t="s">
        <v>1029</v>
      </c>
      <c r="N8">
        <v>967555800</v>
      </c>
      <c r="O8" t="s">
        <v>755</v>
      </c>
      <c r="P8" s="154">
        <v>13030601</v>
      </c>
      <c r="Q8" t="s">
        <v>185</v>
      </c>
      <c r="R8" t="s">
        <v>578</v>
      </c>
      <c r="S8" t="s">
        <v>4775</v>
      </c>
      <c r="T8" t="s">
        <v>4797</v>
      </c>
      <c r="U8" t="s">
        <v>4776</v>
      </c>
      <c r="V8" t="s">
        <v>4777</v>
      </c>
      <c r="W8" t="s">
        <v>101</v>
      </c>
      <c r="X8" t="s">
        <v>156</v>
      </c>
      <c r="Y8" s="229" t="s">
        <v>4798</v>
      </c>
      <c r="Z8" s="176"/>
      <c r="AA8">
        <v>269</v>
      </c>
      <c r="AD8" s="199"/>
      <c r="AE8" s="199"/>
      <c r="AF8" s="179"/>
      <c r="AG8" s="179"/>
      <c r="AH8" s="179"/>
      <c r="AI8" s="179"/>
      <c r="AJ8" s="179"/>
      <c r="AK8" s="179"/>
      <c r="AL8" s="305">
        <v>9</v>
      </c>
      <c r="AM8" s="306">
        <v>2024</v>
      </c>
      <c r="AN8" s="250"/>
    </row>
    <row r="9" spans="1:40">
      <c r="A9" t="s">
        <v>4767</v>
      </c>
      <c r="B9">
        <v>2</v>
      </c>
      <c r="C9" s="308">
        <v>45559</v>
      </c>
      <c r="D9">
        <v>40</v>
      </c>
      <c r="E9" s="173">
        <v>4.1666666666666664E-2</v>
      </c>
      <c r="F9" t="s">
        <v>136</v>
      </c>
      <c r="G9" t="s">
        <v>29</v>
      </c>
      <c r="H9" t="s">
        <v>165</v>
      </c>
      <c r="I9" t="s">
        <v>635</v>
      </c>
      <c r="J9" t="s">
        <v>588</v>
      </c>
      <c r="K9" t="s">
        <v>4763</v>
      </c>
      <c r="L9" t="s">
        <v>108</v>
      </c>
      <c r="M9" t="s">
        <v>1029</v>
      </c>
      <c r="N9">
        <v>967555800</v>
      </c>
      <c r="O9" t="s">
        <v>820</v>
      </c>
      <c r="P9" s="154">
        <v>13030607</v>
      </c>
      <c r="Q9" t="s">
        <v>185</v>
      </c>
      <c r="R9" t="s">
        <v>600</v>
      </c>
      <c r="S9" t="s">
        <v>4762</v>
      </c>
      <c r="T9" t="s">
        <v>4765</v>
      </c>
      <c r="U9" t="s">
        <v>4764</v>
      </c>
      <c r="V9" t="s">
        <v>4766</v>
      </c>
      <c r="W9" t="s">
        <v>101</v>
      </c>
      <c r="X9" t="s">
        <v>156</v>
      </c>
      <c r="Y9" s="229">
        <v>81</v>
      </c>
      <c r="Z9" s="176"/>
      <c r="AA9">
        <v>268</v>
      </c>
      <c r="AD9" s="199"/>
      <c r="AE9" s="199"/>
      <c r="AF9" s="179"/>
      <c r="AG9" s="179"/>
      <c r="AH9" s="179"/>
      <c r="AI9" s="179"/>
      <c r="AJ9" s="179"/>
      <c r="AK9" s="179"/>
      <c r="AL9" s="305">
        <v>9</v>
      </c>
      <c r="AM9" s="306">
        <v>2024</v>
      </c>
      <c r="AN9" s="250"/>
    </row>
    <row r="10" spans="1:40">
      <c r="A10" t="s">
        <v>4761</v>
      </c>
      <c r="B10">
        <v>2</v>
      </c>
      <c r="C10" s="308">
        <v>45558</v>
      </c>
      <c r="D10">
        <v>40</v>
      </c>
      <c r="E10" s="173">
        <v>0.72222222222222221</v>
      </c>
      <c r="F10" t="s">
        <v>109</v>
      </c>
      <c r="G10" t="s">
        <v>28</v>
      </c>
      <c r="H10" t="s">
        <v>81</v>
      </c>
      <c r="I10" t="s">
        <v>248</v>
      </c>
      <c r="J10" t="s">
        <v>4682</v>
      </c>
      <c r="K10" t="s">
        <v>1077</v>
      </c>
      <c r="L10" t="s">
        <v>77</v>
      </c>
      <c r="M10" t="s">
        <v>717</v>
      </c>
      <c r="N10">
        <v>96954210</v>
      </c>
      <c r="O10" t="s">
        <v>507</v>
      </c>
      <c r="P10" s="154">
        <v>10002457</v>
      </c>
      <c r="Q10" t="s">
        <v>138</v>
      </c>
      <c r="R10" t="s">
        <v>79</v>
      </c>
      <c r="S10" t="s">
        <v>4758</v>
      </c>
      <c r="T10" t="s">
        <v>4815</v>
      </c>
      <c r="U10" t="s">
        <v>4760</v>
      </c>
      <c r="W10" t="s">
        <v>101</v>
      </c>
      <c r="X10" t="s">
        <v>4814</v>
      </c>
      <c r="Y10" s="229">
        <v>200</v>
      </c>
      <c r="Z10" s="176"/>
      <c r="AA10" t="s">
        <v>4759</v>
      </c>
      <c r="AD10" s="199"/>
      <c r="AE10" s="199"/>
      <c r="AF10" s="179"/>
      <c r="AG10" s="179"/>
      <c r="AH10" s="179"/>
      <c r="AI10" s="179"/>
      <c r="AJ10" s="179"/>
      <c r="AK10" s="179"/>
      <c r="AL10" s="305">
        <v>9</v>
      </c>
      <c r="AM10" s="306">
        <v>2024</v>
      </c>
      <c r="AN10" s="250"/>
    </row>
    <row r="11" spans="1:40">
      <c r="A11" t="s">
        <v>4757</v>
      </c>
      <c r="B11">
        <v>2</v>
      </c>
      <c r="C11" s="308">
        <v>45548</v>
      </c>
      <c r="D11">
        <v>38</v>
      </c>
      <c r="E11" s="173">
        <v>0.49861111111111112</v>
      </c>
      <c r="F11" t="s">
        <v>78</v>
      </c>
      <c r="G11" t="s">
        <v>26</v>
      </c>
      <c r="H11" t="s">
        <v>165</v>
      </c>
      <c r="I11" t="s">
        <v>248</v>
      </c>
      <c r="J11" t="s">
        <v>607</v>
      </c>
      <c r="K11" t="s">
        <v>1923</v>
      </c>
      <c r="L11" t="s">
        <v>108</v>
      </c>
      <c r="M11" t="s">
        <v>1029</v>
      </c>
      <c r="N11">
        <v>967555800</v>
      </c>
      <c r="O11" t="s">
        <v>755</v>
      </c>
      <c r="P11" s="154">
        <v>13030601</v>
      </c>
      <c r="Q11" t="s">
        <v>80</v>
      </c>
      <c r="R11" t="s">
        <v>226</v>
      </c>
      <c r="S11" t="s">
        <v>4754</v>
      </c>
      <c r="T11" t="s">
        <v>4813</v>
      </c>
      <c r="U11" t="s">
        <v>4755</v>
      </c>
      <c r="V11" t="s">
        <v>4756</v>
      </c>
      <c r="W11" t="s">
        <v>101</v>
      </c>
      <c r="X11" t="s">
        <v>102</v>
      </c>
      <c r="Y11" s="229">
        <v>2625</v>
      </c>
      <c r="Z11" s="176"/>
      <c r="AA11">
        <v>257</v>
      </c>
      <c r="AD11" s="199"/>
      <c r="AE11" s="199"/>
      <c r="AF11" s="179"/>
      <c r="AG11" s="179"/>
      <c r="AH11" s="179"/>
      <c r="AI11" s="179"/>
      <c r="AJ11" s="179"/>
      <c r="AK11" s="179"/>
      <c r="AL11" s="305">
        <v>9</v>
      </c>
      <c r="AM11" s="306">
        <v>2024</v>
      </c>
      <c r="AN11" s="250"/>
    </row>
    <row r="12" spans="1:40">
      <c r="A12" t="s">
        <v>4753</v>
      </c>
      <c r="B12">
        <v>2</v>
      </c>
      <c r="C12" s="308">
        <v>45548</v>
      </c>
      <c r="D12">
        <v>38</v>
      </c>
      <c r="E12" s="173">
        <v>0.4236111111111111</v>
      </c>
      <c r="F12" t="s">
        <v>78</v>
      </c>
      <c r="G12" t="s">
        <v>31</v>
      </c>
      <c r="H12" t="s">
        <v>84</v>
      </c>
      <c r="I12" t="s">
        <v>248</v>
      </c>
      <c r="J12" t="s">
        <v>607</v>
      </c>
      <c r="K12" t="s">
        <v>4749</v>
      </c>
      <c r="L12" t="s">
        <v>108</v>
      </c>
      <c r="M12" t="s">
        <v>1029</v>
      </c>
      <c r="N12">
        <v>967555800</v>
      </c>
      <c r="O12" t="s">
        <v>97</v>
      </c>
      <c r="P12" s="154">
        <v>13030492</v>
      </c>
      <c r="Q12" t="s">
        <v>138</v>
      </c>
      <c r="R12" t="s">
        <v>589</v>
      </c>
      <c r="S12" t="s">
        <v>4748</v>
      </c>
      <c r="T12" t="s">
        <v>4751</v>
      </c>
      <c r="U12" t="s">
        <v>4750</v>
      </c>
      <c r="V12" t="s">
        <v>4752</v>
      </c>
      <c r="W12" t="s">
        <v>101</v>
      </c>
      <c r="X12" t="s">
        <v>156</v>
      </c>
      <c r="Y12" s="229">
        <v>396</v>
      </c>
      <c r="Z12" s="176"/>
      <c r="AA12">
        <v>257</v>
      </c>
      <c r="AD12" s="199"/>
      <c r="AE12" s="199"/>
      <c r="AF12" s="179"/>
      <c r="AG12" s="179"/>
      <c r="AH12" s="179"/>
      <c r="AI12" s="179"/>
      <c r="AJ12" s="179"/>
      <c r="AK12" s="179"/>
      <c r="AL12" s="305">
        <v>9</v>
      </c>
      <c r="AM12" s="306">
        <v>2024</v>
      </c>
      <c r="AN12" s="250"/>
    </row>
    <row r="13" spans="1:40">
      <c r="A13" t="s">
        <v>4747</v>
      </c>
      <c r="B13">
        <v>2</v>
      </c>
      <c r="C13" s="308">
        <v>45548</v>
      </c>
      <c r="D13">
        <v>38</v>
      </c>
      <c r="E13" s="173">
        <v>0.17708333333333334</v>
      </c>
      <c r="F13" t="s">
        <v>136</v>
      </c>
      <c r="G13" t="s">
        <v>28</v>
      </c>
      <c r="H13" t="s">
        <v>166</v>
      </c>
      <c r="I13" t="s">
        <v>212</v>
      </c>
      <c r="J13" t="s">
        <v>633</v>
      </c>
      <c r="K13" t="s">
        <v>1184</v>
      </c>
      <c r="L13" t="s">
        <v>108</v>
      </c>
      <c r="M13" t="s">
        <v>1029</v>
      </c>
      <c r="N13">
        <v>967555800</v>
      </c>
      <c r="O13" t="s">
        <v>331</v>
      </c>
      <c r="P13" s="154">
        <v>13000471</v>
      </c>
      <c r="Q13" t="s">
        <v>138</v>
      </c>
      <c r="R13" t="s">
        <v>585</v>
      </c>
      <c r="S13" t="s">
        <v>4744</v>
      </c>
      <c r="T13" t="s">
        <v>4746</v>
      </c>
      <c r="U13" t="s">
        <v>4745</v>
      </c>
      <c r="W13" t="s">
        <v>101</v>
      </c>
      <c r="X13" t="s">
        <v>102</v>
      </c>
      <c r="Y13" s="229">
        <v>162</v>
      </c>
      <c r="Z13" s="176">
        <v>0</v>
      </c>
      <c r="AA13">
        <v>243</v>
      </c>
      <c r="AD13" s="199"/>
      <c r="AE13" s="199"/>
      <c r="AF13" s="179"/>
      <c r="AG13" s="179"/>
      <c r="AH13" s="179"/>
      <c r="AI13" s="179"/>
      <c r="AJ13" s="179"/>
      <c r="AK13" s="179"/>
      <c r="AL13" s="305">
        <v>9</v>
      </c>
      <c r="AM13" s="306">
        <v>2024</v>
      </c>
      <c r="AN13" s="250"/>
    </row>
    <row r="14" spans="1:40">
      <c r="A14" t="s">
        <v>4743</v>
      </c>
      <c r="B14">
        <v>2</v>
      </c>
      <c r="C14" s="308">
        <v>45548</v>
      </c>
      <c r="D14">
        <v>38</v>
      </c>
      <c r="E14" s="173">
        <v>0.36805555555555558</v>
      </c>
      <c r="F14" t="s">
        <v>109</v>
      </c>
      <c r="G14" t="s">
        <v>28</v>
      </c>
      <c r="H14" t="s">
        <v>165</v>
      </c>
      <c r="I14" t="s">
        <v>212</v>
      </c>
      <c r="J14" t="s">
        <v>588</v>
      </c>
      <c r="K14" t="s">
        <v>1209</v>
      </c>
      <c r="L14" t="s">
        <v>108</v>
      </c>
      <c r="M14" t="s">
        <v>1029</v>
      </c>
      <c r="N14">
        <v>967555800</v>
      </c>
      <c r="O14" t="s">
        <v>331</v>
      </c>
      <c r="P14" s="154">
        <v>13000471</v>
      </c>
      <c r="Q14" t="s">
        <v>138</v>
      </c>
      <c r="R14" t="s">
        <v>585</v>
      </c>
      <c r="S14" t="s">
        <v>4738</v>
      </c>
      <c r="T14" t="s">
        <v>4740</v>
      </c>
      <c r="U14" t="s">
        <v>4739</v>
      </c>
      <c r="V14" t="s">
        <v>4741</v>
      </c>
      <c r="W14" t="s">
        <v>101</v>
      </c>
      <c r="Y14" s="229" t="s">
        <v>4742</v>
      </c>
      <c r="Z14" s="176"/>
      <c r="AA14">
        <v>255</v>
      </c>
      <c r="AD14" s="199"/>
      <c r="AE14" s="199"/>
      <c r="AF14" s="179"/>
      <c r="AG14" s="179"/>
      <c r="AH14" s="179"/>
      <c r="AI14" s="179"/>
      <c r="AJ14" s="179"/>
      <c r="AK14" s="179"/>
      <c r="AL14" s="305">
        <v>9</v>
      </c>
      <c r="AM14" s="306">
        <v>2024</v>
      </c>
      <c r="AN14" s="250"/>
    </row>
    <row r="15" spans="1:40">
      <c r="A15" t="s">
        <v>4768</v>
      </c>
      <c r="B15">
        <v>2</v>
      </c>
      <c r="C15" s="308">
        <v>45635</v>
      </c>
      <c r="D15">
        <v>38</v>
      </c>
      <c r="E15" s="173">
        <v>0.15277777777777779</v>
      </c>
      <c r="F15" t="s">
        <v>136</v>
      </c>
      <c r="G15" t="s">
        <v>27</v>
      </c>
      <c r="H15" t="s">
        <v>81</v>
      </c>
      <c r="I15" t="s">
        <v>645</v>
      </c>
      <c r="J15" t="s">
        <v>633</v>
      </c>
      <c r="K15" t="s">
        <v>4730</v>
      </c>
      <c r="L15" t="s">
        <v>77</v>
      </c>
      <c r="M15" t="s">
        <v>695</v>
      </c>
      <c r="N15">
        <v>5920758</v>
      </c>
      <c r="O15" t="s">
        <v>514</v>
      </c>
      <c r="P15" s="154">
        <v>10003474</v>
      </c>
      <c r="Q15" t="s">
        <v>138</v>
      </c>
      <c r="R15" t="s">
        <v>79</v>
      </c>
      <c r="S15" t="s">
        <v>4732</v>
      </c>
      <c r="T15" t="s">
        <v>4731</v>
      </c>
      <c r="U15" t="s">
        <v>4733</v>
      </c>
      <c r="V15" t="s">
        <v>4806</v>
      </c>
      <c r="W15" t="s">
        <v>101</v>
      </c>
      <c r="X15" t="s">
        <v>129</v>
      </c>
      <c r="Y15" s="229">
        <v>185</v>
      </c>
      <c r="Z15" s="176"/>
      <c r="AA15">
        <v>143</v>
      </c>
      <c r="AD15" s="199"/>
      <c r="AE15" s="199"/>
      <c r="AF15" s="179"/>
      <c r="AG15" s="179"/>
      <c r="AH15" s="179"/>
      <c r="AI15" s="179"/>
      <c r="AJ15" s="179"/>
      <c r="AK15" s="179"/>
      <c r="AL15" s="305">
        <v>9</v>
      </c>
      <c r="AM15" s="306">
        <v>2024</v>
      </c>
      <c r="AN15" s="250"/>
    </row>
    <row r="16" spans="1:40">
      <c r="A16" t="s">
        <v>4737</v>
      </c>
      <c r="B16">
        <v>2</v>
      </c>
      <c r="C16" s="308">
        <v>45635</v>
      </c>
      <c r="D16">
        <v>38</v>
      </c>
      <c r="E16" s="173">
        <v>0.69444444444444442</v>
      </c>
      <c r="F16" t="s">
        <v>109</v>
      </c>
      <c r="G16" t="s">
        <v>23</v>
      </c>
      <c r="H16" t="s">
        <v>164</v>
      </c>
      <c r="I16" t="s">
        <v>615</v>
      </c>
      <c r="J16" t="s">
        <v>169</v>
      </c>
      <c r="K16" t="s">
        <v>2947</v>
      </c>
      <c r="L16" t="s">
        <v>108</v>
      </c>
      <c r="M16" t="s">
        <v>1029</v>
      </c>
      <c r="N16">
        <v>967555800</v>
      </c>
      <c r="O16" t="s">
        <v>122</v>
      </c>
      <c r="P16" s="154">
        <v>12001472</v>
      </c>
      <c r="Q16" t="s">
        <v>206</v>
      </c>
      <c r="R16" t="s">
        <v>578</v>
      </c>
      <c r="S16" t="s">
        <v>4734</v>
      </c>
      <c r="T16" t="s">
        <v>4805</v>
      </c>
      <c r="U16" t="s">
        <v>4735</v>
      </c>
      <c r="V16" t="s">
        <v>4736</v>
      </c>
      <c r="W16" t="s">
        <v>101</v>
      </c>
      <c r="X16" t="s">
        <v>129</v>
      </c>
      <c r="Y16" s="229">
        <v>3600</v>
      </c>
      <c r="Z16" s="176"/>
      <c r="AA16">
        <v>256</v>
      </c>
      <c r="AD16" s="199"/>
      <c r="AE16" s="199"/>
      <c r="AF16" s="179"/>
      <c r="AG16" s="179"/>
      <c r="AH16" s="179"/>
      <c r="AI16" s="179"/>
      <c r="AJ16" s="179"/>
      <c r="AK16" s="179"/>
      <c r="AL16" s="305">
        <v>9</v>
      </c>
      <c r="AM16" s="306">
        <v>2024</v>
      </c>
      <c r="AN16" s="250"/>
    </row>
    <row r="17" spans="1:40">
      <c r="A17" t="s">
        <v>4722</v>
      </c>
      <c r="B17">
        <v>2</v>
      </c>
      <c r="C17" s="308">
        <v>45574</v>
      </c>
      <c r="D17">
        <v>38</v>
      </c>
      <c r="E17" s="173">
        <v>4.1666666666666664E-2</v>
      </c>
      <c r="F17" t="s">
        <v>136</v>
      </c>
      <c r="G17" t="s">
        <v>28</v>
      </c>
      <c r="H17" t="s">
        <v>166</v>
      </c>
      <c r="I17" t="s">
        <v>212</v>
      </c>
      <c r="J17" t="s">
        <v>633</v>
      </c>
      <c r="K17" t="s">
        <v>1184</v>
      </c>
      <c r="L17" t="s">
        <v>108</v>
      </c>
      <c r="M17" t="s">
        <v>1029</v>
      </c>
      <c r="N17">
        <v>967555800</v>
      </c>
      <c r="O17" t="s">
        <v>4718</v>
      </c>
      <c r="P17" s="154"/>
      <c r="Q17" t="s">
        <v>185</v>
      </c>
      <c r="R17" t="s">
        <v>596</v>
      </c>
      <c r="S17" t="s">
        <v>4717</v>
      </c>
      <c r="T17" t="s">
        <v>4720</v>
      </c>
      <c r="U17" t="s">
        <v>4719</v>
      </c>
      <c r="W17" t="s">
        <v>101</v>
      </c>
      <c r="X17" t="s">
        <v>102</v>
      </c>
      <c r="Y17" s="229" t="s">
        <v>4721</v>
      </c>
      <c r="Z17" s="176">
        <v>0</v>
      </c>
      <c r="AA17">
        <v>253</v>
      </c>
      <c r="AD17" s="199"/>
      <c r="AE17" s="199"/>
      <c r="AF17" s="179"/>
      <c r="AG17" s="179"/>
      <c r="AH17" s="179"/>
      <c r="AI17" s="179"/>
      <c r="AJ17" s="179"/>
      <c r="AK17" s="179"/>
      <c r="AL17" s="305">
        <v>9</v>
      </c>
      <c r="AM17" s="306">
        <v>2024</v>
      </c>
      <c r="AN17" s="250"/>
    </row>
    <row r="18" spans="1:40">
      <c r="A18" t="s">
        <v>4729</v>
      </c>
      <c r="B18">
        <v>2</v>
      </c>
      <c r="C18" s="308">
        <v>45574</v>
      </c>
      <c r="D18">
        <v>38</v>
      </c>
      <c r="E18" s="173">
        <v>0.7055555555555556</v>
      </c>
      <c r="F18" t="s">
        <v>109</v>
      </c>
      <c r="G18" t="s">
        <v>28</v>
      </c>
      <c r="H18" t="s">
        <v>81</v>
      </c>
      <c r="I18" t="s">
        <v>635</v>
      </c>
      <c r="J18" t="s">
        <v>588</v>
      </c>
      <c r="K18" t="s">
        <v>4725</v>
      </c>
      <c r="L18" t="s">
        <v>77</v>
      </c>
      <c r="M18" t="s">
        <v>657</v>
      </c>
      <c r="N18">
        <v>81094100</v>
      </c>
      <c r="O18" t="s">
        <v>510</v>
      </c>
      <c r="P18" s="154">
        <v>10000438</v>
      </c>
      <c r="Q18" t="s">
        <v>138</v>
      </c>
      <c r="R18" t="s">
        <v>110</v>
      </c>
      <c r="S18" t="s">
        <v>4724</v>
      </c>
      <c r="T18" t="s">
        <v>4727</v>
      </c>
      <c r="U18" t="s">
        <v>4726</v>
      </c>
      <c r="V18" t="s">
        <v>4728</v>
      </c>
      <c r="W18" t="s">
        <v>101</v>
      </c>
      <c r="Y18" s="229">
        <v>497</v>
      </c>
      <c r="Z18" s="176"/>
      <c r="AA18">
        <v>768989</v>
      </c>
      <c r="AD18" s="199"/>
      <c r="AE18" s="199"/>
      <c r="AF18" s="179"/>
      <c r="AG18" s="179"/>
      <c r="AH18" s="179"/>
      <c r="AI18" s="179"/>
      <c r="AJ18" s="179"/>
      <c r="AK18" s="179"/>
      <c r="AL18" s="305">
        <v>9</v>
      </c>
      <c r="AM18" s="306">
        <v>2024</v>
      </c>
      <c r="AN18" s="250"/>
    </row>
    <row r="19" spans="1:40">
      <c r="A19" t="s">
        <v>4716</v>
      </c>
      <c r="B19">
        <v>2</v>
      </c>
      <c r="C19" s="308">
        <v>45574</v>
      </c>
      <c r="D19">
        <v>38</v>
      </c>
      <c r="E19" s="173">
        <v>0.96527777777777779</v>
      </c>
      <c r="F19" t="s">
        <v>136</v>
      </c>
      <c r="G19" t="s">
        <v>28</v>
      </c>
      <c r="H19" t="s">
        <v>81</v>
      </c>
      <c r="I19" t="s">
        <v>212</v>
      </c>
      <c r="J19" t="s">
        <v>633</v>
      </c>
      <c r="K19" t="s">
        <v>4711</v>
      </c>
      <c r="L19" t="s">
        <v>108</v>
      </c>
      <c r="M19" t="s">
        <v>1029</v>
      </c>
      <c r="N19">
        <v>967555800</v>
      </c>
      <c r="O19" t="s">
        <v>4712</v>
      </c>
      <c r="P19" s="154"/>
      <c r="Q19" t="s">
        <v>138</v>
      </c>
      <c r="R19" t="s">
        <v>589</v>
      </c>
      <c r="S19" t="s">
        <v>4710</v>
      </c>
      <c r="T19" t="s">
        <v>4714</v>
      </c>
      <c r="U19" t="s">
        <v>4713</v>
      </c>
      <c r="W19" t="s">
        <v>101</v>
      </c>
      <c r="X19" t="s">
        <v>102</v>
      </c>
      <c r="Y19" s="229" t="s">
        <v>4715</v>
      </c>
      <c r="Z19" s="176">
        <v>0</v>
      </c>
      <c r="AD19" s="199"/>
      <c r="AE19" s="199"/>
      <c r="AF19" s="179"/>
      <c r="AG19" s="179"/>
      <c r="AH19" s="179"/>
      <c r="AI19" s="179"/>
      <c r="AJ19" s="179"/>
      <c r="AK19" s="179"/>
      <c r="AL19" s="305">
        <v>9</v>
      </c>
      <c r="AM19" s="306">
        <v>2024</v>
      </c>
      <c r="AN19" s="250"/>
    </row>
    <row r="20" spans="1:40">
      <c r="A20" t="s">
        <v>4709</v>
      </c>
      <c r="B20">
        <v>2</v>
      </c>
      <c r="C20" s="308">
        <v>45544</v>
      </c>
      <c r="D20">
        <v>38</v>
      </c>
      <c r="E20" s="173">
        <v>0.65625</v>
      </c>
      <c r="F20" t="s">
        <v>109</v>
      </c>
      <c r="G20" t="s">
        <v>23</v>
      </c>
      <c r="H20" t="s">
        <v>139</v>
      </c>
      <c r="I20" t="s">
        <v>635</v>
      </c>
      <c r="J20" t="s">
        <v>169</v>
      </c>
      <c r="K20" t="s">
        <v>1285</v>
      </c>
      <c r="L20" t="s">
        <v>108</v>
      </c>
      <c r="M20" t="s">
        <v>1029</v>
      </c>
      <c r="N20">
        <v>967555800</v>
      </c>
      <c r="O20" t="s">
        <v>285</v>
      </c>
      <c r="P20" s="154">
        <v>13030597</v>
      </c>
      <c r="Q20" t="s">
        <v>138</v>
      </c>
      <c r="R20" t="s">
        <v>589</v>
      </c>
      <c r="S20" t="s">
        <v>4707</v>
      </c>
      <c r="T20" t="s">
        <v>4708</v>
      </c>
      <c r="U20" t="s">
        <v>4587</v>
      </c>
      <c r="V20" t="s">
        <v>4501</v>
      </c>
      <c r="W20" t="s">
        <v>101</v>
      </c>
      <c r="X20" t="s">
        <v>102</v>
      </c>
      <c r="Y20" s="229">
        <v>1200</v>
      </c>
      <c r="Z20" s="176">
        <v>0</v>
      </c>
      <c r="AA20">
        <v>253</v>
      </c>
      <c r="AD20" s="199"/>
      <c r="AE20" s="199"/>
      <c r="AF20" s="179"/>
      <c r="AG20" s="179"/>
      <c r="AH20" s="179"/>
      <c r="AI20" s="179"/>
      <c r="AJ20" s="179"/>
      <c r="AK20" s="179"/>
      <c r="AL20" s="305">
        <v>9</v>
      </c>
      <c r="AM20" s="306">
        <v>2024</v>
      </c>
      <c r="AN20" s="250"/>
    </row>
    <row r="21" spans="1:40">
      <c r="A21" t="s">
        <v>4706</v>
      </c>
      <c r="B21">
        <v>2</v>
      </c>
      <c r="C21" s="308">
        <v>45452</v>
      </c>
      <c r="D21">
        <v>37</v>
      </c>
      <c r="E21" s="173">
        <v>0.21249999999999999</v>
      </c>
      <c r="F21" t="s">
        <v>136</v>
      </c>
      <c r="G21" t="s">
        <v>28</v>
      </c>
      <c r="H21" t="s">
        <v>166</v>
      </c>
      <c r="I21" t="s">
        <v>635</v>
      </c>
      <c r="J21" t="s">
        <v>588</v>
      </c>
      <c r="K21" t="s">
        <v>4676</v>
      </c>
      <c r="L21" t="s">
        <v>108</v>
      </c>
      <c r="M21" t="s">
        <v>1029</v>
      </c>
      <c r="N21">
        <v>967555800</v>
      </c>
      <c r="O21" t="s">
        <v>347</v>
      </c>
      <c r="P21" s="154">
        <v>12000409</v>
      </c>
      <c r="Q21" t="s">
        <v>138</v>
      </c>
      <c r="R21" t="s">
        <v>620</v>
      </c>
      <c r="S21" t="s">
        <v>4702</v>
      </c>
      <c r="T21" t="s">
        <v>4704</v>
      </c>
      <c r="U21" t="s">
        <v>4703</v>
      </c>
      <c r="V21" t="s">
        <v>4705</v>
      </c>
      <c r="W21" t="s">
        <v>101</v>
      </c>
      <c r="X21" t="s">
        <v>129</v>
      </c>
      <c r="Y21" s="229"/>
      <c r="Z21" s="176"/>
      <c r="AA21">
        <v>233</v>
      </c>
      <c r="AD21" s="199"/>
      <c r="AE21" s="199"/>
      <c r="AF21" s="179"/>
      <c r="AG21" s="179"/>
      <c r="AH21" s="179"/>
      <c r="AI21" s="179"/>
      <c r="AJ21" s="179"/>
      <c r="AK21" s="179"/>
      <c r="AL21" s="305">
        <v>6</v>
      </c>
      <c r="AM21" s="306">
        <v>2024</v>
      </c>
      <c r="AN21" s="250"/>
    </row>
    <row r="22" spans="1:40">
      <c r="A22" t="s">
        <v>4694</v>
      </c>
      <c r="B22">
        <v>2</v>
      </c>
      <c r="C22" s="308">
        <v>45391</v>
      </c>
      <c r="D22">
        <v>37</v>
      </c>
      <c r="E22" s="173">
        <v>0.66666666666666663</v>
      </c>
      <c r="F22" t="s">
        <v>78</v>
      </c>
      <c r="G22" t="s">
        <v>27</v>
      </c>
      <c r="H22" t="s">
        <v>189</v>
      </c>
      <c r="I22" t="s">
        <v>581</v>
      </c>
      <c r="J22" t="s">
        <v>633</v>
      </c>
      <c r="K22" t="s">
        <v>4690</v>
      </c>
      <c r="L22" t="s">
        <v>77</v>
      </c>
      <c r="M22" t="s">
        <v>625</v>
      </c>
      <c r="N22">
        <v>77051060</v>
      </c>
      <c r="O22" t="s">
        <v>996</v>
      </c>
      <c r="P22" s="154">
        <v>11002020</v>
      </c>
      <c r="Q22" t="s">
        <v>206</v>
      </c>
      <c r="R22" t="s">
        <v>579</v>
      </c>
      <c r="S22" t="s">
        <v>4689</v>
      </c>
      <c r="T22" t="s">
        <v>4692</v>
      </c>
      <c r="U22" t="s">
        <v>4691</v>
      </c>
      <c r="V22" t="s">
        <v>4693</v>
      </c>
      <c r="W22" t="s">
        <v>101</v>
      </c>
      <c r="Y22" s="229">
        <v>474</v>
      </c>
      <c r="Z22" s="176"/>
      <c r="AA22">
        <v>20479604</v>
      </c>
      <c r="AD22" s="199"/>
      <c r="AE22" s="199"/>
      <c r="AF22" s="179"/>
      <c r="AG22" s="179"/>
      <c r="AH22" s="179"/>
      <c r="AI22" s="179"/>
      <c r="AJ22" s="179"/>
      <c r="AK22" s="179"/>
      <c r="AL22" s="305">
        <v>9</v>
      </c>
      <c r="AM22" s="306">
        <v>2024</v>
      </c>
      <c r="AN22" s="250"/>
    </row>
    <row r="23" spans="1:40">
      <c r="A23" t="s">
        <v>4680</v>
      </c>
      <c r="B23">
        <v>2</v>
      </c>
      <c r="C23" s="308">
        <v>45360</v>
      </c>
      <c r="D23">
        <v>37</v>
      </c>
      <c r="E23" s="173">
        <v>9.2361111111111116E-2</v>
      </c>
      <c r="F23" t="s">
        <v>136</v>
      </c>
      <c r="G23" t="s">
        <v>28</v>
      </c>
      <c r="H23" t="s">
        <v>165</v>
      </c>
      <c r="I23" t="s">
        <v>635</v>
      </c>
      <c r="J23" t="s">
        <v>588</v>
      </c>
      <c r="K23" t="s">
        <v>4676</v>
      </c>
      <c r="L23" t="s">
        <v>108</v>
      </c>
      <c r="M23" t="s">
        <v>1029</v>
      </c>
      <c r="N23">
        <v>967555800</v>
      </c>
      <c r="O23" t="s">
        <v>147</v>
      </c>
      <c r="P23" s="154">
        <v>13000013</v>
      </c>
      <c r="Q23" t="s">
        <v>185</v>
      </c>
      <c r="R23" t="s">
        <v>596</v>
      </c>
      <c r="S23" t="s">
        <v>4675</v>
      </c>
      <c r="T23" t="s">
        <v>4678</v>
      </c>
      <c r="U23" t="s">
        <v>4677</v>
      </c>
      <c r="V23" t="s">
        <v>4679</v>
      </c>
      <c r="W23" t="s">
        <v>101</v>
      </c>
      <c r="X23" t="s">
        <v>102</v>
      </c>
      <c r="Y23" s="229"/>
      <c r="Z23" s="176">
        <v>0</v>
      </c>
      <c r="AA23">
        <v>246</v>
      </c>
      <c r="AD23" s="199"/>
      <c r="AE23" s="199"/>
      <c r="AF23" s="179"/>
      <c r="AG23" s="179"/>
      <c r="AH23" s="179"/>
      <c r="AI23" s="179"/>
      <c r="AJ23" s="179"/>
      <c r="AK23" s="179"/>
      <c r="AL23" s="305">
        <v>9</v>
      </c>
      <c r="AM23" s="306">
        <v>2024</v>
      </c>
      <c r="AN23" s="250"/>
    </row>
    <row r="24" spans="1:40">
      <c r="A24" t="s">
        <v>4669</v>
      </c>
      <c r="B24">
        <v>2</v>
      </c>
      <c r="C24" s="308">
        <v>45331</v>
      </c>
      <c r="D24">
        <v>37</v>
      </c>
      <c r="E24" s="173">
        <v>0.68055555555555558</v>
      </c>
      <c r="F24" t="s">
        <v>109</v>
      </c>
      <c r="G24" t="s">
        <v>29</v>
      </c>
      <c r="H24" t="s">
        <v>211</v>
      </c>
      <c r="I24" t="s">
        <v>248</v>
      </c>
      <c r="J24" t="s">
        <v>618</v>
      </c>
      <c r="K24" t="s">
        <v>4665</v>
      </c>
      <c r="L24" t="s">
        <v>108</v>
      </c>
      <c r="M24" t="s">
        <v>1029</v>
      </c>
      <c r="N24">
        <v>967555800</v>
      </c>
      <c r="O24" t="s">
        <v>119</v>
      </c>
      <c r="P24" s="154">
        <v>12001437</v>
      </c>
      <c r="Q24" t="s">
        <v>80</v>
      </c>
      <c r="R24" t="s">
        <v>589</v>
      </c>
      <c r="S24" t="s">
        <v>4664</v>
      </c>
      <c r="T24" t="s">
        <v>4667</v>
      </c>
      <c r="U24" t="s">
        <v>4666</v>
      </c>
      <c r="V24" t="s">
        <v>4668</v>
      </c>
      <c r="W24" t="s">
        <v>101</v>
      </c>
      <c r="X24" t="s">
        <v>156</v>
      </c>
      <c r="Y24" s="229"/>
      <c r="Z24" s="176"/>
      <c r="AA24">
        <v>246</v>
      </c>
      <c r="AD24" s="199"/>
      <c r="AE24" s="199"/>
      <c r="AF24" s="179"/>
      <c r="AG24" s="179"/>
      <c r="AH24" s="179"/>
      <c r="AI24" s="179"/>
      <c r="AJ24" s="179"/>
      <c r="AK24" s="179"/>
      <c r="AL24" s="305">
        <v>9</v>
      </c>
      <c r="AM24" s="306">
        <v>2024</v>
      </c>
      <c r="AN24" s="250"/>
    </row>
    <row r="25" spans="1:40">
      <c r="A25" t="s">
        <v>4560</v>
      </c>
      <c r="B25">
        <v>2</v>
      </c>
      <c r="C25" s="308">
        <v>45520</v>
      </c>
      <c r="D25">
        <v>34</v>
      </c>
      <c r="E25" s="173">
        <v>0.68888888888888888</v>
      </c>
      <c r="F25" t="s">
        <v>109</v>
      </c>
      <c r="G25" t="s">
        <v>23</v>
      </c>
      <c r="H25" t="s">
        <v>139</v>
      </c>
      <c r="I25" t="s">
        <v>259</v>
      </c>
      <c r="J25" t="s">
        <v>607</v>
      </c>
      <c r="K25" t="s">
        <v>4559</v>
      </c>
      <c r="L25" t="s">
        <v>108</v>
      </c>
      <c r="M25" t="s">
        <v>1029</v>
      </c>
      <c r="N25">
        <v>967555800</v>
      </c>
      <c r="O25" t="s">
        <v>122</v>
      </c>
      <c r="P25" s="154">
        <v>12001472</v>
      </c>
      <c r="Q25" t="s">
        <v>80</v>
      </c>
      <c r="R25" t="s">
        <v>608</v>
      </c>
      <c r="S25" t="s">
        <v>4553</v>
      </c>
      <c r="T25" t="s">
        <v>4555</v>
      </c>
      <c r="U25" t="s">
        <v>4554</v>
      </c>
      <c r="V25" t="s">
        <v>4556</v>
      </c>
      <c r="W25" t="s">
        <v>101</v>
      </c>
      <c r="X25" t="s">
        <v>129</v>
      </c>
      <c r="Y25" s="229">
        <v>11272</v>
      </c>
      <c r="Z25" s="176">
        <v>5412814.3999999994</v>
      </c>
      <c r="AA25">
        <v>229</v>
      </c>
      <c r="AB25" t="s">
        <v>1685</v>
      </c>
      <c r="AC25" t="s">
        <v>1686</v>
      </c>
      <c r="AD25" s="199">
        <v>1</v>
      </c>
      <c r="AE25" s="199" t="s">
        <v>1292</v>
      </c>
      <c r="AF25" s="179">
        <v>424.7</v>
      </c>
      <c r="AG25" s="179">
        <v>0</v>
      </c>
      <c r="AH25" s="179">
        <v>0</v>
      </c>
      <c r="AI25" s="179">
        <v>14.1</v>
      </c>
      <c r="AJ25" s="179">
        <v>19.899999999999999</v>
      </c>
      <c r="AK25" s="179">
        <v>21.5</v>
      </c>
      <c r="AL25" s="305">
        <v>8</v>
      </c>
      <c r="AM25" s="306">
        <v>2024</v>
      </c>
      <c r="AN25" s="250"/>
    </row>
    <row r="26" spans="1:40">
      <c r="A26" t="s">
        <v>4558</v>
      </c>
      <c r="B26">
        <v>2</v>
      </c>
      <c r="C26" s="308">
        <v>45520</v>
      </c>
      <c r="D26">
        <v>34</v>
      </c>
      <c r="E26" s="173">
        <v>0.68888888888888888</v>
      </c>
      <c r="F26" t="s">
        <v>109</v>
      </c>
      <c r="G26" t="s">
        <v>22</v>
      </c>
      <c r="H26" t="s">
        <v>81</v>
      </c>
      <c r="I26" t="s">
        <v>259</v>
      </c>
      <c r="J26" t="s">
        <v>607</v>
      </c>
      <c r="K26" t="s">
        <v>2039</v>
      </c>
      <c r="L26" t="s">
        <v>108</v>
      </c>
      <c r="M26" t="s">
        <v>1029</v>
      </c>
      <c r="N26">
        <v>967555800</v>
      </c>
      <c r="O26" t="s">
        <v>93</v>
      </c>
      <c r="P26" s="154">
        <v>12001396</v>
      </c>
      <c r="Q26" t="s">
        <v>80</v>
      </c>
      <c r="R26" t="s">
        <v>608</v>
      </c>
      <c r="S26" t="s">
        <v>4553</v>
      </c>
      <c r="T26" t="s">
        <v>4555</v>
      </c>
      <c r="U26" t="s">
        <v>4554</v>
      </c>
      <c r="V26" t="s">
        <v>4556</v>
      </c>
      <c r="W26" t="s">
        <v>101</v>
      </c>
      <c r="X26" t="s">
        <v>129</v>
      </c>
      <c r="Y26" s="229">
        <v>8448</v>
      </c>
      <c r="Z26" s="176">
        <v>4131916.8000000003</v>
      </c>
      <c r="AA26">
        <v>229</v>
      </c>
      <c r="AB26" t="s">
        <v>1685</v>
      </c>
      <c r="AC26" t="s">
        <v>1686</v>
      </c>
      <c r="AD26" s="199">
        <v>1</v>
      </c>
      <c r="AE26" s="199" t="s">
        <v>1292</v>
      </c>
      <c r="AF26" s="179">
        <v>444.2</v>
      </c>
      <c r="AG26" s="179">
        <v>4.0999999999999996</v>
      </c>
      <c r="AH26" s="179">
        <v>0</v>
      </c>
      <c r="AI26" s="179">
        <v>6.8</v>
      </c>
      <c r="AJ26" s="179">
        <v>23.7</v>
      </c>
      <c r="AK26" s="179">
        <v>10.3</v>
      </c>
      <c r="AL26" s="305">
        <v>8</v>
      </c>
      <c r="AM26" s="306">
        <v>2024</v>
      </c>
      <c r="AN26" s="250"/>
    </row>
    <row r="27" spans="1:40">
      <c r="A27" t="s">
        <v>4557</v>
      </c>
      <c r="B27">
        <v>2</v>
      </c>
      <c r="C27" s="308">
        <v>45520</v>
      </c>
      <c r="D27">
        <v>34</v>
      </c>
      <c r="E27" s="173">
        <v>0.68888888888888888</v>
      </c>
      <c r="F27" t="s">
        <v>109</v>
      </c>
      <c r="G27" t="s">
        <v>22</v>
      </c>
      <c r="H27" t="s">
        <v>81</v>
      </c>
      <c r="I27" t="s">
        <v>259</v>
      </c>
      <c r="J27" t="s">
        <v>607</v>
      </c>
      <c r="K27" t="s">
        <v>2039</v>
      </c>
      <c r="L27" t="s">
        <v>108</v>
      </c>
      <c r="M27" t="s">
        <v>1029</v>
      </c>
      <c r="N27">
        <v>967555800</v>
      </c>
      <c r="O27" t="s">
        <v>93</v>
      </c>
      <c r="P27" s="154">
        <v>12001396</v>
      </c>
      <c r="Q27" t="s">
        <v>80</v>
      </c>
      <c r="R27" t="s">
        <v>608</v>
      </c>
      <c r="S27" t="s">
        <v>4553</v>
      </c>
      <c r="T27" t="s">
        <v>4555</v>
      </c>
      <c r="U27" t="s">
        <v>4554</v>
      </c>
      <c r="V27" t="s">
        <v>4556</v>
      </c>
      <c r="W27" t="s">
        <v>101</v>
      </c>
      <c r="X27" t="s">
        <v>129</v>
      </c>
      <c r="Y27" s="229">
        <v>4800</v>
      </c>
      <c r="Z27" s="176">
        <v>2347680</v>
      </c>
      <c r="AA27">
        <v>229</v>
      </c>
      <c r="AB27" t="s">
        <v>1685</v>
      </c>
      <c r="AC27" t="s">
        <v>1686</v>
      </c>
      <c r="AD27" s="199">
        <v>1</v>
      </c>
      <c r="AE27" s="199" t="s">
        <v>1292</v>
      </c>
      <c r="AF27" s="179">
        <v>444.2</v>
      </c>
      <c r="AG27" s="179">
        <v>4.0999999999999996</v>
      </c>
      <c r="AH27" s="179">
        <v>0</v>
      </c>
      <c r="AI27" s="179">
        <v>6.8</v>
      </c>
      <c r="AJ27" s="179">
        <v>23.7</v>
      </c>
      <c r="AK27" s="179">
        <v>10.3</v>
      </c>
      <c r="AL27" s="305">
        <v>8</v>
      </c>
      <c r="AM27" s="306">
        <v>2024</v>
      </c>
      <c r="AN27" s="250"/>
    </row>
    <row r="28" spans="1:40">
      <c r="A28" t="s">
        <v>4522</v>
      </c>
      <c r="B28">
        <v>2</v>
      </c>
      <c r="C28" s="308">
        <v>45512</v>
      </c>
      <c r="D28">
        <v>33</v>
      </c>
      <c r="E28" s="173">
        <v>3.4722222222222224E-2</v>
      </c>
      <c r="F28" t="s">
        <v>136</v>
      </c>
      <c r="G28" t="s">
        <v>24</v>
      </c>
      <c r="H28" t="s">
        <v>165</v>
      </c>
      <c r="I28" t="s">
        <v>248</v>
      </c>
      <c r="J28" t="s">
        <v>607</v>
      </c>
      <c r="K28" t="s">
        <v>4520</v>
      </c>
      <c r="L28" t="s">
        <v>108</v>
      </c>
      <c r="M28" t="s">
        <v>1029</v>
      </c>
      <c r="N28">
        <v>967555800</v>
      </c>
      <c r="O28" t="s">
        <v>124</v>
      </c>
      <c r="P28" s="154">
        <v>13001004</v>
      </c>
      <c r="Q28" t="s">
        <v>206</v>
      </c>
      <c r="R28" t="s">
        <v>578</v>
      </c>
      <c r="S28" t="s">
        <v>4519</v>
      </c>
      <c r="T28" t="s">
        <v>4701</v>
      </c>
      <c r="U28" t="s">
        <v>4521</v>
      </c>
      <c r="V28" t="s">
        <v>4523</v>
      </c>
      <c r="W28" t="s">
        <v>101</v>
      </c>
      <c r="X28" t="s">
        <v>129</v>
      </c>
      <c r="Y28" s="229">
        <v>1350</v>
      </c>
      <c r="Z28" s="176">
        <v>1031940.0000000001</v>
      </c>
      <c r="AA28">
        <v>220</v>
      </c>
      <c r="AB28" t="s">
        <v>1407</v>
      </c>
      <c r="AC28" t="s">
        <v>1252</v>
      </c>
      <c r="AD28" s="199">
        <v>1</v>
      </c>
      <c r="AE28" s="199" t="s">
        <v>1292</v>
      </c>
      <c r="AF28" s="179">
        <v>0</v>
      </c>
      <c r="AG28" s="179">
        <v>6.2</v>
      </c>
      <c r="AH28" s="179">
        <v>710.6</v>
      </c>
      <c r="AI28" s="179">
        <v>37</v>
      </c>
      <c r="AJ28" s="179">
        <v>10.6</v>
      </c>
      <c r="AK28" s="179">
        <v>0</v>
      </c>
      <c r="AL28" s="305">
        <v>8</v>
      </c>
      <c r="AM28" s="306">
        <v>2024</v>
      </c>
      <c r="AN28" s="250" t="s">
        <v>2358</v>
      </c>
    </row>
    <row r="29" spans="1:40">
      <c r="A29" t="s">
        <v>4542</v>
      </c>
      <c r="B29">
        <v>2</v>
      </c>
      <c r="C29" s="308">
        <v>45573</v>
      </c>
      <c r="D29">
        <v>33</v>
      </c>
      <c r="E29" s="173">
        <v>0.45833333333333331</v>
      </c>
      <c r="F29" t="s">
        <v>136</v>
      </c>
      <c r="G29" t="s">
        <v>25</v>
      </c>
      <c r="H29" t="s">
        <v>187</v>
      </c>
      <c r="I29" t="s">
        <v>259</v>
      </c>
      <c r="J29" t="s">
        <v>607</v>
      </c>
      <c r="K29" t="s">
        <v>2205</v>
      </c>
      <c r="L29" t="s">
        <v>108</v>
      </c>
      <c r="M29" t="s">
        <v>1029</v>
      </c>
      <c r="N29">
        <v>967555800</v>
      </c>
      <c r="O29" t="s">
        <v>238</v>
      </c>
      <c r="P29" s="154">
        <v>13030210</v>
      </c>
      <c r="Q29" t="s">
        <v>138</v>
      </c>
      <c r="R29" t="s">
        <v>110</v>
      </c>
      <c r="S29" t="s">
        <v>4538</v>
      </c>
      <c r="T29" t="s">
        <v>4540</v>
      </c>
      <c r="U29" t="s">
        <v>4539</v>
      </c>
      <c r="V29" t="s">
        <v>4541</v>
      </c>
      <c r="W29" t="s">
        <v>101</v>
      </c>
      <c r="X29" t="s">
        <v>129</v>
      </c>
      <c r="Y29" s="229">
        <v>720</v>
      </c>
      <c r="Z29" s="176">
        <v>378575.99999999994</v>
      </c>
      <c r="AA29">
        <v>223</v>
      </c>
      <c r="AB29" t="s">
        <v>1407</v>
      </c>
      <c r="AC29" t="s">
        <v>1349</v>
      </c>
      <c r="AD29" s="199">
        <v>1</v>
      </c>
      <c r="AE29" s="199" t="s">
        <v>1292</v>
      </c>
      <c r="AF29" s="179">
        <v>13.9</v>
      </c>
      <c r="AG29" s="179">
        <v>30.5</v>
      </c>
      <c r="AH29" s="179">
        <v>446.4</v>
      </c>
      <c r="AI29" s="179">
        <v>26.8</v>
      </c>
      <c r="AJ29" s="179">
        <v>8.1999999999999993</v>
      </c>
      <c r="AK29" s="179">
        <v>0</v>
      </c>
      <c r="AL29" s="305">
        <v>8</v>
      </c>
      <c r="AM29" s="306">
        <v>2024</v>
      </c>
      <c r="AN29" s="250"/>
    </row>
    <row r="30" spans="1:40">
      <c r="A30" t="s">
        <v>4528</v>
      </c>
      <c r="B30">
        <v>2</v>
      </c>
      <c r="C30" s="308">
        <v>45512</v>
      </c>
      <c r="D30">
        <v>33</v>
      </c>
      <c r="E30" s="173">
        <v>0.34375</v>
      </c>
      <c r="F30" t="s">
        <v>78</v>
      </c>
      <c r="G30" t="s">
        <v>27</v>
      </c>
      <c r="H30" t="s">
        <v>189</v>
      </c>
      <c r="I30" t="s">
        <v>635</v>
      </c>
      <c r="J30" t="s">
        <v>588</v>
      </c>
      <c r="K30" t="s">
        <v>4093</v>
      </c>
      <c r="L30" t="s">
        <v>108</v>
      </c>
      <c r="M30" t="s">
        <v>1029</v>
      </c>
      <c r="N30">
        <v>967555800</v>
      </c>
      <c r="O30" t="s">
        <v>148</v>
      </c>
      <c r="P30" s="154">
        <v>13030495</v>
      </c>
      <c r="Q30" t="s">
        <v>185</v>
      </c>
      <c r="R30" t="s">
        <v>579</v>
      </c>
      <c r="S30" t="s">
        <v>4524</v>
      </c>
      <c r="T30" t="s">
        <v>4526</v>
      </c>
      <c r="U30" t="s">
        <v>4525</v>
      </c>
      <c r="V30" t="s">
        <v>4527</v>
      </c>
      <c r="W30" t="s">
        <v>101</v>
      </c>
      <c r="X30" t="s">
        <v>129</v>
      </c>
      <c r="Y30" s="229">
        <v>1.88</v>
      </c>
      <c r="Z30" s="176">
        <v>5339.2</v>
      </c>
      <c r="AA30">
        <v>221</v>
      </c>
      <c r="AB30" t="s">
        <v>1400</v>
      </c>
      <c r="AC30" t="s">
        <v>1479</v>
      </c>
      <c r="AD30" s="199">
        <v>0.47499999999999998</v>
      </c>
      <c r="AE30" s="199" t="s">
        <v>1292</v>
      </c>
      <c r="AF30" s="179">
        <v>889.4</v>
      </c>
      <c r="AG30" s="179">
        <v>250.3</v>
      </c>
      <c r="AH30" s="179">
        <v>145.9</v>
      </c>
      <c r="AI30" s="179">
        <v>51.1</v>
      </c>
      <c r="AJ30" s="179">
        <v>12.3</v>
      </c>
      <c r="AK30" s="179">
        <v>0</v>
      </c>
      <c r="AL30" s="305">
        <v>8</v>
      </c>
      <c r="AM30" s="306">
        <v>2024</v>
      </c>
      <c r="AN30" s="250"/>
    </row>
    <row r="31" spans="1:40">
      <c r="A31" t="s">
        <v>4508</v>
      </c>
      <c r="B31">
        <v>2</v>
      </c>
      <c r="C31" s="308">
        <v>45451</v>
      </c>
      <c r="D31">
        <v>33</v>
      </c>
      <c r="E31" s="173">
        <v>0.39583333333333331</v>
      </c>
      <c r="F31" t="s">
        <v>78</v>
      </c>
      <c r="G31" t="s">
        <v>24</v>
      </c>
      <c r="H31" t="s">
        <v>165</v>
      </c>
      <c r="I31" t="s">
        <v>615</v>
      </c>
      <c r="J31" t="s">
        <v>644</v>
      </c>
      <c r="K31" t="s">
        <v>4504</v>
      </c>
      <c r="L31" t="s">
        <v>108</v>
      </c>
      <c r="M31" t="s">
        <v>1029</v>
      </c>
      <c r="N31">
        <v>967555800</v>
      </c>
      <c r="O31" t="s">
        <v>303</v>
      </c>
      <c r="P31" s="154">
        <v>13030395</v>
      </c>
      <c r="Q31" t="s">
        <v>80</v>
      </c>
      <c r="R31" t="s">
        <v>589</v>
      </c>
      <c r="S31" t="s">
        <v>4503</v>
      </c>
      <c r="T31" t="s">
        <v>4506</v>
      </c>
      <c r="U31" t="s">
        <v>4505</v>
      </c>
      <c r="V31" t="s">
        <v>4507</v>
      </c>
      <c r="W31" t="s">
        <v>101</v>
      </c>
      <c r="X31" t="s">
        <v>156</v>
      </c>
      <c r="Y31" s="229">
        <v>2419.1999999999998</v>
      </c>
      <c r="Z31" s="176">
        <v>124104.95999999998</v>
      </c>
      <c r="AA31">
        <v>219</v>
      </c>
      <c r="AB31" t="s">
        <v>1491</v>
      </c>
      <c r="AC31" t="s">
        <v>1252</v>
      </c>
      <c r="AD31" s="199">
        <v>1</v>
      </c>
      <c r="AE31" s="199" t="s">
        <v>1292</v>
      </c>
      <c r="AF31" s="179">
        <v>0</v>
      </c>
      <c r="AG31" s="179">
        <v>0</v>
      </c>
      <c r="AH31" s="179">
        <v>0</v>
      </c>
      <c r="AI31" s="179">
        <v>51.3</v>
      </c>
      <c r="AJ31" s="179">
        <v>0</v>
      </c>
      <c r="AK31" s="179">
        <v>0</v>
      </c>
      <c r="AL31" s="305">
        <v>8</v>
      </c>
      <c r="AM31" s="306">
        <v>2024</v>
      </c>
      <c r="AN31" s="250" t="s">
        <v>1283</v>
      </c>
    </row>
    <row r="32" spans="1:40">
      <c r="A32" t="s">
        <v>4650</v>
      </c>
      <c r="B32">
        <v>2</v>
      </c>
      <c r="C32" s="308">
        <v>45535</v>
      </c>
      <c r="D32">
        <v>36</v>
      </c>
      <c r="E32" s="173">
        <v>0</v>
      </c>
      <c r="F32" t="s">
        <v>136</v>
      </c>
      <c r="G32" t="s">
        <v>27</v>
      </c>
      <c r="H32" t="s">
        <v>231</v>
      </c>
      <c r="I32" t="s">
        <v>259</v>
      </c>
      <c r="J32" t="s">
        <v>607</v>
      </c>
      <c r="K32" t="s">
        <v>1731</v>
      </c>
      <c r="L32" t="s">
        <v>108</v>
      </c>
      <c r="M32" t="s">
        <v>1029</v>
      </c>
      <c r="N32">
        <v>967555800</v>
      </c>
      <c r="O32" t="s">
        <v>4646</v>
      </c>
      <c r="P32" s="154">
        <v>13030104</v>
      </c>
      <c r="Q32" t="s">
        <v>206</v>
      </c>
      <c r="R32" t="s">
        <v>596</v>
      </c>
      <c r="S32" t="s">
        <v>4645</v>
      </c>
      <c r="T32" t="s">
        <v>4648</v>
      </c>
      <c r="U32" t="s">
        <v>4647</v>
      </c>
      <c r="V32" t="s">
        <v>4649</v>
      </c>
      <c r="W32" t="s">
        <v>101</v>
      </c>
      <c r="X32" t="s">
        <v>156</v>
      </c>
      <c r="Y32" s="229">
        <v>552</v>
      </c>
      <c r="Z32" s="176">
        <v>31740</v>
      </c>
      <c r="AA32">
        <v>243</v>
      </c>
      <c r="AB32" t="s">
        <v>1491</v>
      </c>
      <c r="AC32" t="s">
        <v>1252</v>
      </c>
      <c r="AD32" s="199">
        <v>1</v>
      </c>
      <c r="AE32" s="199">
        <v>0.46</v>
      </c>
      <c r="AF32" s="179">
        <v>0</v>
      </c>
      <c r="AG32" s="179">
        <v>0</v>
      </c>
      <c r="AH32" s="179">
        <v>0</v>
      </c>
      <c r="AI32" s="179">
        <v>57.5</v>
      </c>
      <c r="AJ32" s="179">
        <v>0</v>
      </c>
      <c r="AK32" s="179">
        <v>0</v>
      </c>
      <c r="AL32" s="305">
        <v>8</v>
      </c>
      <c r="AM32" s="306">
        <v>2024</v>
      </c>
      <c r="AN32" s="250" t="s">
        <v>1283</v>
      </c>
    </row>
    <row r="33" spans="1:40">
      <c r="A33" t="s">
        <v>4485</v>
      </c>
      <c r="B33">
        <v>2</v>
      </c>
      <c r="C33" s="308">
        <v>45299</v>
      </c>
      <c r="D33">
        <v>32</v>
      </c>
      <c r="E33" s="173">
        <v>0.40625</v>
      </c>
      <c r="F33" t="s">
        <v>78</v>
      </c>
      <c r="G33" t="s">
        <v>27</v>
      </c>
      <c r="H33" t="s">
        <v>209</v>
      </c>
      <c r="I33" t="s">
        <v>248</v>
      </c>
      <c r="J33" t="s">
        <v>595</v>
      </c>
      <c r="K33" t="s">
        <v>1731</v>
      </c>
      <c r="L33" t="s">
        <v>108</v>
      </c>
      <c r="M33" t="s">
        <v>1029</v>
      </c>
      <c r="N33">
        <v>967555800</v>
      </c>
      <c r="O33" t="s">
        <v>99</v>
      </c>
      <c r="P33" s="154">
        <v>13001756</v>
      </c>
      <c r="Q33" t="s">
        <v>138</v>
      </c>
      <c r="R33" t="s">
        <v>589</v>
      </c>
      <c r="S33" t="s">
        <v>4482</v>
      </c>
      <c r="T33" t="s">
        <v>1318</v>
      </c>
      <c r="U33" t="s">
        <v>4483</v>
      </c>
      <c r="V33" t="s">
        <v>4484</v>
      </c>
      <c r="W33" t="s">
        <v>101</v>
      </c>
      <c r="X33" t="s">
        <v>156</v>
      </c>
      <c r="Y33" s="229">
        <v>324</v>
      </c>
      <c r="Z33" s="176"/>
      <c r="AA33">
        <v>212</v>
      </c>
      <c r="AD33" s="199"/>
      <c r="AE33" s="199"/>
      <c r="AF33" s="179"/>
      <c r="AG33" s="179"/>
      <c r="AH33" s="179"/>
      <c r="AI33" s="179"/>
      <c r="AJ33" s="179"/>
      <c r="AK33" s="179"/>
      <c r="AL33" s="305">
        <v>7</v>
      </c>
      <c r="AM33" s="306">
        <v>2024</v>
      </c>
      <c r="AN33" s="250"/>
    </row>
    <row r="34" spans="1:40">
      <c r="A34" t="s">
        <v>4581</v>
      </c>
      <c r="B34">
        <v>2</v>
      </c>
      <c r="C34" s="308">
        <v>45526</v>
      </c>
      <c r="D34">
        <v>35</v>
      </c>
      <c r="E34" s="173">
        <v>0.6875</v>
      </c>
      <c r="F34" t="s">
        <v>109</v>
      </c>
      <c r="G34" t="s">
        <v>31</v>
      </c>
      <c r="H34" t="s">
        <v>84</v>
      </c>
      <c r="I34" t="s">
        <v>615</v>
      </c>
      <c r="J34" t="s">
        <v>607</v>
      </c>
      <c r="K34" t="s">
        <v>4577</v>
      </c>
      <c r="L34" t="s">
        <v>108</v>
      </c>
      <c r="M34" t="s">
        <v>1029</v>
      </c>
      <c r="N34">
        <v>967555800</v>
      </c>
      <c r="O34" t="s">
        <v>97</v>
      </c>
      <c r="P34" s="154">
        <v>13030492</v>
      </c>
      <c r="Q34" t="s">
        <v>185</v>
      </c>
      <c r="R34" t="s">
        <v>578</v>
      </c>
      <c r="S34" t="s">
        <v>4576</v>
      </c>
      <c r="T34" t="s">
        <v>4579</v>
      </c>
      <c r="U34" t="s">
        <v>4578</v>
      </c>
      <c r="V34" t="s">
        <v>4580</v>
      </c>
      <c r="W34" t="s">
        <v>101</v>
      </c>
      <c r="X34" t="s">
        <v>156</v>
      </c>
      <c r="Y34" s="229">
        <v>70</v>
      </c>
      <c r="Z34" s="176">
        <v>22953</v>
      </c>
      <c r="AA34">
        <v>235</v>
      </c>
      <c r="AB34" t="s">
        <v>1400</v>
      </c>
      <c r="AC34" t="s">
        <v>1252</v>
      </c>
      <c r="AD34" s="199">
        <v>1</v>
      </c>
      <c r="AE34" s="199" t="s">
        <v>1292</v>
      </c>
      <c r="AF34" s="179">
        <v>2.6</v>
      </c>
      <c r="AG34" s="179">
        <v>130.5</v>
      </c>
      <c r="AH34" s="179">
        <v>0</v>
      </c>
      <c r="AI34" s="179">
        <v>193.1</v>
      </c>
      <c r="AJ34" s="179">
        <v>1.7</v>
      </c>
      <c r="AK34" s="179">
        <v>0</v>
      </c>
      <c r="AL34" s="305">
        <v>8</v>
      </c>
      <c r="AM34" s="306">
        <v>2024</v>
      </c>
      <c r="AN34" s="250" t="s">
        <v>1498</v>
      </c>
    </row>
    <row r="35" spans="1:40">
      <c r="A35" t="s">
        <v>4663</v>
      </c>
      <c r="B35">
        <v>2</v>
      </c>
      <c r="C35" s="308">
        <v>45535</v>
      </c>
      <c r="D35">
        <v>36</v>
      </c>
      <c r="E35" s="173">
        <v>0.47569444444444442</v>
      </c>
      <c r="F35" t="s">
        <v>78</v>
      </c>
      <c r="G35" t="s">
        <v>25</v>
      </c>
      <c r="H35" t="s">
        <v>187</v>
      </c>
      <c r="I35" t="s">
        <v>615</v>
      </c>
      <c r="J35" t="s">
        <v>576</v>
      </c>
      <c r="K35" t="s">
        <v>2130</v>
      </c>
      <c r="L35" t="s">
        <v>108</v>
      </c>
      <c r="M35" t="s">
        <v>1029</v>
      </c>
      <c r="N35">
        <v>967555800</v>
      </c>
      <c r="O35" t="s">
        <v>238</v>
      </c>
      <c r="P35" s="154">
        <v>13030210</v>
      </c>
      <c r="Q35" t="s">
        <v>206</v>
      </c>
      <c r="R35" t="s">
        <v>596</v>
      </c>
      <c r="S35" t="s">
        <v>4661</v>
      </c>
      <c r="T35" t="s">
        <v>4687</v>
      </c>
      <c r="U35" t="s">
        <v>4662</v>
      </c>
      <c r="V35" t="s">
        <v>4688</v>
      </c>
      <c r="W35" t="s">
        <v>101</v>
      </c>
      <c r="X35" t="s">
        <v>156</v>
      </c>
      <c r="Y35" s="229">
        <v>24</v>
      </c>
      <c r="Z35" s="176">
        <v>196.79999999999998</v>
      </c>
      <c r="AA35">
        <v>244</v>
      </c>
      <c r="AB35" t="s">
        <v>1282</v>
      </c>
      <c r="AC35" t="s">
        <v>1252</v>
      </c>
      <c r="AD35" s="199">
        <v>1</v>
      </c>
      <c r="AE35" s="199" t="s">
        <v>1292</v>
      </c>
      <c r="AF35" s="179">
        <v>0</v>
      </c>
      <c r="AG35" s="179">
        <v>8.1999999999999993</v>
      </c>
      <c r="AH35" s="179">
        <v>0</v>
      </c>
      <c r="AI35" s="179">
        <v>0</v>
      </c>
      <c r="AJ35" s="179">
        <v>0</v>
      </c>
      <c r="AK35" s="179">
        <v>0</v>
      </c>
      <c r="AL35" s="305">
        <v>8</v>
      </c>
      <c r="AM35" s="306">
        <v>2024</v>
      </c>
      <c r="AN35" s="250" t="s">
        <v>1283</v>
      </c>
    </row>
    <row r="36" spans="1:40">
      <c r="A36" t="s">
        <v>4518</v>
      </c>
      <c r="B36">
        <v>2</v>
      </c>
      <c r="C36" s="308">
        <v>45512</v>
      </c>
      <c r="D36">
        <v>33</v>
      </c>
      <c r="E36" s="173">
        <v>0.125</v>
      </c>
      <c r="F36" t="s">
        <v>136</v>
      </c>
      <c r="G36" t="s">
        <v>25</v>
      </c>
      <c r="H36" t="s">
        <v>139</v>
      </c>
      <c r="I36" t="s">
        <v>259</v>
      </c>
      <c r="J36" t="s">
        <v>607</v>
      </c>
      <c r="K36" t="s">
        <v>2205</v>
      </c>
      <c r="L36" t="s">
        <v>108</v>
      </c>
      <c r="M36" t="s">
        <v>1029</v>
      </c>
      <c r="N36">
        <v>967555800</v>
      </c>
      <c r="O36" t="s">
        <v>94</v>
      </c>
      <c r="P36" s="154">
        <v>12001397</v>
      </c>
      <c r="Q36" t="s">
        <v>138</v>
      </c>
      <c r="R36" t="s">
        <v>589</v>
      </c>
      <c r="S36" t="s">
        <v>4515</v>
      </c>
      <c r="T36" t="s">
        <v>4517</v>
      </c>
      <c r="U36" t="s">
        <v>4516</v>
      </c>
      <c r="V36" t="s">
        <v>4501</v>
      </c>
      <c r="W36" t="s">
        <v>101</v>
      </c>
      <c r="X36" t="s">
        <v>102</v>
      </c>
      <c r="Y36" s="229">
        <v>12115</v>
      </c>
      <c r="Z36" s="176">
        <v>0</v>
      </c>
      <c r="AA36">
        <v>221</v>
      </c>
      <c r="AB36" t="s">
        <v>2483</v>
      </c>
      <c r="AC36" t="s">
        <v>1349</v>
      </c>
      <c r="AD36" s="199"/>
      <c r="AE36" s="199"/>
      <c r="AF36" s="179"/>
      <c r="AG36" s="179"/>
      <c r="AH36" s="179"/>
      <c r="AI36" s="179"/>
      <c r="AJ36" s="179"/>
      <c r="AK36" s="179"/>
      <c r="AL36" s="305">
        <v>8</v>
      </c>
      <c r="AM36" s="306">
        <v>2024</v>
      </c>
      <c r="AN36" s="250"/>
    </row>
    <row r="37" spans="1:40">
      <c r="A37" t="s">
        <v>4620</v>
      </c>
      <c r="B37">
        <v>2</v>
      </c>
      <c r="C37" s="308">
        <v>45532</v>
      </c>
      <c r="D37">
        <v>36</v>
      </c>
      <c r="E37" s="173">
        <v>0.65277777777777779</v>
      </c>
      <c r="F37" t="s">
        <v>109</v>
      </c>
      <c r="G37" t="s">
        <v>25</v>
      </c>
      <c r="H37" t="s">
        <v>208</v>
      </c>
      <c r="I37" t="s">
        <v>212</v>
      </c>
      <c r="J37" t="s">
        <v>576</v>
      </c>
      <c r="K37" t="s">
        <v>4616</v>
      </c>
      <c r="L37" t="s">
        <v>108</v>
      </c>
      <c r="M37" t="s">
        <v>1029</v>
      </c>
      <c r="N37">
        <v>967555800</v>
      </c>
      <c r="O37" t="s">
        <v>123</v>
      </c>
      <c r="P37" s="154">
        <v>13030401</v>
      </c>
      <c r="Q37" t="s">
        <v>80</v>
      </c>
      <c r="R37" t="s">
        <v>589</v>
      </c>
      <c r="S37" t="s">
        <v>4615</v>
      </c>
      <c r="T37" t="s">
        <v>4618</v>
      </c>
      <c r="U37" t="s">
        <v>4617</v>
      </c>
      <c r="V37" t="s">
        <v>4619</v>
      </c>
      <c r="W37" t="s">
        <v>101</v>
      </c>
      <c r="X37" t="s">
        <v>156</v>
      </c>
      <c r="Y37" s="229">
        <v>7200</v>
      </c>
      <c r="Z37" s="176">
        <v>204480</v>
      </c>
      <c r="AA37">
        <v>241</v>
      </c>
      <c r="AB37" t="s">
        <v>1282</v>
      </c>
      <c r="AC37" t="s">
        <v>1252</v>
      </c>
      <c r="AD37" s="199">
        <v>1</v>
      </c>
      <c r="AE37" s="199" t="s">
        <v>1292</v>
      </c>
      <c r="AF37" s="179">
        <v>0</v>
      </c>
      <c r="AG37" s="179">
        <v>0</v>
      </c>
      <c r="AH37" s="179">
        <v>0</v>
      </c>
      <c r="AI37" s="179">
        <v>28.4</v>
      </c>
      <c r="AJ37" s="179">
        <v>0</v>
      </c>
      <c r="AK37" s="179">
        <v>0</v>
      </c>
      <c r="AL37" s="305">
        <v>8</v>
      </c>
      <c r="AM37" s="306">
        <v>2024</v>
      </c>
      <c r="AN37" s="250" t="s">
        <v>1283</v>
      </c>
    </row>
    <row r="38" spans="1:40">
      <c r="A38" t="s">
        <v>4497</v>
      </c>
      <c r="B38">
        <v>2</v>
      </c>
      <c r="C38" s="308">
        <v>45359</v>
      </c>
      <c r="D38">
        <v>32</v>
      </c>
      <c r="E38" s="173">
        <v>1.5972222222222221E-2</v>
      </c>
      <c r="F38" t="s">
        <v>136</v>
      </c>
      <c r="G38" t="s">
        <v>23</v>
      </c>
      <c r="H38" t="s">
        <v>112</v>
      </c>
      <c r="I38" t="s">
        <v>87</v>
      </c>
      <c r="J38" t="s">
        <v>576</v>
      </c>
      <c r="K38" t="s">
        <v>1275</v>
      </c>
      <c r="L38" t="s">
        <v>108</v>
      </c>
      <c r="M38" t="s">
        <v>1029</v>
      </c>
      <c r="N38">
        <v>967555800</v>
      </c>
      <c r="O38" t="s">
        <v>122</v>
      </c>
      <c r="P38" s="154">
        <v>12001472</v>
      </c>
      <c r="Q38" t="s">
        <v>138</v>
      </c>
      <c r="R38" t="s">
        <v>585</v>
      </c>
      <c r="S38" t="s">
        <v>4493</v>
      </c>
      <c r="T38" t="s">
        <v>4495</v>
      </c>
      <c r="U38" t="s">
        <v>4494</v>
      </c>
      <c r="V38" t="s">
        <v>4496</v>
      </c>
      <c r="W38" t="s">
        <v>101</v>
      </c>
      <c r="X38" t="s">
        <v>102</v>
      </c>
      <c r="Y38" s="229">
        <v>3360</v>
      </c>
      <c r="Z38" s="176">
        <v>0</v>
      </c>
      <c r="AA38">
        <v>216</v>
      </c>
      <c r="AB38" t="s">
        <v>2483</v>
      </c>
      <c r="AC38" t="s">
        <v>1349</v>
      </c>
      <c r="AD38" s="199"/>
      <c r="AE38" s="199"/>
      <c r="AF38" s="179"/>
      <c r="AG38" s="179"/>
      <c r="AH38" s="179"/>
      <c r="AI38" s="179"/>
      <c r="AJ38" s="179"/>
      <c r="AK38" s="179"/>
      <c r="AL38" s="305">
        <v>8</v>
      </c>
      <c r="AM38" s="306">
        <v>2024</v>
      </c>
      <c r="AN38" s="250"/>
    </row>
    <row r="39" spans="1:40">
      <c r="A39" t="s">
        <v>4605</v>
      </c>
      <c r="B39">
        <v>2</v>
      </c>
      <c r="C39" s="308">
        <v>45531</v>
      </c>
      <c r="D39">
        <v>36</v>
      </c>
      <c r="E39" s="173">
        <v>0.3576388888888889</v>
      </c>
      <c r="F39" t="s">
        <v>78</v>
      </c>
      <c r="G39" t="s">
        <v>23</v>
      </c>
      <c r="H39" t="s">
        <v>81</v>
      </c>
      <c r="I39" t="s">
        <v>635</v>
      </c>
      <c r="J39" t="s">
        <v>169</v>
      </c>
      <c r="K39" t="s">
        <v>4601</v>
      </c>
      <c r="L39" t="s">
        <v>108</v>
      </c>
      <c r="M39" t="s">
        <v>1029</v>
      </c>
      <c r="N39">
        <v>967555800</v>
      </c>
      <c r="O39" t="s">
        <v>122</v>
      </c>
      <c r="P39" s="154">
        <v>12001472</v>
      </c>
      <c r="Q39" t="s">
        <v>138</v>
      </c>
      <c r="R39" t="s">
        <v>589</v>
      </c>
      <c r="S39" t="s">
        <v>4600</v>
      </c>
      <c r="T39" t="s">
        <v>4603</v>
      </c>
      <c r="U39" t="s">
        <v>4602</v>
      </c>
      <c r="V39" t="s">
        <v>4604</v>
      </c>
      <c r="W39" t="s">
        <v>101</v>
      </c>
      <c r="X39" t="s">
        <v>102</v>
      </c>
      <c r="Y39" s="229">
        <v>3000</v>
      </c>
      <c r="Z39" s="176">
        <v>0</v>
      </c>
      <c r="AA39">
        <v>240</v>
      </c>
      <c r="AB39" t="s">
        <v>2197</v>
      </c>
      <c r="AC39" t="s">
        <v>1252</v>
      </c>
      <c r="AD39" s="199"/>
      <c r="AE39" s="199"/>
      <c r="AF39" s="179"/>
      <c r="AG39" s="179"/>
      <c r="AH39" s="179"/>
      <c r="AI39" s="179"/>
      <c r="AJ39" s="179"/>
      <c r="AK39" s="179"/>
      <c r="AL39" s="305">
        <v>8</v>
      </c>
      <c r="AM39" s="306">
        <v>2024</v>
      </c>
      <c r="AN39" s="250" t="s">
        <v>1283</v>
      </c>
    </row>
    <row r="40" spans="1:40">
      <c r="A40" t="s">
        <v>4610</v>
      </c>
      <c r="B40">
        <v>2</v>
      </c>
      <c r="C40" s="308">
        <v>45532</v>
      </c>
      <c r="D40">
        <v>36</v>
      </c>
      <c r="E40" s="173">
        <v>0.16666666666666666</v>
      </c>
      <c r="F40" t="s">
        <v>136</v>
      </c>
      <c r="G40" t="s">
        <v>24</v>
      </c>
      <c r="H40" t="s">
        <v>165</v>
      </c>
      <c r="I40" t="s">
        <v>248</v>
      </c>
      <c r="J40" t="s">
        <v>607</v>
      </c>
      <c r="K40" t="s">
        <v>4607</v>
      </c>
      <c r="L40" t="s">
        <v>108</v>
      </c>
      <c r="M40" t="s">
        <v>1029</v>
      </c>
      <c r="N40">
        <v>967555800</v>
      </c>
      <c r="O40" t="s">
        <v>4608</v>
      </c>
      <c r="P40" s="154"/>
      <c r="Q40" t="s">
        <v>206</v>
      </c>
      <c r="R40" t="s">
        <v>4611</v>
      </c>
      <c r="S40" t="s">
        <v>4606</v>
      </c>
      <c r="T40" t="s">
        <v>4723</v>
      </c>
      <c r="U40" t="s">
        <v>4609</v>
      </c>
      <c r="W40" t="s">
        <v>101</v>
      </c>
      <c r="X40" t="s">
        <v>102</v>
      </c>
      <c r="Y40" s="229">
        <v>2160</v>
      </c>
      <c r="Z40" s="176">
        <v>0</v>
      </c>
      <c r="AA40">
        <v>241</v>
      </c>
      <c r="AB40" t="s">
        <v>1407</v>
      </c>
      <c r="AC40" t="s">
        <v>1479</v>
      </c>
      <c r="AD40" s="199"/>
      <c r="AE40" s="199"/>
      <c r="AF40" s="179"/>
      <c r="AG40" s="179"/>
      <c r="AH40" s="179"/>
      <c r="AI40" s="179"/>
      <c r="AJ40" s="179"/>
      <c r="AK40" s="179"/>
      <c r="AL40" s="305">
        <v>8</v>
      </c>
      <c r="AM40" s="306">
        <v>2024</v>
      </c>
      <c r="AN40" s="250"/>
    </row>
    <row r="41" spans="1:40">
      <c r="A41" t="s">
        <v>4614</v>
      </c>
      <c r="B41">
        <v>2</v>
      </c>
      <c r="C41" s="308">
        <v>45532</v>
      </c>
      <c r="D41">
        <v>36</v>
      </c>
      <c r="E41" s="173">
        <v>0.43472222222222223</v>
      </c>
      <c r="F41" t="s">
        <v>78</v>
      </c>
      <c r="G41" t="s">
        <v>23</v>
      </c>
      <c r="H41" t="s">
        <v>139</v>
      </c>
      <c r="I41" t="s">
        <v>635</v>
      </c>
      <c r="J41" t="s">
        <v>169</v>
      </c>
      <c r="K41" t="s">
        <v>4595</v>
      </c>
      <c r="L41" t="s">
        <v>108</v>
      </c>
      <c r="M41" t="s">
        <v>1029</v>
      </c>
      <c r="N41">
        <v>967555800</v>
      </c>
      <c r="O41" t="s">
        <v>122</v>
      </c>
      <c r="P41" s="154">
        <v>12001472</v>
      </c>
      <c r="Q41" t="s">
        <v>138</v>
      </c>
      <c r="R41" t="s">
        <v>589</v>
      </c>
      <c r="S41" t="s">
        <v>4769</v>
      </c>
      <c r="T41" t="s">
        <v>4771</v>
      </c>
      <c r="U41" t="s">
        <v>4770</v>
      </c>
      <c r="V41" t="s">
        <v>4772</v>
      </c>
      <c r="W41" t="s">
        <v>101</v>
      </c>
      <c r="X41" t="s">
        <v>102</v>
      </c>
      <c r="Y41" s="229">
        <v>720</v>
      </c>
      <c r="Z41" s="176">
        <v>0</v>
      </c>
      <c r="AA41">
        <v>241</v>
      </c>
      <c r="AB41" t="s">
        <v>2483</v>
      </c>
      <c r="AC41" t="s">
        <v>1349</v>
      </c>
      <c r="AD41" s="199"/>
      <c r="AE41" s="199"/>
      <c r="AF41" s="179"/>
      <c r="AG41" s="179"/>
      <c r="AH41" s="179"/>
      <c r="AI41" s="179"/>
      <c r="AJ41" s="179"/>
      <c r="AK41" s="179"/>
      <c r="AL41" s="305"/>
      <c r="AM41" s="306"/>
      <c r="AN41" s="250"/>
    </row>
    <row r="42" spans="1:40">
      <c r="A42" t="s">
        <v>4537</v>
      </c>
      <c r="B42">
        <v>2</v>
      </c>
      <c r="C42" s="308">
        <v>45543</v>
      </c>
      <c r="D42">
        <v>33</v>
      </c>
      <c r="E42" s="173">
        <v>0.45416666666666666</v>
      </c>
      <c r="F42" t="s">
        <v>78</v>
      </c>
      <c r="G42" t="s">
        <v>25</v>
      </c>
      <c r="H42" t="s">
        <v>187</v>
      </c>
      <c r="I42" t="s">
        <v>635</v>
      </c>
      <c r="J42" t="s">
        <v>599</v>
      </c>
      <c r="K42" t="s">
        <v>1376</v>
      </c>
      <c r="L42" t="s">
        <v>108</v>
      </c>
      <c r="M42" t="s">
        <v>1029</v>
      </c>
      <c r="N42">
        <v>967555800</v>
      </c>
      <c r="O42" t="s">
        <v>238</v>
      </c>
      <c r="P42" s="154">
        <v>13030210</v>
      </c>
      <c r="Q42" t="s">
        <v>206</v>
      </c>
      <c r="R42" t="s">
        <v>596</v>
      </c>
      <c r="S42" t="s">
        <v>4533</v>
      </c>
      <c r="T42" t="s">
        <v>4535</v>
      </c>
      <c r="U42" t="s">
        <v>4534</v>
      </c>
      <c r="V42" t="s">
        <v>4536</v>
      </c>
      <c r="W42" t="s">
        <v>101</v>
      </c>
      <c r="X42" t="s">
        <v>102</v>
      </c>
      <c r="Y42" s="229">
        <v>1680</v>
      </c>
      <c r="Z42" s="176">
        <v>0</v>
      </c>
      <c r="AA42">
        <v>222</v>
      </c>
      <c r="AD42" s="199"/>
      <c r="AE42" s="199"/>
      <c r="AF42" s="179"/>
      <c r="AG42" s="179"/>
      <c r="AH42" s="179"/>
      <c r="AI42" s="179"/>
      <c r="AJ42" s="179"/>
      <c r="AK42" s="179"/>
      <c r="AL42" s="305">
        <v>8</v>
      </c>
      <c r="AM42" s="306">
        <v>2024</v>
      </c>
      <c r="AN42" s="250"/>
    </row>
    <row r="43" spans="1:40">
      <c r="A43" t="s">
        <v>4628</v>
      </c>
      <c r="B43">
        <v>2</v>
      </c>
      <c r="C43" s="308">
        <v>45533</v>
      </c>
      <c r="D43">
        <v>36</v>
      </c>
      <c r="E43" s="173">
        <v>0.3611111111111111</v>
      </c>
      <c r="F43" t="s">
        <v>78</v>
      </c>
      <c r="G43" t="s">
        <v>31</v>
      </c>
      <c r="H43" t="s">
        <v>114</v>
      </c>
      <c r="I43" t="s">
        <v>635</v>
      </c>
      <c r="J43" t="s">
        <v>599</v>
      </c>
      <c r="K43" t="s">
        <v>1582</v>
      </c>
      <c r="L43" t="s">
        <v>108</v>
      </c>
      <c r="M43" t="s">
        <v>1029</v>
      </c>
      <c r="N43">
        <v>967555800</v>
      </c>
      <c r="O43" t="s">
        <v>200</v>
      </c>
      <c r="P43" s="154">
        <v>13030428</v>
      </c>
      <c r="Q43" t="s">
        <v>80</v>
      </c>
      <c r="R43" t="s">
        <v>589</v>
      </c>
      <c r="S43" t="s">
        <v>4624</v>
      </c>
      <c r="T43" t="s">
        <v>4626</v>
      </c>
      <c r="U43" t="s">
        <v>4625</v>
      </c>
      <c r="V43" t="s">
        <v>4627</v>
      </c>
      <c r="W43" t="s">
        <v>101</v>
      </c>
      <c r="X43" t="s">
        <v>102</v>
      </c>
      <c r="Y43" s="229">
        <v>994</v>
      </c>
      <c r="Z43" s="176">
        <v>0</v>
      </c>
      <c r="AA43">
        <v>241</v>
      </c>
      <c r="AD43" s="199"/>
      <c r="AE43" s="199"/>
      <c r="AF43" s="179"/>
      <c r="AG43" s="179"/>
      <c r="AH43" s="179"/>
      <c r="AI43" s="179"/>
      <c r="AJ43" s="179"/>
      <c r="AK43" s="179"/>
      <c r="AL43" s="305">
        <v>8</v>
      </c>
      <c r="AM43" s="306">
        <v>2024</v>
      </c>
      <c r="AN43" s="250"/>
    </row>
    <row r="44" spans="1:40">
      <c r="A44" t="s">
        <v>4614</v>
      </c>
      <c r="B44">
        <v>2</v>
      </c>
      <c r="C44" s="308">
        <v>45532</v>
      </c>
      <c r="D44">
        <v>36</v>
      </c>
      <c r="E44" s="173">
        <v>0.43472222222222223</v>
      </c>
      <c r="F44" t="s">
        <v>78</v>
      </c>
      <c r="G44" t="s">
        <v>23</v>
      </c>
      <c r="H44" t="s">
        <v>139</v>
      </c>
      <c r="I44" t="s">
        <v>635</v>
      </c>
      <c r="J44" t="s">
        <v>169</v>
      </c>
      <c r="K44" t="s">
        <v>4595</v>
      </c>
      <c r="L44" t="s">
        <v>108</v>
      </c>
      <c r="M44" t="s">
        <v>1029</v>
      </c>
      <c r="N44">
        <v>967555800</v>
      </c>
      <c r="O44" t="s">
        <v>122</v>
      </c>
      <c r="P44" s="154">
        <v>12001472</v>
      </c>
      <c r="Q44" t="s">
        <v>138</v>
      </c>
      <c r="R44" t="s">
        <v>589</v>
      </c>
      <c r="S44" t="s">
        <v>4612</v>
      </c>
      <c r="T44" t="s">
        <v>4613</v>
      </c>
      <c r="U44" t="s">
        <v>4587</v>
      </c>
      <c r="V44" t="s">
        <v>4501</v>
      </c>
      <c r="W44" t="s">
        <v>101</v>
      </c>
      <c r="X44" t="s">
        <v>102</v>
      </c>
      <c r="Y44" s="229">
        <v>720</v>
      </c>
      <c r="Z44" s="176">
        <v>0</v>
      </c>
      <c r="AA44">
        <v>241</v>
      </c>
      <c r="AD44" s="199"/>
      <c r="AE44" s="199"/>
      <c r="AF44" s="179"/>
      <c r="AG44" s="179"/>
      <c r="AH44" s="179"/>
      <c r="AI44" s="179"/>
      <c r="AJ44" s="179"/>
      <c r="AK44" s="179"/>
      <c r="AL44" s="305">
        <v>8</v>
      </c>
      <c r="AM44" s="306">
        <v>2024</v>
      </c>
      <c r="AN44" s="250"/>
    </row>
    <row r="45" spans="1:40">
      <c r="A45" t="s">
        <v>4547</v>
      </c>
      <c r="B45">
        <v>2</v>
      </c>
      <c r="C45" s="308">
        <v>45573</v>
      </c>
      <c r="D45">
        <v>33</v>
      </c>
      <c r="E45" s="173">
        <v>0.5229166666666667</v>
      </c>
      <c r="F45" t="s">
        <v>78</v>
      </c>
      <c r="G45" t="s">
        <v>25</v>
      </c>
      <c r="H45" t="s">
        <v>187</v>
      </c>
      <c r="I45" t="s">
        <v>635</v>
      </c>
      <c r="J45" t="s">
        <v>169</v>
      </c>
      <c r="K45" t="s">
        <v>1376</v>
      </c>
      <c r="L45" t="s">
        <v>108</v>
      </c>
      <c r="M45" t="s">
        <v>1029</v>
      </c>
      <c r="N45">
        <v>967555800</v>
      </c>
      <c r="O45" t="s">
        <v>238</v>
      </c>
      <c r="P45" s="154">
        <v>13030210</v>
      </c>
      <c r="Q45" t="s">
        <v>206</v>
      </c>
      <c r="R45" t="s">
        <v>596</v>
      </c>
      <c r="S45" t="s">
        <v>4543</v>
      </c>
      <c r="T45" t="s">
        <v>4545</v>
      </c>
      <c r="U45" t="s">
        <v>4544</v>
      </c>
      <c r="V45" t="s">
        <v>4546</v>
      </c>
      <c r="W45" t="s">
        <v>101</v>
      </c>
      <c r="X45" t="s">
        <v>102</v>
      </c>
      <c r="Y45" s="229">
        <v>718.2</v>
      </c>
      <c r="Z45" s="176">
        <v>0</v>
      </c>
      <c r="AA45">
        <v>223</v>
      </c>
      <c r="AB45" t="s">
        <v>4563</v>
      </c>
      <c r="AC45" t="s">
        <v>1252</v>
      </c>
      <c r="AD45" s="199"/>
      <c r="AE45" s="199"/>
      <c r="AF45" s="179"/>
      <c r="AG45" s="179"/>
      <c r="AH45" s="179"/>
      <c r="AI45" s="179"/>
      <c r="AJ45" s="179"/>
      <c r="AK45" s="179"/>
      <c r="AL45" s="305">
        <v>8</v>
      </c>
      <c r="AM45" s="306">
        <v>2024</v>
      </c>
      <c r="AN45" s="250" t="s">
        <v>1283</v>
      </c>
    </row>
    <row r="46" spans="1:40">
      <c r="A46" t="s">
        <v>4632</v>
      </c>
      <c r="B46">
        <v>2</v>
      </c>
      <c r="C46" s="308">
        <v>45533</v>
      </c>
      <c r="D46">
        <v>36</v>
      </c>
      <c r="E46" s="173">
        <v>0.75</v>
      </c>
      <c r="F46" t="s">
        <v>109</v>
      </c>
      <c r="G46" t="s">
        <v>25</v>
      </c>
      <c r="H46" t="s">
        <v>187</v>
      </c>
      <c r="I46" t="s">
        <v>212</v>
      </c>
      <c r="J46" t="s">
        <v>576</v>
      </c>
      <c r="K46" t="s">
        <v>2575</v>
      </c>
      <c r="L46" t="s">
        <v>108</v>
      </c>
      <c r="M46" t="s">
        <v>1029</v>
      </c>
      <c r="N46">
        <v>967555800</v>
      </c>
      <c r="O46" t="s">
        <v>238</v>
      </c>
      <c r="P46" s="154">
        <v>13030210</v>
      </c>
      <c r="Q46" t="s">
        <v>185</v>
      </c>
      <c r="R46" t="s">
        <v>600</v>
      </c>
      <c r="S46" t="s">
        <v>4629</v>
      </c>
      <c r="T46" t="s">
        <v>4631</v>
      </c>
      <c r="U46" t="s">
        <v>4630</v>
      </c>
      <c r="V46" t="s">
        <v>4644</v>
      </c>
      <c r="W46" t="s">
        <v>101</v>
      </c>
      <c r="X46" t="s">
        <v>102</v>
      </c>
      <c r="Y46" s="229">
        <v>279.3</v>
      </c>
      <c r="Z46" s="176">
        <v>0</v>
      </c>
      <c r="AA46">
        <v>242</v>
      </c>
      <c r="AB46" t="s">
        <v>4773</v>
      </c>
      <c r="AC46" t="s">
        <v>2792</v>
      </c>
      <c r="AD46" s="199"/>
      <c r="AE46" s="199"/>
      <c r="AF46" s="179"/>
      <c r="AG46" s="179"/>
      <c r="AH46" s="179"/>
      <c r="AI46" s="179"/>
      <c r="AJ46" s="179"/>
      <c r="AK46" s="179"/>
      <c r="AL46" s="305">
        <v>8</v>
      </c>
      <c r="AM46" s="306">
        <v>2024</v>
      </c>
      <c r="AN46" s="250"/>
    </row>
    <row r="47" spans="1:40">
      <c r="A47" t="s">
        <v>4643</v>
      </c>
      <c r="B47">
        <v>2</v>
      </c>
      <c r="C47" s="308">
        <v>45534</v>
      </c>
      <c r="D47">
        <v>36</v>
      </c>
      <c r="E47" s="173">
        <v>0.53402777777777777</v>
      </c>
      <c r="F47" t="s">
        <v>78</v>
      </c>
      <c r="G47" t="s">
        <v>31</v>
      </c>
      <c r="H47" t="s">
        <v>114</v>
      </c>
      <c r="I47" t="s">
        <v>635</v>
      </c>
      <c r="J47" t="s">
        <v>169</v>
      </c>
      <c r="K47" t="s">
        <v>4639</v>
      </c>
      <c r="L47" t="s">
        <v>108</v>
      </c>
      <c r="M47" t="s">
        <v>1029</v>
      </c>
      <c r="N47">
        <v>967555800</v>
      </c>
      <c r="O47" t="s">
        <v>200</v>
      </c>
      <c r="P47" s="154">
        <v>13030428</v>
      </c>
      <c r="Q47" t="s">
        <v>80</v>
      </c>
      <c r="R47" t="s">
        <v>589</v>
      </c>
      <c r="S47" t="s">
        <v>4638</v>
      </c>
      <c r="T47" t="s">
        <v>4641</v>
      </c>
      <c r="U47" t="s">
        <v>4640</v>
      </c>
      <c r="V47" t="s">
        <v>4642</v>
      </c>
      <c r="W47" t="s">
        <v>101</v>
      </c>
      <c r="X47" t="s">
        <v>102</v>
      </c>
      <c r="Y47" s="229">
        <v>264</v>
      </c>
      <c r="Z47" s="176">
        <v>0</v>
      </c>
      <c r="AA47">
        <v>241</v>
      </c>
      <c r="AB47" t="s">
        <v>1491</v>
      </c>
      <c r="AC47" t="s">
        <v>1252</v>
      </c>
      <c r="AD47" s="199"/>
      <c r="AE47" s="199"/>
      <c r="AF47" s="179"/>
      <c r="AG47" s="179"/>
      <c r="AH47" s="179"/>
      <c r="AI47" s="179"/>
      <c r="AJ47" s="179"/>
      <c r="AK47" s="179"/>
      <c r="AL47" s="305">
        <v>8</v>
      </c>
      <c r="AM47" s="306">
        <v>2024</v>
      </c>
      <c r="AN47" s="250" t="s">
        <v>1283</v>
      </c>
    </row>
    <row r="48" spans="1:40">
      <c r="A48" t="s">
        <v>4570</v>
      </c>
      <c r="B48">
        <v>2</v>
      </c>
      <c r="C48" s="308">
        <v>45524</v>
      </c>
      <c r="D48">
        <v>35</v>
      </c>
      <c r="E48" s="173">
        <v>0.62777777777777777</v>
      </c>
      <c r="F48" t="s">
        <v>109</v>
      </c>
      <c r="G48" t="s">
        <v>28</v>
      </c>
      <c r="H48" t="s">
        <v>210</v>
      </c>
      <c r="I48" t="s">
        <v>635</v>
      </c>
      <c r="J48" t="s">
        <v>588</v>
      </c>
      <c r="K48" t="s">
        <v>4566</v>
      </c>
      <c r="L48" t="s">
        <v>108</v>
      </c>
      <c r="M48" t="s">
        <v>1029</v>
      </c>
      <c r="N48">
        <v>967555800</v>
      </c>
      <c r="O48" t="s">
        <v>321</v>
      </c>
      <c r="P48" s="154">
        <v>13000464</v>
      </c>
      <c r="Q48" t="s">
        <v>80</v>
      </c>
      <c r="R48" t="s">
        <v>589</v>
      </c>
      <c r="S48" t="s">
        <v>4565</v>
      </c>
      <c r="T48" t="s">
        <v>4568</v>
      </c>
      <c r="U48" t="s">
        <v>4567</v>
      </c>
      <c r="V48" t="s">
        <v>4569</v>
      </c>
      <c r="W48" t="s">
        <v>101</v>
      </c>
      <c r="X48" t="s">
        <v>102</v>
      </c>
      <c r="Y48" s="229">
        <v>225</v>
      </c>
      <c r="Z48" s="176">
        <v>0</v>
      </c>
      <c r="AA48">
        <v>233</v>
      </c>
      <c r="AB48" t="s">
        <v>1466</v>
      </c>
      <c r="AC48" t="s">
        <v>1349</v>
      </c>
      <c r="AD48" s="199"/>
      <c r="AE48" s="199"/>
      <c r="AF48" s="179"/>
      <c r="AG48" s="179"/>
      <c r="AH48" s="179"/>
      <c r="AI48" s="179"/>
      <c r="AJ48" s="179"/>
      <c r="AK48" s="179"/>
      <c r="AL48" s="305">
        <v>8</v>
      </c>
      <c r="AM48" s="306">
        <v>2024</v>
      </c>
      <c r="AN48" s="250"/>
    </row>
    <row r="49" spans="1:40">
      <c r="A49" t="s">
        <v>4599</v>
      </c>
      <c r="B49">
        <v>2</v>
      </c>
      <c r="C49" s="308">
        <v>45531</v>
      </c>
      <c r="D49">
        <v>36</v>
      </c>
      <c r="E49" s="173">
        <v>0.76736111111111116</v>
      </c>
      <c r="F49" t="s">
        <v>109</v>
      </c>
      <c r="G49" t="s">
        <v>23</v>
      </c>
      <c r="H49" t="s">
        <v>164</v>
      </c>
      <c r="I49" t="s">
        <v>615</v>
      </c>
      <c r="J49" t="s">
        <v>169</v>
      </c>
      <c r="K49" t="s">
        <v>4595</v>
      </c>
      <c r="L49" t="s">
        <v>108</v>
      </c>
      <c r="M49" t="s">
        <v>1029</v>
      </c>
      <c r="N49">
        <v>967555800</v>
      </c>
      <c r="O49" t="s">
        <v>122</v>
      </c>
      <c r="P49" s="154">
        <v>12001472</v>
      </c>
      <c r="Q49" t="s">
        <v>138</v>
      </c>
      <c r="R49" t="s">
        <v>589</v>
      </c>
      <c r="S49" t="s">
        <v>4594</v>
      </c>
      <c r="T49" t="s">
        <v>4597</v>
      </c>
      <c r="U49" t="s">
        <v>4596</v>
      </c>
      <c r="V49" t="s">
        <v>4598</v>
      </c>
      <c r="W49" t="s">
        <v>101</v>
      </c>
      <c r="X49" t="s">
        <v>102</v>
      </c>
      <c r="Y49" s="229">
        <v>3.36</v>
      </c>
      <c r="Z49" s="176">
        <v>0</v>
      </c>
      <c r="AA49">
        <v>236</v>
      </c>
      <c r="AB49" t="s">
        <v>2483</v>
      </c>
      <c r="AC49" t="s">
        <v>1349</v>
      </c>
      <c r="AD49" s="199"/>
      <c r="AE49" s="199"/>
      <c r="AF49" s="179"/>
      <c r="AG49" s="179"/>
      <c r="AH49" s="179"/>
      <c r="AI49" s="179"/>
      <c r="AJ49" s="179"/>
      <c r="AK49" s="179"/>
      <c r="AL49" s="305">
        <v>8</v>
      </c>
      <c r="AM49" s="306">
        <v>2024</v>
      </c>
      <c r="AN49" s="250"/>
    </row>
    <row r="50" spans="1:40">
      <c r="A50" t="s">
        <v>4552</v>
      </c>
      <c r="B50">
        <v>2</v>
      </c>
      <c r="C50" s="308">
        <v>45634</v>
      </c>
      <c r="D50">
        <v>34</v>
      </c>
      <c r="E50" s="173">
        <v>0.94444444444444442</v>
      </c>
      <c r="F50" t="s">
        <v>136</v>
      </c>
      <c r="G50" t="s">
        <v>22</v>
      </c>
      <c r="H50" t="s">
        <v>164</v>
      </c>
      <c r="I50" t="s">
        <v>635</v>
      </c>
      <c r="J50" t="s">
        <v>169</v>
      </c>
      <c r="K50" t="s">
        <v>3599</v>
      </c>
      <c r="L50" t="s">
        <v>108</v>
      </c>
      <c r="M50" t="s">
        <v>1029</v>
      </c>
      <c r="N50">
        <v>967555800</v>
      </c>
      <c r="O50" t="s">
        <v>123</v>
      </c>
      <c r="P50" s="154">
        <v>13030401</v>
      </c>
      <c r="Q50" t="s">
        <v>80</v>
      </c>
      <c r="R50" t="s">
        <v>608</v>
      </c>
      <c r="S50" t="s">
        <v>4548</v>
      </c>
      <c r="T50" t="s">
        <v>4550</v>
      </c>
      <c r="U50" t="s">
        <v>4549</v>
      </c>
      <c r="V50" t="s">
        <v>4551</v>
      </c>
      <c r="W50" t="s">
        <v>101</v>
      </c>
      <c r="Y50" s="229">
        <v>9520</v>
      </c>
      <c r="Z50" s="176">
        <v>0</v>
      </c>
      <c r="AA50">
        <v>225</v>
      </c>
      <c r="AB50" t="s">
        <v>1685</v>
      </c>
      <c r="AC50" t="s">
        <v>1686</v>
      </c>
      <c r="AD50" s="199"/>
      <c r="AE50" s="199"/>
      <c r="AF50" s="179"/>
      <c r="AG50" s="179"/>
      <c r="AH50" s="179"/>
      <c r="AI50" s="179"/>
      <c r="AJ50" s="179"/>
      <c r="AK50" s="179"/>
      <c r="AL50" s="305">
        <v>8</v>
      </c>
      <c r="AM50" s="306">
        <v>2024</v>
      </c>
      <c r="AN50" s="250"/>
    </row>
    <row r="51" spans="1:40">
      <c r="A51" t="s">
        <v>4571</v>
      </c>
      <c r="B51">
        <v>2</v>
      </c>
      <c r="C51" s="308">
        <v>45524</v>
      </c>
      <c r="D51">
        <v>35</v>
      </c>
      <c r="E51" s="173">
        <v>0.5625</v>
      </c>
      <c r="F51" t="s">
        <v>109</v>
      </c>
      <c r="G51" t="s">
        <v>25</v>
      </c>
      <c r="H51" t="s">
        <v>81</v>
      </c>
      <c r="I51" t="s">
        <v>190</v>
      </c>
      <c r="J51" t="s">
        <v>607</v>
      </c>
      <c r="K51" t="s">
        <v>2386</v>
      </c>
      <c r="L51" t="s">
        <v>108</v>
      </c>
      <c r="M51" t="s">
        <v>1029</v>
      </c>
      <c r="N51">
        <v>967555800</v>
      </c>
      <c r="O51" t="s">
        <v>265</v>
      </c>
      <c r="P51" s="154">
        <v>13030402</v>
      </c>
      <c r="Q51" t="s">
        <v>80</v>
      </c>
      <c r="R51" t="s">
        <v>608</v>
      </c>
      <c r="S51" t="s">
        <v>4572</v>
      </c>
      <c r="T51" t="s">
        <v>4573</v>
      </c>
      <c r="U51" t="s">
        <v>4574</v>
      </c>
      <c r="V51" t="s">
        <v>4575</v>
      </c>
      <c r="W51" t="s">
        <v>101</v>
      </c>
      <c r="Y51" s="229">
        <v>5520</v>
      </c>
      <c r="Z51" s="176">
        <v>0</v>
      </c>
      <c r="AA51">
        <v>233</v>
      </c>
      <c r="AB51" t="s">
        <v>1685</v>
      </c>
      <c r="AC51" t="s">
        <v>1686</v>
      </c>
      <c r="AD51" s="199"/>
      <c r="AE51" s="199"/>
      <c r="AF51" s="179"/>
      <c r="AG51" s="179"/>
      <c r="AH51" s="179"/>
      <c r="AI51" s="179"/>
      <c r="AJ51" s="179"/>
      <c r="AK51" s="179"/>
      <c r="AL51" s="305">
        <v>8</v>
      </c>
      <c r="AM51" s="306">
        <v>2024</v>
      </c>
      <c r="AN51" s="250"/>
    </row>
    <row r="52" spans="1:40">
      <c r="A52" t="s">
        <v>4651</v>
      </c>
      <c r="B52">
        <v>2</v>
      </c>
      <c r="C52" s="308">
        <v>45535</v>
      </c>
      <c r="D52">
        <v>36</v>
      </c>
      <c r="E52" s="173">
        <v>0.33333333333333331</v>
      </c>
      <c r="F52" t="s">
        <v>78</v>
      </c>
      <c r="G52" t="s">
        <v>22</v>
      </c>
      <c r="H52" t="s">
        <v>81</v>
      </c>
      <c r="I52" t="s">
        <v>190</v>
      </c>
      <c r="J52" t="s">
        <v>576</v>
      </c>
      <c r="K52" t="s">
        <v>2947</v>
      </c>
      <c r="L52" t="s">
        <v>108</v>
      </c>
      <c r="M52" t="s">
        <v>1029</v>
      </c>
      <c r="N52">
        <v>967555800</v>
      </c>
      <c r="O52" t="s">
        <v>123</v>
      </c>
      <c r="P52" s="154">
        <v>13030401</v>
      </c>
      <c r="Q52" t="s">
        <v>80</v>
      </c>
      <c r="R52" t="s">
        <v>608</v>
      </c>
      <c r="S52" t="s">
        <v>4652</v>
      </c>
      <c r="T52" t="s">
        <v>4653</v>
      </c>
      <c r="U52" t="s">
        <v>4654</v>
      </c>
      <c r="V52" t="s">
        <v>4655</v>
      </c>
      <c r="W52" t="s">
        <v>101</v>
      </c>
      <c r="Y52" s="229">
        <v>2880</v>
      </c>
      <c r="Z52" s="176">
        <v>0</v>
      </c>
      <c r="AA52">
        <v>244</v>
      </c>
      <c r="AB52" t="s">
        <v>1685</v>
      </c>
      <c r="AC52" t="s">
        <v>1686</v>
      </c>
      <c r="AD52" s="199"/>
      <c r="AE52" s="199"/>
      <c r="AF52" s="179"/>
      <c r="AG52" s="179"/>
      <c r="AH52" s="179"/>
      <c r="AI52" s="179"/>
      <c r="AJ52" s="179"/>
      <c r="AK52" s="179"/>
      <c r="AL52" s="305">
        <v>8</v>
      </c>
      <c r="AM52" s="306">
        <v>2024</v>
      </c>
      <c r="AN52" s="250"/>
    </row>
    <row r="53" spans="1:40">
      <c r="A53" t="s">
        <v>4656</v>
      </c>
      <c r="B53">
        <v>2</v>
      </c>
      <c r="C53" s="308">
        <v>45535</v>
      </c>
      <c r="D53">
        <v>36</v>
      </c>
      <c r="E53" s="173">
        <v>0.33333333333333331</v>
      </c>
      <c r="F53" t="s">
        <v>78</v>
      </c>
      <c r="G53" t="s">
        <v>24</v>
      </c>
      <c r="H53" t="s">
        <v>165</v>
      </c>
      <c r="I53" t="s">
        <v>190</v>
      </c>
      <c r="J53" t="s">
        <v>576</v>
      </c>
      <c r="K53" t="s">
        <v>2210</v>
      </c>
      <c r="L53" t="s">
        <v>108</v>
      </c>
      <c r="M53" t="s">
        <v>1029</v>
      </c>
      <c r="N53">
        <v>967555800</v>
      </c>
      <c r="O53" t="s">
        <v>124</v>
      </c>
      <c r="P53" s="154">
        <v>13001004</v>
      </c>
      <c r="Q53" t="s">
        <v>80</v>
      </c>
      <c r="R53" t="s">
        <v>608</v>
      </c>
      <c r="S53" t="s">
        <v>4657</v>
      </c>
      <c r="T53" t="s">
        <v>4658</v>
      </c>
      <c r="U53" t="s">
        <v>4659</v>
      </c>
      <c r="V53" t="s">
        <v>4660</v>
      </c>
      <c r="W53" t="s">
        <v>101</v>
      </c>
      <c r="Y53" s="229">
        <v>1095</v>
      </c>
      <c r="Z53" s="176">
        <v>0</v>
      </c>
      <c r="AA53">
        <v>244</v>
      </c>
      <c r="AB53" t="s">
        <v>1685</v>
      </c>
      <c r="AC53" t="s">
        <v>1686</v>
      </c>
      <c r="AD53" s="199"/>
      <c r="AE53" s="199"/>
      <c r="AF53" s="179"/>
      <c r="AG53" s="179"/>
      <c r="AH53" s="179"/>
      <c r="AI53" s="179"/>
      <c r="AJ53" s="179"/>
      <c r="AK53" s="179"/>
      <c r="AL53" s="305">
        <v>8</v>
      </c>
      <c r="AM53" s="306">
        <v>2024</v>
      </c>
      <c r="AN53" s="250"/>
    </row>
    <row r="54" spans="1:40">
      <c r="A54" t="s">
        <v>4490</v>
      </c>
      <c r="B54">
        <v>2</v>
      </c>
      <c r="C54" s="308">
        <v>45299</v>
      </c>
      <c r="D54">
        <v>32</v>
      </c>
      <c r="E54" s="173">
        <v>0.83333333333333337</v>
      </c>
      <c r="F54" t="s">
        <v>109</v>
      </c>
      <c r="G54" t="s">
        <v>28</v>
      </c>
      <c r="H54" t="s">
        <v>81</v>
      </c>
      <c r="I54" t="s">
        <v>615</v>
      </c>
      <c r="J54" t="s">
        <v>588</v>
      </c>
      <c r="K54" t="s">
        <v>4487</v>
      </c>
      <c r="L54" t="s">
        <v>77</v>
      </c>
      <c r="M54" t="s">
        <v>657</v>
      </c>
      <c r="N54">
        <v>81094100</v>
      </c>
      <c r="O54" t="s">
        <v>510</v>
      </c>
      <c r="P54" s="154">
        <v>10000438</v>
      </c>
      <c r="Q54" t="s">
        <v>138</v>
      </c>
      <c r="R54" t="s">
        <v>627</v>
      </c>
      <c r="S54" t="s">
        <v>4486</v>
      </c>
      <c r="T54" t="s">
        <v>4489</v>
      </c>
      <c r="U54" t="s">
        <v>4491</v>
      </c>
      <c r="V54" t="s">
        <v>4492</v>
      </c>
      <c r="W54" t="s">
        <v>101</v>
      </c>
      <c r="X54" t="s">
        <v>129</v>
      </c>
      <c r="Y54" s="229">
        <v>31945</v>
      </c>
      <c r="Z54" s="176">
        <v>0</v>
      </c>
      <c r="AA54" t="s">
        <v>4488</v>
      </c>
      <c r="AB54" t="s">
        <v>2727</v>
      </c>
      <c r="AC54" t="s">
        <v>39</v>
      </c>
      <c r="AD54" s="199"/>
      <c r="AE54" s="199"/>
      <c r="AF54" s="179"/>
      <c r="AG54" s="179"/>
      <c r="AH54" s="179"/>
      <c r="AI54" s="179"/>
      <c r="AJ54" s="179"/>
      <c r="AK54" s="179"/>
      <c r="AL54" s="305">
        <v>8</v>
      </c>
      <c r="AM54" s="306">
        <v>2024</v>
      </c>
      <c r="AN54" s="250"/>
    </row>
    <row r="55" spans="1:40">
      <c r="A55" t="s">
        <v>4623</v>
      </c>
      <c r="B55">
        <v>2</v>
      </c>
      <c r="C55" s="308">
        <v>45533</v>
      </c>
      <c r="D55">
        <v>36</v>
      </c>
      <c r="E55" s="173">
        <v>3.4722222222222224E-2</v>
      </c>
      <c r="F55" t="s">
        <v>136</v>
      </c>
      <c r="G55" t="s">
        <v>27</v>
      </c>
      <c r="H55" t="s">
        <v>140</v>
      </c>
      <c r="I55" t="s">
        <v>143</v>
      </c>
      <c r="J55" t="s">
        <v>607</v>
      </c>
      <c r="K55" t="s">
        <v>2836</v>
      </c>
      <c r="L55" t="s">
        <v>77</v>
      </c>
      <c r="M55" t="s">
        <v>717</v>
      </c>
      <c r="N55">
        <v>96954210</v>
      </c>
      <c r="O55" t="s">
        <v>507</v>
      </c>
      <c r="P55" s="154">
        <v>10002457</v>
      </c>
      <c r="Q55" t="s">
        <v>138</v>
      </c>
      <c r="R55" t="s">
        <v>79</v>
      </c>
      <c r="S55" t="s">
        <v>4621</v>
      </c>
      <c r="T55" t="s">
        <v>4622</v>
      </c>
      <c r="U55" t="s">
        <v>4583</v>
      </c>
      <c r="W55" t="s">
        <v>101</v>
      </c>
      <c r="X55" t="s">
        <v>129</v>
      </c>
      <c r="Y55" s="229">
        <v>45</v>
      </c>
      <c r="Z55" s="176">
        <v>0</v>
      </c>
      <c r="AA55">
        <v>240910</v>
      </c>
      <c r="AB55" t="s">
        <v>2727</v>
      </c>
      <c r="AC55" t="s">
        <v>39</v>
      </c>
      <c r="AD55" s="199"/>
      <c r="AE55" s="199"/>
      <c r="AF55" s="179"/>
      <c r="AG55" s="179"/>
      <c r="AH55" s="179"/>
      <c r="AI55" s="179"/>
      <c r="AJ55" s="179"/>
      <c r="AK55" s="179"/>
      <c r="AL55" s="305">
        <v>8</v>
      </c>
      <c r="AM55" s="306">
        <v>2024</v>
      </c>
      <c r="AN55" s="250"/>
    </row>
    <row r="56" spans="1:40">
      <c r="A56" t="s">
        <v>4514</v>
      </c>
      <c r="B56">
        <v>2</v>
      </c>
      <c r="C56" s="308">
        <v>45451</v>
      </c>
      <c r="D56">
        <v>33</v>
      </c>
      <c r="E56" s="173">
        <v>0.69791666666666663</v>
      </c>
      <c r="F56" t="s">
        <v>109</v>
      </c>
      <c r="G56" t="s">
        <v>28</v>
      </c>
      <c r="H56" t="s">
        <v>81</v>
      </c>
      <c r="I56" t="s">
        <v>87</v>
      </c>
      <c r="J56" t="s">
        <v>633</v>
      </c>
      <c r="K56" t="s">
        <v>1035</v>
      </c>
      <c r="L56" t="s">
        <v>77</v>
      </c>
      <c r="M56" t="s">
        <v>657</v>
      </c>
      <c r="N56">
        <v>81094100</v>
      </c>
      <c r="O56" t="s">
        <v>510</v>
      </c>
      <c r="P56" s="154">
        <v>10000438</v>
      </c>
      <c r="Q56" t="s">
        <v>138</v>
      </c>
      <c r="R56" t="s">
        <v>79</v>
      </c>
      <c r="S56" t="s">
        <v>4509</v>
      </c>
      <c r="T56" t="s">
        <v>4512</v>
      </c>
      <c r="U56" t="s">
        <v>4511</v>
      </c>
      <c r="V56" t="s">
        <v>4513</v>
      </c>
      <c r="W56" t="s">
        <v>101</v>
      </c>
      <c r="X56" t="s">
        <v>3210</v>
      </c>
      <c r="Y56" s="229">
        <v>730</v>
      </c>
      <c r="Z56" s="176">
        <v>0</v>
      </c>
      <c r="AA56" t="s">
        <v>4510</v>
      </c>
      <c r="AB56" t="s">
        <v>2727</v>
      </c>
      <c r="AC56" t="s">
        <v>39</v>
      </c>
      <c r="AD56" s="199"/>
      <c r="AE56" s="199"/>
      <c r="AF56" s="179"/>
      <c r="AG56" s="179"/>
      <c r="AH56" s="179"/>
      <c r="AI56" s="179"/>
      <c r="AJ56" s="179"/>
      <c r="AK56" s="179"/>
      <c r="AL56" s="305">
        <v>8</v>
      </c>
      <c r="AM56" s="306">
        <v>2024</v>
      </c>
      <c r="AN56" s="250"/>
    </row>
    <row r="57" spans="1:40">
      <c r="A57" t="s">
        <v>4586</v>
      </c>
      <c r="B57">
        <v>2</v>
      </c>
      <c r="C57" s="308">
        <v>45528</v>
      </c>
      <c r="D57">
        <v>35</v>
      </c>
      <c r="E57" s="173">
        <v>0.52083333333333337</v>
      </c>
      <c r="F57" t="s">
        <v>78</v>
      </c>
      <c r="G57" t="s">
        <v>29</v>
      </c>
      <c r="H57" t="s">
        <v>83</v>
      </c>
      <c r="I57" t="s">
        <v>143</v>
      </c>
      <c r="J57" t="s">
        <v>607</v>
      </c>
      <c r="K57" t="s">
        <v>2581</v>
      </c>
      <c r="L57" t="s">
        <v>77</v>
      </c>
      <c r="M57" t="s">
        <v>575</v>
      </c>
      <c r="N57">
        <v>76618520</v>
      </c>
      <c r="O57" t="s">
        <v>593</v>
      </c>
      <c r="P57" s="154">
        <v>10004345</v>
      </c>
      <c r="Q57" t="s">
        <v>138</v>
      </c>
      <c r="R57" t="s">
        <v>627</v>
      </c>
      <c r="S57" t="s">
        <v>4582</v>
      </c>
      <c r="T57" t="s">
        <v>4584</v>
      </c>
      <c r="U57" t="s">
        <v>4583</v>
      </c>
      <c r="V57" t="s">
        <v>4585</v>
      </c>
      <c r="W57" t="s">
        <v>101</v>
      </c>
      <c r="Y57" s="229">
        <v>1000</v>
      </c>
      <c r="Z57" s="176">
        <v>0</v>
      </c>
      <c r="AA57">
        <v>341305</v>
      </c>
      <c r="AB57" t="s">
        <v>2727</v>
      </c>
      <c r="AC57" t="s">
        <v>39</v>
      </c>
      <c r="AD57" s="199"/>
      <c r="AE57" s="199"/>
      <c r="AF57" s="179"/>
      <c r="AG57" s="179"/>
      <c r="AH57" s="179"/>
      <c r="AI57" s="179"/>
      <c r="AJ57" s="179"/>
      <c r="AK57" s="179"/>
      <c r="AL57" s="305">
        <v>8</v>
      </c>
      <c r="AM57" s="306">
        <v>2024</v>
      </c>
      <c r="AN57" s="250"/>
    </row>
    <row r="58" spans="1:40">
      <c r="A58" t="s">
        <v>4532</v>
      </c>
      <c r="B58">
        <v>2</v>
      </c>
      <c r="C58" s="308">
        <v>45512</v>
      </c>
      <c r="D58">
        <v>33</v>
      </c>
      <c r="E58" s="173">
        <v>6.9444444444444441E-3</v>
      </c>
      <c r="F58" t="s">
        <v>136</v>
      </c>
      <c r="G58" t="s">
        <v>28</v>
      </c>
      <c r="H58" t="s">
        <v>81</v>
      </c>
      <c r="I58" t="s">
        <v>143</v>
      </c>
      <c r="J58" t="s">
        <v>595</v>
      </c>
      <c r="K58" t="s">
        <v>1077</v>
      </c>
      <c r="L58" t="s">
        <v>77</v>
      </c>
      <c r="M58" t="s">
        <v>657</v>
      </c>
      <c r="N58">
        <v>81094100</v>
      </c>
      <c r="O58" t="s">
        <v>510</v>
      </c>
      <c r="P58" s="154">
        <v>10000438</v>
      </c>
      <c r="Q58" t="s">
        <v>138</v>
      </c>
      <c r="R58" t="s">
        <v>79</v>
      </c>
      <c r="S58" t="s">
        <v>4529</v>
      </c>
      <c r="T58" t="s">
        <v>4531</v>
      </c>
      <c r="U58" t="s">
        <v>4530</v>
      </c>
      <c r="V58" t="s">
        <v>1081</v>
      </c>
      <c r="W58" t="s">
        <v>101</v>
      </c>
      <c r="Y58" s="229">
        <v>536</v>
      </c>
      <c r="Z58" s="176">
        <v>0</v>
      </c>
      <c r="AA58" t="s">
        <v>4488</v>
      </c>
      <c r="AB58" t="s">
        <v>2727</v>
      </c>
      <c r="AC58" t="s">
        <v>39</v>
      </c>
      <c r="AD58" s="199"/>
      <c r="AE58" s="199"/>
      <c r="AF58" s="179"/>
      <c r="AG58" s="179"/>
      <c r="AH58" s="179"/>
      <c r="AI58" s="179"/>
      <c r="AJ58" s="179"/>
      <c r="AK58" s="179"/>
      <c r="AL58" s="305">
        <v>8</v>
      </c>
      <c r="AM58" s="306">
        <v>2024</v>
      </c>
      <c r="AN58" s="250"/>
    </row>
    <row r="59" spans="1:40">
      <c r="A59" t="s">
        <v>4634</v>
      </c>
      <c r="B59">
        <v>2</v>
      </c>
      <c r="C59" s="308">
        <v>45533</v>
      </c>
      <c r="D59">
        <v>36</v>
      </c>
      <c r="E59" s="173">
        <v>0.97916666666666663</v>
      </c>
      <c r="F59" t="s">
        <v>136</v>
      </c>
      <c r="G59" t="s">
        <v>28</v>
      </c>
      <c r="H59" t="s">
        <v>81</v>
      </c>
      <c r="I59" t="s">
        <v>143</v>
      </c>
      <c r="J59" t="s">
        <v>595</v>
      </c>
      <c r="K59" t="s">
        <v>1077</v>
      </c>
      <c r="L59" t="s">
        <v>77</v>
      </c>
      <c r="M59" t="s">
        <v>465</v>
      </c>
      <c r="N59">
        <v>77155281</v>
      </c>
      <c r="O59" t="s">
        <v>494</v>
      </c>
      <c r="P59" s="154">
        <v>10000294</v>
      </c>
      <c r="Q59" t="s">
        <v>80</v>
      </c>
      <c r="R59" t="s">
        <v>627</v>
      </c>
      <c r="S59" t="s">
        <v>4635</v>
      </c>
      <c r="T59" t="s">
        <v>1128</v>
      </c>
      <c r="U59" t="s">
        <v>4633</v>
      </c>
      <c r="V59" t="s">
        <v>4636</v>
      </c>
      <c r="W59" t="s">
        <v>101</v>
      </c>
      <c r="Y59" s="229">
        <v>203</v>
      </c>
      <c r="Z59" s="176">
        <v>0</v>
      </c>
      <c r="AA59" t="s">
        <v>4637</v>
      </c>
      <c r="AB59" t="s">
        <v>2727</v>
      </c>
      <c r="AC59" t="s">
        <v>39</v>
      </c>
      <c r="AD59" s="199"/>
      <c r="AE59" s="199"/>
      <c r="AF59" s="179"/>
      <c r="AG59" s="179"/>
      <c r="AH59" s="179"/>
      <c r="AI59" s="179"/>
      <c r="AJ59" s="179"/>
      <c r="AK59" s="179"/>
      <c r="AL59" s="305">
        <v>8</v>
      </c>
      <c r="AM59" s="306">
        <v>2024</v>
      </c>
      <c r="AN59" s="250"/>
    </row>
    <row r="60" spans="1:40">
      <c r="A60" t="s">
        <v>4593</v>
      </c>
      <c r="B60">
        <v>2</v>
      </c>
      <c r="C60" s="308">
        <v>45531</v>
      </c>
      <c r="D60">
        <v>36</v>
      </c>
      <c r="E60" s="173">
        <v>0.15972222222222221</v>
      </c>
      <c r="F60" t="s">
        <v>136</v>
      </c>
      <c r="G60" t="s">
        <v>28</v>
      </c>
      <c r="H60" t="s">
        <v>81</v>
      </c>
      <c r="I60" t="s">
        <v>143</v>
      </c>
      <c r="J60" t="s">
        <v>607</v>
      </c>
      <c r="K60" t="s">
        <v>1077</v>
      </c>
      <c r="L60" t="s">
        <v>77</v>
      </c>
      <c r="M60" t="s">
        <v>657</v>
      </c>
      <c r="N60">
        <v>81094100</v>
      </c>
      <c r="O60" t="s">
        <v>510</v>
      </c>
      <c r="P60" s="154">
        <v>10000438</v>
      </c>
      <c r="Q60" t="s">
        <v>138</v>
      </c>
      <c r="R60" t="s">
        <v>79</v>
      </c>
      <c r="S60" t="s">
        <v>4588</v>
      </c>
      <c r="T60" t="s">
        <v>4591</v>
      </c>
      <c r="U60" t="s">
        <v>4590</v>
      </c>
      <c r="V60" t="s">
        <v>4592</v>
      </c>
      <c r="W60" t="s">
        <v>101</v>
      </c>
      <c r="Y60" s="229"/>
      <c r="Z60" s="176">
        <v>0</v>
      </c>
      <c r="AA60" t="s">
        <v>4589</v>
      </c>
      <c r="AB60" t="s">
        <v>2727</v>
      </c>
      <c r="AC60" t="s">
        <v>39</v>
      </c>
      <c r="AD60" s="199"/>
      <c r="AE60" s="199"/>
      <c r="AF60" s="179"/>
      <c r="AG60" s="179"/>
      <c r="AH60" s="179"/>
      <c r="AI60" s="179"/>
      <c r="AJ60" s="179"/>
      <c r="AK60" s="179"/>
      <c r="AL60" s="305">
        <v>8</v>
      </c>
      <c r="AM60" s="306">
        <v>2024</v>
      </c>
      <c r="AN60" s="250"/>
    </row>
    <row r="61" spans="1:40">
      <c r="A61" t="s">
        <v>4464</v>
      </c>
      <c r="B61">
        <v>2</v>
      </c>
      <c r="C61" s="308">
        <v>45502</v>
      </c>
      <c r="D61">
        <v>32</v>
      </c>
      <c r="E61" s="173">
        <v>0.61250000000000004</v>
      </c>
      <c r="F61" t="s">
        <v>109</v>
      </c>
      <c r="G61" t="s">
        <v>22</v>
      </c>
      <c r="H61" t="s">
        <v>81</v>
      </c>
      <c r="I61" t="s">
        <v>635</v>
      </c>
      <c r="J61" t="s">
        <v>599</v>
      </c>
      <c r="K61" t="s">
        <v>4460</v>
      </c>
      <c r="L61" t="s">
        <v>108</v>
      </c>
      <c r="M61" t="s">
        <v>1029</v>
      </c>
      <c r="N61">
        <v>967555800</v>
      </c>
      <c r="O61" t="s">
        <v>292</v>
      </c>
      <c r="P61" s="154">
        <v>13030407</v>
      </c>
      <c r="Q61" t="s">
        <v>138</v>
      </c>
      <c r="R61" t="s">
        <v>596</v>
      </c>
      <c r="S61" t="s">
        <v>4459</v>
      </c>
      <c r="T61" t="s">
        <v>4462</v>
      </c>
      <c r="U61" t="s">
        <v>4461</v>
      </c>
      <c r="V61" t="s">
        <v>4463</v>
      </c>
      <c r="W61" t="s">
        <v>101</v>
      </c>
      <c r="X61" t="s">
        <v>102</v>
      </c>
      <c r="Y61" s="229">
        <v>2940</v>
      </c>
      <c r="Z61" s="176">
        <v>0</v>
      </c>
      <c r="AA61" s="73">
        <v>211</v>
      </c>
      <c r="AB61" t="s">
        <v>2197</v>
      </c>
      <c r="AC61" t="s">
        <v>1252</v>
      </c>
      <c r="AD61" s="199"/>
      <c r="AE61" s="199"/>
      <c r="AF61" s="179"/>
      <c r="AG61" s="179"/>
      <c r="AH61" s="179"/>
      <c r="AI61" s="179"/>
      <c r="AJ61" s="179"/>
      <c r="AK61" s="179"/>
      <c r="AL61" s="305">
        <v>7</v>
      </c>
      <c r="AM61" s="306">
        <v>2024</v>
      </c>
      <c r="AN61" s="250" t="s">
        <v>1283</v>
      </c>
    </row>
    <row r="62" spans="1:40">
      <c r="A62" t="s">
        <v>4471</v>
      </c>
      <c r="B62">
        <v>2</v>
      </c>
      <c r="C62" s="308">
        <v>45502</v>
      </c>
      <c r="D62">
        <v>32</v>
      </c>
      <c r="E62" s="173">
        <v>0.71250000000000002</v>
      </c>
      <c r="F62" t="s">
        <v>109</v>
      </c>
      <c r="G62" t="s">
        <v>23</v>
      </c>
      <c r="H62" t="s">
        <v>207</v>
      </c>
      <c r="I62" t="s">
        <v>635</v>
      </c>
      <c r="J62" t="s">
        <v>599</v>
      </c>
      <c r="K62" t="s">
        <v>1285</v>
      </c>
      <c r="L62" t="s">
        <v>108</v>
      </c>
      <c r="M62" t="s">
        <v>1029</v>
      </c>
      <c r="N62">
        <v>967555800</v>
      </c>
      <c r="O62" t="s">
        <v>122</v>
      </c>
      <c r="P62" s="154">
        <v>12001472</v>
      </c>
      <c r="Q62" t="s">
        <v>80</v>
      </c>
      <c r="R62" t="s">
        <v>589</v>
      </c>
      <c r="S62" t="s">
        <v>4472</v>
      </c>
      <c r="T62" t="s">
        <v>4473</v>
      </c>
      <c r="U62" t="s">
        <v>4474</v>
      </c>
      <c r="V62" t="s">
        <v>4475</v>
      </c>
      <c r="W62" t="s">
        <v>101</v>
      </c>
      <c r="X62" t="s">
        <v>102</v>
      </c>
      <c r="Y62" s="229">
        <v>2640</v>
      </c>
      <c r="Z62" s="176">
        <v>0</v>
      </c>
      <c r="AA62" s="73">
        <v>211</v>
      </c>
      <c r="AB62" t="s">
        <v>1441</v>
      </c>
      <c r="AC62" t="s">
        <v>1252</v>
      </c>
      <c r="AD62" s="199"/>
      <c r="AE62" s="199"/>
      <c r="AF62" s="179"/>
      <c r="AG62" s="179"/>
      <c r="AH62" s="179"/>
      <c r="AI62" s="179"/>
      <c r="AJ62" s="179"/>
      <c r="AK62" s="179"/>
      <c r="AL62" s="305">
        <v>7</v>
      </c>
      <c r="AM62" s="306">
        <v>2024</v>
      </c>
      <c r="AN62" s="250" t="s">
        <v>1283</v>
      </c>
    </row>
    <row r="63" spans="1:40">
      <c r="A63" t="s">
        <v>4466</v>
      </c>
      <c r="B63">
        <v>2</v>
      </c>
      <c r="C63" s="308">
        <v>45502</v>
      </c>
      <c r="D63">
        <v>32</v>
      </c>
      <c r="E63" s="173">
        <v>0.61319444444444449</v>
      </c>
      <c r="F63" t="s">
        <v>109</v>
      </c>
      <c r="G63" t="s">
        <v>23</v>
      </c>
      <c r="H63" t="s">
        <v>81</v>
      </c>
      <c r="I63" t="s">
        <v>635</v>
      </c>
      <c r="J63" t="s">
        <v>599</v>
      </c>
      <c r="K63" t="s">
        <v>4460</v>
      </c>
      <c r="L63" t="s">
        <v>108</v>
      </c>
      <c r="M63" t="s">
        <v>1029</v>
      </c>
      <c r="N63">
        <v>967555800</v>
      </c>
      <c r="O63" t="s">
        <v>122</v>
      </c>
      <c r="P63" s="154">
        <v>12001472</v>
      </c>
      <c r="Q63" t="s">
        <v>138</v>
      </c>
      <c r="R63" t="s">
        <v>596</v>
      </c>
      <c r="S63" t="s">
        <v>4467</v>
      </c>
      <c r="T63" t="s">
        <v>4468</v>
      </c>
      <c r="U63" t="s">
        <v>4469</v>
      </c>
      <c r="V63" t="s">
        <v>4470</v>
      </c>
      <c r="W63" t="s">
        <v>101</v>
      </c>
      <c r="X63" t="s">
        <v>102</v>
      </c>
      <c r="Y63" s="229">
        <v>2640</v>
      </c>
      <c r="Z63" s="176">
        <v>0</v>
      </c>
      <c r="AA63" s="73">
        <v>211</v>
      </c>
      <c r="AB63" t="s">
        <v>2197</v>
      </c>
      <c r="AC63" t="s">
        <v>1252</v>
      </c>
      <c r="AD63" s="199"/>
      <c r="AE63" s="199"/>
      <c r="AF63" s="179"/>
      <c r="AG63" s="179"/>
      <c r="AH63" s="179"/>
      <c r="AI63" s="179"/>
      <c r="AJ63" s="179"/>
      <c r="AK63" s="179"/>
      <c r="AL63" s="305">
        <v>7</v>
      </c>
      <c r="AM63" s="306">
        <v>2024</v>
      </c>
      <c r="AN63" s="250" t="s">
        <v>1283</v>
      </c>
    </row>
    <row r="64" spans="1:40">
      <c r="A64" t="s">
        <v>4476</v>
      </c>
      <c r="B64">
        <v>2</v>
      </c>
      <c r="C64" s="308">
        <v>45502</v>
      </c>
      <c r="D64">
        <v>32</v>
      </c>
      <c r="E64" s="173">
        <v>0.66111111111111109</v>
      </c>
      <c r="F64" t="s">
        <v>109</v>
      </c>
      <c r="G64" t="s">
        <v>29</v>
      </c>
      <c r="H64" t="s">
        <v>166</v>
      </c>
      <c r="I64" t="s">
        <v>635</v>
      </c>
      <c r="J64" t="s">
        <v>612</v>
      </c>
      <c r="K64" t="s">
        <v>1481</v>
      </c>
      <c r="L64" t="s">
        <v>108</v>
      </c>
      <c r="M64" t="s">
        <v>1029</v>
      </c>
      <c r="N64">
        <v>967555800</v>
      </c>
      <c r="O64" t="s">
        <v>818</v>
      </c>
      <c r="P64" s="154">
        <v>13030606</v>
      </c>
      <c r="Q64" t="s">
        <v>206</v>
      </c>
      <c r="R64" t="s">
        <v>620</v>
      </c>
      <c r="S64" t="s">
        <v>4477</v>
      </c>
      <c r="T64" t="s">
        <v>4478</v>
      </c>
      <c r="U64" t="s">
        <v>4479</v>
      </c>
      <c r="V64" t="s">
        <v>4480</v>
      </c>
      <c r="W64" t="s">
        <v>101</v>
      </c>
      <c r="X64" t="s">
        <v>102</v>
      </c>
      <c r="Y64" s="229">
        <v>2280.96</v>
      </c>
      <c r="Z64" s="176">
        <v>0</v>
      </c>
      <c r="AA64" s="73">
        <v>211</v>
      </c>
      <c r="AB64" t="s">
        <v>4563</v>
      </c>
      <c r="AC64" t="s">
        <v>1252</v>
      </c>
      <c r="AD64" s="199"/>
      <c r="AE64" s="199"/>
      <c r="AF64" s="179"/>
      <c r="AG64" s="179"/>
      <c r="AH64" s="179"/>
      <c r="AI64" s="179"/>
      <c r="AJ64" s="179"/>
      <c r="AK64" s="179"/>
      <c r="AL64" s="305">
        <v>7</v>
      </c>
      <c r="AM64" s="306">
        <v>2024</v>
      </c>
      <c r="AN64" s="250" t="s">
        <v>1283</v>
      </c>
    </row>
    <row r="65" spans="1:47">
      <c r="A65" t="s">
        <v>4457</v>
      </c>
      <c r="B65">
        <v>2</v>
      </c>
      <c r="C65" s="308">
        <v>45499</v>
      </c>
      <c r="D65">
        <v>31</v>
      </c>
      <c r="E65" s="173">
        <v>2.8472222222222222E-2</v>
      </c>
      <c r="F65" t="s">
        <v>136</v>
      </c>
      <c r="G65" t="s">
        <v>27</v>
      </c>
      <c r="H65" t="s">
        <v>189</v>
      </c>
      <c r="I65" t="s">
        <v>635</v>
      </c>
      <c r="J65" t="s">
        <v>588</v>
      </c>
      <c r="K65" t="s">
        <v>1059</v>
      </c>
      <c r="L65" t="s">
        <v>108</v>
      </c>
      <c r="M65" t="s">
        <v>1029</v>
      </c>
      <c r="N65">
        <v>967555800</v>
      </c>
      <c r="O65" t="s">
        <v>253</v>
      </c>
      <c r="P65" s="154">
        <v>13030191</v>
      </c>
      <c r="Q65" t="s">
        <v>185</v>
      </c>
      <c r="R65" t="s">
        <v>579</v>
      </c>
      <c r="S65" t="s">
        <v>4453</v>
      </c>
      <c r="T65" t="s">
        <v>4455</v>
      </c>
      <c r="U65" t="s">
        <v>4454</v>
      </c>
      <c r="V65" t="s">
        <v>4456</v>
      </c>
      <c r="W65" t="s">
        <v>101</v>
      </c>
      <c r="X65" t="s">
        <v>156</v>
      </c>
      <c r="Y65" s="229">
        <v>225.4</v>
      </c>
      <c r="Z65" s="176">
        <v>160381.29999999999</v>
      </c>
      <c r="AA65" s="73">
        <v>207</v>
      </c>
      <c r="AB65" t="s">
        <v>1400</v>
      </c>
      <c r="AC65" t="s">
        <v>1252</v>
      </c>
      <c r="AD65" s="199">
        <v>0.49</v>
      </c>
      <c r="AE65" s="199" t="s">
        <v>1374</v>
      </c>
      <c r="AF65" s="179">
        <v>19.106000000000002</v>
      </c>
      <c r="AG65" s="179">
        <v>257.80500000000001</v>
      </c>
      <c r="AH65" s="179">
        <v>0</v>
      </c>
      <c r="AI65" s="179">
        <v>60.755000000000003</v>
      </c>
      <c r="AJ65" s="179">
        <v>10.989000000000001</v>
      </c>
      <c r="AK65" s="179">
        <v>0</v>
      </c>
      <c r="AL65" s="305">
        <v>7</v>
      </c>
      <c r="AM65" s="306">
        <v>2024</v>
      </c>
      <c r="AN65" s="250" t="s">
        <v>1856</v>
      </c>
    </row>
    <row r="66" spans="1:47">
      <c r="A66" t="s">
        <v>4447</v>
      </c>
      <c r="B66">
        <v>2</v>
      </c>
      <c r="C66" s="308">
        <v>45498</v>
      </c>
      <c r="D66">
        <v>31</v>
      </c>
      <c r="E66" s="173">
        <v>0.90763888888888888</v>
      </c>
      <c r="F66" t="s">
        <v>136</v>
      </c>
      <c r="G66" t="s">
        <v>25</v>
      </c>
      <c r="H66" t="s">
        <v>164</v>
      </c>
      <c r="I66" t="s">
        <v>635</v>
      </c>
      <c r="J66" t="s">
        <v>169</v>
      </c>
      <c r="K66" t="s">
        <v>4443</v>
      </c>
      <c r="L66" t="s">
        <v>108</v>
      </c>
      <c r="M66" t="s">
        <v>1029</v>
      </c>
      <c r="N66">
        <v>967555800</v>
      </c>
      <c r="O66" t="s">
        <v>238</v>
      </c>
      <c r="P66" s="154">
        <v>13030210</v>
      </c>
      <c r="Q66" t="s">
        <v>80</v>
      </c>
      <c r="R66" t="s">
        <v>589</v>
      </c>
      <c r="S66" t="s">
        <v>4442</v>
      </c>
      <c r="T66" t="s">
        <v>4445</v>
      </c>
      <c r="U66" t="s">
        <v>4444</v>
      </c>
      <c r="V66" t="s">
        <v>4446</v>
      </c>
      <c r="W66" t="s">
        <v>101</v>
      </c>
      <c r="X66" t="s">
        <v>156</v>
      </c>
      <c r="Y66" s="229">
        <v>5040</v>
      </c>
      <c r="Z66" s="176">
        <v>137592</v>
      </c>
      <c r="AA66" s="73">
        <v>206</v>
      </c>
      <c r="AB66" t="s">
        <v>1491</v>
      </c>
      <c r="AC66" t="s">
        <v>1291</v>
      </c>
      <c r="AD66" s="199">
        <v>1</v>
      </c>
      <c r="AE66" s="199" t="s">
        <v>1292</v>
      </c>
      <c r="AF66" s="179">
        <v>0</v>
      </c>
      <c r="AG66" s="179">
        <v>0</v>
      </c>
      <c r="AH66" s="179">
        <v>0</v>
      </c>
      <c r="AI66" s="179">
        <v>27.3</v>
      </c>
      <c r="AJ66" s="179">
        <v>0</v>
      </c>
      <c r="AK66" s="179">
        <v>0</v>
      </c>
      <c r="AL66" s="305">
        <v>7</v>
      </c>
      <c r="AM66" s="306">
        <v>2024</v>
      </c>
      <c r="AN66" s="250"/>
    </row>
    <row r="67" spans="1:47">
      <c r="A67" t="s">
        <v>4452</v>
      </c>
      <c r="B67">
        <v>2</v>
      </c>
      <c r="C67" s="308">
        <v>45498</v>
      </c>
      <c r="D67">
        <v>31</v>
      </c>
      <c r="E67" s="173">
        <v>1.6666666666666666E-2</v>
      </c>
      <c r="F67" t="s">
        <v>136</v>
      </c>
      <c r="G67" t="s">
        <v>27</v>
      </c>
      <c r="H67" t="s">
        <v>189</v>
      </c>
      <c r="I67" t="s">
        <v>635</v>
      </c>
      <c r="J67" t="s">
        <v>588</v>
      </c>
      <c r="K67" t="s">
        <v>1059</v>
      </c>
      <c r="L67" t="s">
        <v>108</v>
      </c>
      <c r="M67" t="s">
        <v>1029</v>
      </c>
      <c r="N67">
        <v>967555800</v>
      </c>
      <c r="O67" t="s">
        <v>237</v>
      </c>
      <c r="P67" s="154">
        <v>13030190</v>
      </c>
      <c r="Q67" t="s">
        <v>185</v>
      </c>
      <c r="R67" t="s">
        <v>579</v>
      </c>
      <c r="S67" t="s">
        <v>4448</v>
      </c>
      <c r="T67" t="s">
        <v>4450</v>
      </c>
      <c r="U67" t="s">
        <v>4449</v>
      </c>
      <c r="V67" t="s">
        <v>4451</v>
      </c>
      <c r="W67" t="s">
        <v>101</v>
      </c>
      <c r="X67" t="s">
        <v>156</v>
      </c>
      <c r="Y67" s="229">
        <v>134.63999999999999</v>
      </c>
      <c r="Z67" s="176">
        <v>93303.596571428556</v>
      </c>
      <c r="AA67" s="73">
        <v>207</v>
      </c>
      <c r="AB67" t="s">
        <v>1400</v>
      </c>
      <c r="AC67" t="s">
        <v>1349</v>
      </c>
      <c r="AD67" s="199">
        <v>0.49</v>
      </c>
      <c r="AE67" s="199" t="s">
        <v>1374</v>
      </c>
      <c r="AF67" s="179">
        <v>19</v>
      </c>
      <c r="AG67" s="179">
        <v>259</v>
      </c>
      <c r="AH67" s="179">
        <v>0</v>
      </c>
      <c r="AI67" s="179">
        <v>50.573999999999998</v>
      </c>
      <c r="AJ67" s="179">
        <v>10.989000000000001</v>
      </c>
      <c r="AK67" s="179">
        <v>0</v>
      </c>
      <c r="AL67" s="305">
        <v>7</v>
      </c>
      <c r="AM67" s="306">
        <v>2024</v>
      </c>
      <c r="AN67" s="250"/>
    </row>
    <row r="68" spans="1:47">
      <c r="A68" t="s">
        <v>4441</v>
      </c>
      <c r="B68">
        <v>2</v>
      </c>
      <c r="C68" s="308">
        <v>45498</v>
      </c>
      <c r="D68">
        <v>31</v>
      </c>
      <c r="E68" s="173">
        <v>6.805555555555555E-2</v>
      </c>
      <c r="F68" t="s">
        <v>136</v>
      </c>
      <c r="G68" t="s">
        <v>23</v>
      </c>
      <c r="H68" t="s">
        <v>164</v>
      </c>
      <c r="I68" t="s">
        <v>615</v>
      </c>
      <c r="J68" t="s">
        <v>169</v>
      </c>
      <c r="K68" t="s">
        <v>2402</v>
      </c>
      <c r="L68" t="s">
        <v>108</v>
      </c>
      <c r="M68" t="s">
        <v>1029</v>
      </c>
      <c r="N68">
        <v>967555800</v>
      </c>
      <c r="O68" t="s">
        <v>122</v>
      </c>
      <c r="P68" s="154">
        <v>12001472</v>
      </c>
      <c r="Q68" t="s">
        <v>206</v>
      </c>
      <c r="R68" t="s">
        <v>578</v>
      </c>
      <c r="S68" t="s">
        <v>4438</v>
      </c>
      <c r="T68" t="s">
        <v>4458</v>
      </c>
      <c r="U68" t="s">
        <v>4439</v>
      </c>
      <c r="V68" t="s">
        <v>4440</v>
      </c>
      <c r="W68" t="s">
        <v>101</v>
      </c>
      <c r="X68" t="s">
        <v>102</v>
      </c>
      <c r="Y68" s="229">
        <v>2880</v>
      </c>
      <c r="Z68" s="176">
        <v>0</v>
      </c>
      <c r="AA68" s="73" t="s">
        <v>4562</v>
      </c>
      <c r="AB68" t="s">
        <v>1407</v>
      </c>
      <c r="AC68" t="s">
        <v>1252</v>
      </c>
      <c r="AD68" s="199"/>
      <c r="AE68" s="199"/>
      <c r="AF68" s="179"/>
      <c r="AG68" s="179"/>
      <c r="AH68" s="179"/>
      <c r="AI68" s="179"/>
      <c r="AJ68" s="179"/>
      <c r="AK68" s="179"/>
      <c r="AL68" s="305">
        <v>7</v>
      </c>
      <c r="AM68" s="306">
        <v>2024</v>
      </c>
      <c r="AN68" s="250" t="s">
        <v>1611</v>
      </c>
    </row>
    <row r="69" spans="1:47">
      <c r="A69" t="s">
        <v>4436</v>
      </c>
      <c r="B69">
        <v>2</v>
      </c>
      <c r="C69" s="308">
        <v>45497</v>
      </c>
      <c r="D69">
        <v>31</v>
      </c>
      <c r="E69" s="173">
        <v>0.70833333333333337</v>
      </c>
      <c r="F69" t="s">
        <v>109</v>
      </c>
      <c r="G69" t="s">
        <v>23</v>
      </c>
      <c r="H69" t="s">
        <v>164</v>
      </c>
      <c r="I69" t="s">
        <v>259</v>
      </c>
      <c r="J69" t="s">
        <v>607</v>
      </c>
      <c r="K69" t="s">
        <v>2256</v>
      </c>
      <c r="L69" t="s">
        <v>108</v>
      </c>
      <c r="M69" t="s">
        <v>1029</v>
      </c>
      <c r="N69">
        <v>967555800</v>
      </c>
      <c r="O69" t="s">
        <v>285</v>
      </c>
      <c r="P69" s="154">
        <v>13030597</v>
      </c>
      <c r="Q69" t="s">
        <v>185</v>
      </c>
      <c r="R69" t="s">
        <v>620</v>
      </c>
      <c r="S69" t="s">
        <v>4432</v>
      </c>
      <c r="T69" t="s">
        <v>4434</v>
      </c>
      <c r="U69" t="s">
        <v>4433</v>
      </c>
      <c r="V69" t="s">
        <v>4435</v>
      </c>
      <c r="W69" t="s">
        <v>101</v>
      </c>
      <c r="X69" t="s">
        <v>156</v>
      </c>
      <c r="Y69" s="229">
        <v>960</v>
      </c>
      <c r="Z69" s="176">
        <v>99552</v>
      </c>
      <c r="AA69" s="73">
        <v>206</v>
      </c>
      <c r="AB69" t="s">
        <v>1459</v>
      </c>
      <c r="AC69" t="s">
        <v>1252</v>
      </c>
      <c r="AD69" s="199">
        <v>1</v>
      </c>
      <c r="AE69" s="199" t="s">
        <v>1292</v>
      </c>
      <c r="AF69" s="179">
        <v>0</v>
      </c>
      <c r="AG69" s="179">
        <v>0</v>
      </c>
      <c r="AH69" s="179">
        <v>0</v>
      </c>
      <c r="AI69" s="179">
        <v>103.7</v>
      </c>
      <c r="AJ69" s="179">
        <v>0</v>
      </c>
      <c r="AK69" s="179">
        <v>0</v>
      </c>
      <c r="AL69" s="305">
        <v>7</v>
      </c>
      <c r="AM69" s="306">
        <v>2024</v>
      </c>
      <c r="AN69" s="250" t="s">
        <v>1498</v>
      </c>
    </row>
    <row r="70" spans="1:47">
      <c r="A70" t="s">
        <v>4431</v>
      </c>
      <c r="B70">
        <v>2</v>
      </c>
      <c r="C70" s="308">
        <v>45496</v>
      </c>
      <c r="D70">
        <v>31</v>
      </c>
      <c r="E70" s="173">
        <v>2.4305555555555556E-2</v>
      </c>
      <c r="F70" t="s">
        <v>136</v>
      </c>
      <c r="G70" t="s">
        <v>27</v>
      </c>
      <c r="H70" t="s">
        <v>189</v>
      </c>
      <c r="I70" t="s">
        <v>635</v>
      </c>
      <c r="J70" t="s">
        <v>588</v>
      </c>
      <c r="K70" t="s">
        <v>1059</v>
      </c>
      <c r="L70" t="s">
        <v>108</v>
      </c>
      <c r="M70" t="s">
        <v>1029</v>
      </c>
      <c r="N70">
        <v>967555800</v>
      </c>
      <c r="O70" t="s">
        <v>217</v>
      </c>
      <c r="P70" s="154">
        <v>13030104</v>
      </c>
      <c r="Q70" t="s">
        <v>185</v>
      </c>
      <c r="R70" t="s">
        <v>600</v>
      </c>
      <c r="S70" t="s">
        <v>4427</v>
      </c>
      <c r="T70" t="s">
        <v>4429</v>
      </c>
      <c r="U70" t="s">
        <v>4428</v>
      </c>
      <c r="V70" t="s">
        <v>4430</v>
      </c>
      <c r="W70" t="s">
        <v>101</v>
      </c>
      <c r="X70" t="s">
        <v>129</v>
      </c>
      <c r="Y70" s="229">
        <v>11.96</v>
      </c>
      <c r="Z70" s="176">
        <v>8876.1832421052659</v>
      </c>
      <c r="AA70" s="73">
        <v>205</v>
      </c>
      <c r="AB70" t="s">
        <v>1459</v>
      </c>
      <c r="AC70" t="s">
        <v>1252</v>
      </c>
      <c r="AD70" s="199">
        <v>0.47499999999999998</v>
      </c>
      <c r="AE70" s="199" t="s">
        <v>1374</v>
      </c>
      <c r="AF70" s="179">
        <v>20.061</v>
      </c>
      <c r="AG70" s="179">
        <v>252.61600000000001</v>
      </c>
      <c r="AH70" s="179">
        <v>0</v>
      </c>
      <c r="AI70" s="179">
        <v>58.521999999999998</v>
      </c>
      <c r="AJ70" s="179">
        <v>21.324999999999999</v>
      </c>
      <c r="AK70" s="179">
        <v>0</v>
      </c>
      <c r="AL70" s="305">
        <v>7</v>
      </c>
      <c r="AM70" s="306">
        <v>2024</v>
      </c>
      <c r="AN70" s="250" t="s">
        <v>1498</v>
      </c>
    </row>
    <row r="71" spans="1:47">
      <c r="A71" t="s">
        <v>4425</v>
      </c>
      <c r="B71">
        <v>2</v>
      </c>
      <c r="C71" s="308">
        <v>45495</v>
      </c>
      <c r="D71">
        <v>31</v>
      </c>
      <c r="E71" s="173">
        <v>0.53194444444444444</v>
      </c>
      <c r="F71" t="s">
        <v>78</v>
      </c>
      <c r="G71" t="s">
        <v>27</v>
      </c>
      <c r="H71" t="s">
        <v>81</v>
      </c>
      <c r="I71" t="s">
        <v>87</v>
      </c>
      <c r="J71" t="s">
        <v>633</v>
      </c>
      <c r="K71" t="s">
        <v>4421</v>
      </c>
      <c r="L71" t="s">
        <v>77</v>
      </c>
      <c r="M71" t="s">
        <v>695</v>
      </c>
      <c r="N71">
        <v>5920758</v>
      </c>
      <c r="O71" t="s">
        <v>514</v>
      </c>
      <c r="P71" s="154">
        <v>10003474</v>
      </c>
      <c r="Q71" t="s">
        <v>206</v>
      </c>
      <c r="R71" t="s">
        <v>110</v>
      </c>
      <c r="S71" t="s">
        <v>4420</v>
      </c>
      <c r="T71" t="s">
        <v>4423</v>
      </c>
      <c r="U71" t="s">
        <v>4422</v>
      </c>
      <c r="V71" t="s">
        <v>4424</v>
      </c>
      <c r="W71" t="s">
        <v>101</v>
      </c>
      <c r="X71" t="s">
        <v>3210</v>
      </c>
      <c r="Y71" s="229">
        <v>370</v>
      </c>
      <c r="Z71" s="176">
        <v>0</v>
      </c>
      <c r="AA71" s="73">
        <v>141</v>
      </c>
      <c r="AB71" t="s">
        <v>2727</v>
      </c>
      <c r="AC71" t="s">
        <v>39</v>
      </c>
      <c r="AD71" s="199"/>
      <c r="AE71" s="199"/>
      <c r="AF71" s="179"/>
      <c r="AG71" s="179"/>
      <c r="AH71" s="179"/>
      <c r="AI71" s="179"/>
      <c r="AJ71" s="179"/>
      <c r="AK71" s="179"/>
      <c r="AL71" s="305">
        <v>7</v>
      </c>
      <c r="AM71" s="306">
        <v>2024</v>
      </c>
      <c r="AN71" s="250"/>
    </row>
    <row r="72" spans="1:47">
      <c r="A72" t="s">
        <v>4419</v>
      </c>
      <c r="B72">
        <v>2</v>
      </c>
      <c r="C72" s="308">
        <v>45492</v>
      </c>
      <c r="D72">
        <v>30</v>
      </c>
      <c r="E72" s="173">
        <v>0.46875</v>
      </c>
      <c r="F72" t="s">
        <v>78</v>
      </c>
      <c r="G72" t="s">
        <v>29</v>
      </c>
      <c r="H72" t="s">
        <v>166</v>
      </c>
      <c r="I72" t="s">
        <v>635</v>
      </c>
      <c r="J72" t="s">
        <v>588</v>
      </c>
      <c r="K72" t="s">
        <v>4415</v>
      </c>
      <c r="L72" t="s">
        <v>108</v>
      </c>
      <c r="M72" t="s">
        <v>1029</v>
      </c>
      <c r="N72">
        <v>967555800</v>
      </c>
      <c r="O72" t="s">
        <v>146</v>
      </c>
      <c r="P72" s="154">
        <v>12001436</v>
      </c>
      <c r="Q72" t="s">
        <v>138</v>
      </c>
      <c r="R72" t="s">
        <v>589</v>
      </c>
      <c r="S72" t="s">
        <v>4414</v>
      </c>
      <c r="T72" t="s">
        <v>4417</v>
      </c>
      <c r="U72" t="s">
        <v>4416</v>
      </c>
      <c r="V72" t="s">
        <v>4418</v>
      </c>
      <c r="W72" t="s">
        <v>101</v>
      </c>
      <c r="X72" t="s">
        <v>102</v>
      </c>
      <c r="Y72" s="229">
        <v>1866.25</v>
      </c>
      <c r="Z72" s="176">
        <v>0</v>
      </c>
      <c r="AA72" s="73">
        <v>201</v>
      </c>
      <c r="AD72" s="199"/>
      <c r="AE72" s="199"/>
      <c r="AF72" s="179"/>
      <c r="AG72" s="179"/>
      <c r="AH72" s="179"/>
      <c r="AI72" s="179"/>
      <c r="AJ72" s="179"/>
      <c r="AK72" s="179"/>
      <c r="AL72" s="305">
        <v>7</v>
      </c>
      <c r="AM72" s="306">
        <v>2024</v>
      </c>
      <c r="AN72" s="250"/>
    </row>
    <row r="73" spans="1:47">
      <c r="A73" t="s">
        <v>4404</v>
      </c>
      <c r="B73">
        <v>2</v>
      </c>
      <c r="C73" s="72">
        <v>45489</v>
      </c>
      <c r="D73">
        <v>30</v>
      </c>
      <c r="E73" s="173">
        <v>0.41111111111111109</v>
      </c>
      <c r="F73" t="s">
        <v>78</v>
      </c>
      <c r="G73" t="s">
        <v>26</v>
      </c>
      <c r="H73" t="s">
        <v>165</v>
      </c>
      <c r="I73" t="s">
        <v>212</v>
      </c>
      <c r="J73" t="s">
        <v>169</v>
      </c>
      <c r="K73" t="s">
        <v>1524</v>
      </c>
      <c r="L73" t="s">
        <v>108</v>
      </c>
      <c r="M73" t="s">
        <v>1029</v>
      </c>
      <c r="N73">
        <v>967555800</v>
      </c>
      <c r="O73" t="s">
        <v>753</v>
      </c>
      <c r="P73" s="154">
        <v>13030301</v>
      </c>
      <c r="Q73" t="s">
        <v>138</v>
      </c>
      <c r="R73" t="s">
        <v>589</v>
      </c>
      <c r="S73" t="s">
        <v>4405</v>
      </c>
      <c r="T73" t="s">
        <v>4406</v>
      </c>
      <c r="U73" t="s">
        <v>4407</v>
      </c>
      <c r="V73" t="s">
        <v>4408</v>
      </c>
      <c r="W73" t="s">
        <v>101</v>
      </c>
      <c r="X73" t="s">
        <v>102</v>
      </c>
      <c r="Y73" s="229">
        <v>2625</v>
      </c>
      <c r="Z73" s="176">
        <v>0</v>
      </c>
      <c r="AA73" s="73">
        <v>196</v>
      </c>
      <c r="AB73" t="s">
        <v>1356</v>
      </c>
      <c r="AC73" t="s">
        <v>1349</v>
      </c>
      <c r="AD73" s="199"/>
      <c r="AE73" s="199"/>
      <c r="AF73" s="179"/>
      <c r="AG73" s="179"/>
      <c r="AH73" s="179"/>
      <c r="AI73" s="179"/>
      <c r="AJ73" s="179"/>
      <c r="AK73" s="179"/>
      <c r="AL73" s="305">
        <v>7</v>
      </c>
      <c r="AM73" s="306">
        <v>2024</v>
      </c>
      <c r="AN73" s="250"/>
    </row>
    <row r="74" spans="1:47">
      <c r="A74" t="s">
        <v>4403</v>
      </c>
      <c r="B74">
        <v>2</v>
      </c>
      <c r="C74" s="72">
        <v>45488</v>
      </c>
      <c r="D74">
        <v>30</v>
      </c>
      <c r="E74" s="173">
        <v>0.4548611111111111</v>
      </c>
      <c r="F74" t="s">
        <v>78</v>
      </c>
      <c r="G74" t="s">
        <v>31</v>
      </c>
      <c r="H74" t="s">
        <v>84</v>
      </c>
      <c r="I74" t="s">
        <v>635</v>
      </c>
      <c r="J74" t="s">
        <v>169</v>
      </c>
      <c r="K74" t="s">
        <v>3599</v>
      </c>
      <c r="L74" t="s">
        <v>108</v>
      </c>
      <c r="M74" t="s">
        <v>1029</v>
      </c>
      <c r="N74">
        <v>967555800</v>
      </c>
      <c r="O74" t="s">
        <v>200</v>
      </c>
      <c r="P74" s="154">
        <v>13030428</v>
      </c>
      <c r="Q74" t="s">
        <v>138</v>
      </c>
      <c r="R74" t="s">
        <v>589</v>
      </c>
      <c r="S74" t="s">
        <v>4399</v>
      </c>
      <c r="T74" t="s">
        <v>4401</v>
      </c>
      <c r="U74" t="s">
        <v>4400</v>
      </c>
      <c r="V74" t="s">
        <v>4402</v>
      </c>
      <c r="W74" t="s">
        <v>101</v>
      </c>
      <c r="X74" t="s">
        <v>156</v>
      </c>
      <c r="Y74" s="229">
        <v>116.16</v>
      </c>
      <c r="Z74" s="176">
        <v>35697.245759999998</v>
      </c>
      <c r="AA74" s="73">
        <v>195</v>
      </c>
      <c r="AB74" t="s">
        <v>1290</v>
      </c>
      <c r="AC74" t="s">
        <v>1252</v>
      </c>
      <c r="AD74" s="199">
        <v>1</v>
      </c>
      <c r="AE74" s="199" t="s">
        <v>1292</v>
      </c>
      <c r="AF74" s="179">
        <v>3.0670000000000002</v>
      </c>
      <c r="AG74" s="179">
        <v>159.501</v>
      </c>
      <c r="AH74" s="179">
        <v>0</v>
      </c>
      <c r="AI74" s="179">
        <v>143.51499999999999</v>
      </c>
      <c r="AJ74" s="179">
        <v>1.228</v>
      </c>
      <c r="AK74" s="179"/>
      <c r="AL74" s="305">
        <v>7</v>
      </c>
      <c r="AM74" s="306">
        <v>2024</v>
      </c>
      <c r="AN74" s="250" t="s">
        <v>1498</v>
      </c>
    </row>
    <row r="75" spans="1:47">
      <c r="A75" t="s">
        <v>1027</v>
      </c>
      <c r="B75">
        <v>2</v>
      </c>
      <c r="C75" s="72">
        <v>45603</v>
      </c>
      <c r="D75">
        <v>29</v>
      </c>
      <c r="E75" s="173">
        <v>0.39930555555555558</v>
      </c>
      <c r="F75" t="s">
        <v>78</v>
      </c>
      <c r="G75" t="s">
        <v>28</v>
      </c>
      <c r="H75" t="s">
        <v>165</v>
      </c>
      <c r="I75" t="s">
        <v>259</v>
      </c>
      <c r="J75" t="s">
        <v>612</v>
      </c>
      <c r="K75" t="s">
        <v>1028</v>
      </c>
      <c r="L75" t="s">
        <v>108</v>
      </c>
      <c r="M75" t="s">
        <v>1029</v>
      </c>
      <c r="N75">
        <v>967555800</v>
      </c>
      <c r="O75" t="s">
        <v>362</v>
      </c>
      <c r="P75" s="154">
        <v>12001369</v>
      </c>
      <c r="Q75" t="s">
        <v>138</v>
      </c>
      <c r="R75" t="s">
        <v>589</v>
      </c>
      <c r="S75" t="s">
        <v>1030</v>
      </c>
      <c r="T75" t="s">
        <v>1031</v>
      </c>
      <c r="U75" t="s">
        <v>1032</v>
      </c>
      <c r="V75" t="s">
        <v>1033</v>
      </c>
      <c r="W75" t="s">
        <v>101</v>
      </c>
      <c r="X75" t="s">
        <v>102</v>
      </c>
      <c r="Y75" s="229">
        <v>902.4</v>
      </c>
      <c r="Z75" s="176">
        <v>0</v>
      </c>
      <c r="AA75" s="73">
        <v>193</v>
      </c>
      <c r="AB75" t="s">
        <v>1356</v>
      </c>
      <c r="AC75" t="s">
        <v>1349</v>
      </c>
      <c r="AD75" s="199"/>
      <c r="AE75" s="199"/>
      <c r="AF75" s="179"/>
      <c r="AG75" s="179"/>
      <c r="AH75" s="179"/>
      <c r="AI75" s="179"/>
      <c r="AJ75" s="179"/>
      <c r="AK75" s="179"/>
      <c r="AL75" s="305">
        <v>7</v>
      </c>
      <c r="AM75" s="306">
        <v>2024</v>
      </c>
      <c r="AN75" s="250"/>
    </row>
    <row r="76" spans="1:47">
      <c r="A76" t="s">
        <v>1034</v>
      </c>
      <c r="B76">
        <v>2</v>
      </c>
      <c r="C76" s="72">
        <v>45603</v>
      </c>
      <c r="D76">
        <v>29</v>
      </c>
      <c r="E76" s="173">
        <v>0.87916666666666665</v>
      </c>
      <c r="F76" t="s">
        <v>136</v>
      </c>
      <c r="G76" t="s">
        <v>28</v>
      </c>
      <c r="H76" t="s">
        <v>81</v>
      </c>
      <c r="I76" t="s">
        <v>87</v>
      </c>
      <c r="J76" t="s">
        <v>633</v>
      </c>
      <c r="K76" t="s">
        <v>1035</v>
      </c>
      <c r="L76" t="s">
        <v>77</v>
      </c>
      <c r="M76" t="s">
        <v>683</v>
      </c>
      <c r="N76">
        <v>96565810</v>
      </c>
      <c r="O76" t="s">
        <v>861</v>
      </c>
      <c r="P76" s="154">
        <v>11000060</v>
      </c>
      <c r="Q76" t="s">
        <v>138</v>
      </c>
      <c r="R76" t="s">
        <v>79</v>
      </c>
      <c r="S76" t="s">
        <v>1036</v>
      </c>
      <c r="T76" t="s">
        <v>1037</v>
      </c>
      <c r="U76" t="s">
        <v>1038</v>
      </c>
      <c r="V76" t="s">
        <v>1039</v>
      </c>
      <c r="W76" t="s">
        <v>101</v>
      </c>
      <c r="X76" t="s">
        <v>1040</v>
      </c>
      <c r="Y76" s="229">
        <v>350</v>
      </c>
      <c r="Z76" s="176">
        <v>0</v>
      </c>
      <c r="AA76" s="73" t="s">
        <v>1041</v>
      </c>
      <c r="AB76" t="s">
        <v>2727</v>
      </c>
      <c r="AC76" t="s">
        <v>39</v>
      </c>
      <c r="AD76" s="199"/>
      <c r="AE76" s="199"/>
      <c r="AF76" s="179"/>
      <c r="AG76" s="179"/>
      <c r="AH76" s="179"/>
      <c r="AI76" s="179"/>
      <c r="AJ76" s="179"/>
      <c r="AK76" s="179"/>
      <c r="AL76" s="305">
        <v>7</v>
      </c>
      <c r="AM76" s="306">
        <v>2024</v>
      </c>
      <c r="AN76" s="250"/>
    </row>
    <row r="77" spans="1:47">
      <c r="A77" t="s">
        <v>1042</v>
      </c>
      <c r="B77">
        <v>2</v>
      </c>
      <c r="C77" s="72">
        <v>45542</v>
      </c>
      <c r="D77">
        <v>29</v>
      </c>
      <c r="E77" s="173">
        <v>0.4826388888888889</v>
      </c>
      <c r="F77" t="s">
        <v>78</v>
      </c>
      <c r="G77" t="s">
        <v>22</v>
      </c>
      <c r="H77" t="s">
        <v>81</v>
      </c>
      <c r="I77" t="s">
        <v>248</v>
      </c>
      <c r="J77" t="s">
        <v>607</v>
      </c>
      <c r="K77" t="s">
        <v>1043</v>
      </c>
      <c r="L77" t="s">
        <v>77</v>
      </c>
      <c r="M77" t="s">
        <v>720</v>
      </c>
      <c r="N77">
        <v>90060000</v>
      </c>
      <c r="O77" t="s">
        <v>860</v>
      </c>
      <c r="P77" s="154">
        <v>10004283</v>
      </c>
      <c r="Q77" t="s">
        <v>80</v>
      </c>
      <c r="R77" t="s">
        <v>608</v>
      </c>
      <c r="S77" t="s">
        <v>1044</v>
      </c>
      <c r="T77" t="s">
        <v>4465</v>
      </c>
      <c r="U77" t="s">
        <v>1045</v>
      </c>
      <c r="V77" t="s">
        <v>1046</v>
      </c>
      <c r="W77" t="s">
        <v>101</v>
      </c>
      <c r="X77" t="s">
        <v>129</v>
      </c>
      <c r="Y77" s="229">
        <v>20</v>
      </c>
      <c r="Z77" s="176">
        <v>0</v>
      </c>
      <c r="AA77" s="73">
        <v>40624501</v>
      </c>
      <c r="AB77" t="s">
        <v>2727</v>
      </c>
      <c r="AC77" t="s">
        <v>1252</v>
      </c>
      <c r="AD77" s="199"/>
      <c r="AE77" s="199"/>
      <c r="AF77" s="179"/>
      <c r="AG77" s="179"/>
      <c r="AH77" s="179"/>
      <c r="AI77" s="179"/>
      <c r="AJ77" s="179"/>
      <c r="AK77" s="179"/>
      <c r="AL77" s="305">
        <v>7</v>
      </c>
      <c r="AM77" s="306">
        <v>2024</v>
      </c>
      <c r="AN77" s="250" t="s">
        <v>3271</v>
      </c>
      <c r="AP77" t="str">
        <f>IF(BD_Bloqueados[[#This Row],[Analista ]]&lt;&gt;"Ana C",MID(BD_Bloqueados[[#This Row],[ID]],3,5),MID(BD_Bloqueados[[#This Row],[ID]],4,5))</f>
        <v>19124</v>
      </c>
      <c r="AQ77">
        <v>198</v>
      </c>
      <c r="AR77">
        <v>2024</v>
      </c>
      <c r="AS77" s="72">
        <v>45292</v>
      </c>
      <c r="AT77" s="72">
        <v>45489</v>
      </c>
      <c r="AU77">
        <v>7</v>
      </c>
    </row>
    <row r="78" spans="1:47">
      <c r="A78" t="s">
        <v>1047</v>
      </c>
      <c r="B78">
        <v>2</v>
      </c>
      <c r="C78" s="72">
        <v>45542</v>
      </c>
      <c r="D78">
        <v>29</v>
      </c>
      <c r="E78" s="173">
        <v>0.45833333333333331</v>
      </c>
      <c r="F78" t="s">
        <v>78</v>
      </c>
      <c r="G78" t="s">
        <v>27</v>
      </c>
      <c r="H78" t="s">
        <v>209</v>
      </c>
      <c r="I78" t="s">
        <v>212</v>
      </c>
      <c r="J78" t="s">
        <v>595</v>
      </c>
      <c r="K78" t="s">
        <v>1048</v>
      </c>
      <c r="L78" t="s">
        <v>77</v>
      </c>
      <c r="M78" t="s">
        <v>625</v>
      </c>
      <c r="N78">
        <v>77051060</v>
      </c>
      <c r="O78" t="s">
        <v>996</v>
      </c>
      <c r="P78" s="154">
        <v>11002020</v>
      </c>
      <c r="Q78" t="s">
        <v>206</v>
      </c>
      <c r="R78" t="s">
        <v>584</v>
      </c>
      <c r="S78" t="s">
        <v>1049</v>
      </c>
      <c r="T78" t="s">
        <v>4437</v>
      </c>
      <c r="U78" t="s">
        <v>1050</v>
      </c>
      <c r="V78" t="s">
        <v>1051</v>
      </c>
      <c r="W78" t="s">
        <v>101</v>
      </c>
      <c r="X78" t="s">
        <v>1291</v>
      </c>
      <c r="Y78" s="229"/>
      <c r="Z78" s="176">
        <v>0</v>
      </c>
      <c r="AA78" s="73">
        <v>20479602</v>
      </c>
      <c r="AB78" t="s">
        <v>2727</v>
      </c>
      <c r="AC78" t="s">
        <v>1629</v>
      </c>
      <c r="AD78" s="199"/>
      <c r="AE78" s="199"/>
      <c r="AF78" s="179"/>
      <c r="AG78" s="179"/>
      <c r="AH78" s="179"/>
      <c r="AI78" s="179"/>
      <c r="AJ78" s="179"/>
      <c r="AK78" s="179"/>
      <c r="AL78" s="305">
        <v>7</v>
      </c>
      <c r="AM78" s="306">
        <v>2024</v>
      </c>
      <c r="AN78" s="250"/>
      <c r="AP78" t="str">
        <f>IF(BD_Bloqueados[[#This Row],[Analista ]]&lt;&gt;"Ana C",MID(BD_Bloqueados[[#This Row],[ID]],3,5),MID(BD_Bloqueados[[#This Row],[ID]],4,5))</f>
        <v>19124</v>
      </c>
      <c r="AQ78">
        <v>197</v>
      </c>
      <c r="AR78">
        <v>2024</v>
      </c>
      <c r="AS78" s="72">
        <v>45292</v>
      </c>
      <c r="AT78" s="72">
        <v>45488</v>
      </c>
      <c r="AU78">
        <v>7</v>
      </c>
    </row>
    <row r="79" spans="1:47">
      <c r="A79" t="s">
        <v>1052</v>
      </c>
      <c r="B79">
        <v>2</v>
      </c>
      <c r="C79" s="72">
        <v>45511</v>
      </c>
      <c r="D79">
        <v>29</v>
      </c>
      <c r="E79" s="173">
        <v>0.68194444444444446</v>
      </c>
      <c r="F79" t="s">
        <v>109</v>
      </c>
      <c r="G79" t="s">
        <v>31</v>
      </c>
      <c r="H79" t="s">
        <v>84</v>
      </c>
      <c r="I79" t="s">
        <v>635</v>
      </c>
      <c r="J79" t="s">
        <v>169</v>
      </c>
      <c r="K79" t="s">
        <v>1053</v>
      </c>
      <c r="L79" t="s">
        <v>108</v>
      </c>
      <c r="M79" t="s">
        <v>1029</v>
      </c>
      <c r="N79">
        <v>967555800</v>
      </c>
      <c r="O79" t="s">
        <v>200</v>
      </c>
      <c r="P79" s="154">
        <v>13030428</v>
      </c>
      <c r="Q79" t="s">
        <v>80</v>
      </c>
      <c r="R79" t="s">
        <v>110</v>
      </c>
      <c r="S79" t="s">
        <v>1054</v>
      </c>
      <c r="T79" t="s">
        <v>1055</v>
      </c>
      <c r="U79" t="s">
        <v>1056</v>
      </c>
      <c r="V79" t="s">
        <v>1057</v>
      </c>
      <c r="W79" t="s">
        <v>101</v>
      </c>
      <c r="X79" t="s">
        <v>156</v>
      </c>
      <c r="Y79" s="229">
        <v>1425</v>
      </c>
      <c r="Z79" s="176"/>
      <c r="AA79">
        <v>190</v>
      </c>
      <c r="AD79" s="199"/>
      <c r="AE79" s="199"/>
      <c r="AF79" s="179"/>
      <c r="AG79" s="179"/>
      <c r="AH79" s="179"/>
      <c r="AI79" s="179"/>
      <c r="AJ79" s="179"/>
      <c r="AK79" s="179"/>
      <c r="AL79" s="305">
        <v>7</v>
      </c>
      <c r="AM79" s="306">
        <v>2024</v>
      </c>
      <c r="AN79" s="250"/>
      <c r="AP79" t="str">
        <f>IF(BD_Bloqueados[[#This Row],[Analista ]]&lt;&gt;"Ana C",MID(BD_Bloqueados[[#This Row],[ID]],3,5),MID(BD_Bloqueados[[#This Row],[ID]],4,5))</f>
        <v>19024</v>
      </c>
      <c r="AQ79">
        <v>193</v>
      </c>
      <c r="AR79">
        <v>2024</v>
      </c>
      <c r="AS79" s="72">
        <v>45292</v>
      </c>
      <c r="AT79" s="72">
        <v>45484</v>
      </c>
      <c r="AU79">
        <v>7</v>
      </c>
    </row>
    <row r="80" spans="1:47">
      <c r="A80" t="s">
        <v>1058</v>
      </c>
      <c r="B80">
        <v>2</v>
      </c>
      <c r="C80" s="72">
        <v>45450</v>
      </c>
      <c r="D80">
        <v>28</v>
      </c>
      <c r="E80" s="173">
        <v>0.97222222222222221</v>
      </c>
      <c r="F80" t="s">
        <v>136</v>
      </c>
      <c r="G80" t="s">
        <v>27</v>
      </c>
      <c r="H80" t="s">
        <v>189</v>
      </c>
      <c r="I80" t="s">
        <v>635</v>
      </c>
      <c r="J80" t="s">
        <v>588</v>
      </c>
      <c r="K80" t="s">
        <v>1059</v>
      </c>
      <c r="L80" t="s">
        <v>108</v>
      </c>
      <c r="M80" t="s">
        <v>1029</v>
      </c>
      <c r="N80">
        <v>967555800</v>
      </c>
      <c r="O80" t="s">
        <v>771</v>
      </c>
      <c r="P80" s="154">
        <v>13030094</v>
      </c>
      <c r="Q80" t="s">
        <v>185</v>
      </c>
      <c r="R80" t="s">
        <v>579</v>
      </c>
      <c r="S80" t="s">
        <v>1060</v>
      </c>
      <c r="T80" t="s">
        <v>1061</v>
      </c>
      <c r="U80" t="s">
        <v>1062</v>
      </c>
      <c r="V80" t="s">
        <v>1063</v>
      </c>
      <c r="W80" t="s">
        <v>101</v>
      </c>
      <c r="X80" t="s">
        <v>156</v>
      </c>
      <c r="Y80" s="229">
        <v>18.942</v>
      </c>
      <c r="Z80" s="176">
        <v>20239.347549473685</v>
      </c>
      <c r="AA80" s="73">
        <v>187</v>
      </c>
      <c r="AB80" t="s">
        <v>1400</v>
      </c>
      <c r="AC80" t="s">
        <v>1349</v>
      </c>
      <c r="AD80" s="199">
        <v>0.47499999999999998</v>
      </c>
      <c r="AE80" s="199" t="s">
        <v>1374</v>
      </c>
      <c r="AF80" s="179">
        <v>31.8</v>
      </c>
      <c r="AG80" s="179">
        <v>258.30900000000003</v>
      </c>
      <c r="AH80" s="179">
        <v>149.02199999999999</v>
      </c>
      <c r="AI80" s="179">
        <v>56.192</v>
      </c>
      <c r="AJ80" s="179">
        <v>12.21</v>
      </c>
      <c r="AK80" s="179">
        <v>0</v>
      </c>
      <c r="AL80" s="305">
        <v>7</v>
      </c>
      <c r="AM80" s="306">
        <v>2024</v>
      </c>
      <c r="AN80" s="250"/>
      <c r="AP80" t="str">
        <f>IF(BD_Bloqueados[[#This Row],[Analista ]]&lt;&gt;"Ana C",MID(BD_Bloqueados[[#This Row],[ID]],3,5),MID(BD_Bloqueados[[#This Row],[ID]],4,5))</f>
        <v>18824</v>
      </c>
      <c r="AQ80">
        <v>191</v>
      </c>
      <c r="AR80">
        <v>2024</v>
      </c>
      <c r="AS80" s="72">
        <v>45292</v>
      </c>
      <c r="AT80" s="72">
        <v>45482</v>
      </c>
      <c r="AU80">
        <v>7</v>
      </c>
    </row>
    <row r="81" spans="1:47">
      <c r="A81" t="s">
        <v>1088</v>
      </c>
      <c r="B81">
        <v>2</v>
      </c>
      <c r="C81" s="72">
        <v>45419</v>
      </c>
      <c r="D81">
        <v>28</v>
      </c>
      <c r="E81" s="173">
        <v>0.99236111111111114</v>
      </c>
      <c r="F81" t="s">
        <v>136</v>
      </c>
      <c r="G81" t="s">
        <v>27</v>
      </c>
      <c r="H81" t="s">
        <v>209</v>
      </c>
      <c r="I81" t="s">
        <v>635</v>
      </c>
      <c r="J81" t="s">
        <v>588</v>
      </c>
      <c r="K81" t="s">
        <v>1089</v>
      </c>
      <c r="L81" t="s">
        <v>108</v>
      </c>
      <c r="M81" t="s">
        <v>1029</v>
      </c>
      <c r="N81">
        <v>967555800</v>
      </c>
      <c r="O81" t="s">
        <v>99</v>
      </c>
      <c r="P81" s="154">
        <v>13001756</v>
      </c>
      <c r="Q81" t="s">
        <v>138</v>
      </c>
      <c r="R81" t="s">
        <v>589</v>
      </c>
      <c r="S81" t="s">
        <v>1090</v>
      </c>
      <c r="T81" t="s">
        <v>1091</v>
      </c>
      <c r="U81" t="s">
        <v>1092</v>
      </c>
      <c r="V81" t="s">
        <v>1093</v>
      </c>
      <c r="W81" t="s">
        <v>101</v>
      </c>
      <c r="X81" t="s">
        <v>156</v>
      </c>
      <c r="Y81" s="229">
        <v>324</v>
      </c>
      <c r="Z81" s="176">
        <v>94413.6</v>
      </c>
      <c r="AA81">
        <v>186</v>
      </c>
      <c r="AB81" t="s">
        <v>1714</v>
      </c>
      <c r="AC81" t="s">
        <v>1252</v>
      </c>
      <c r="AD81" s="199">
        <v>1</v>
      </c>
      <c r="AE81" s="199" t="s">
        <v>1292</v>
      </c>
      <c r="AF81" s="179">
        <v>16.3</v>
      </c>
      <c r="AG81" s="179">
        <v>112.1</v>
      </c>
      <c r="AH81" s="179">
        <v>0</v>
      </c>
      <c r="AI81" s="179">
        <v>161.19999999999999</v>
      </c>
      <c r="AJ81" s="179">
        <v>1.8</v>
      </c>
      <c r="AK81" s="179">
        <v>0</v>
      </c>
      <c r="AL81" s="305">
        <v>7</v>
      </c>
      <c r="AM81" s="306">
        <v>2024</v>
      </c>
      <c r="AN81" s="250" t="s">
        <v>4564</v>
      </c>
      <c r="AP81" t="str">
        <f>IF(BD_Bloqueados[[#This Row],[Analista ]]&lt;&gt;"Ana C",MID(BD_Bloqueados[[#This Row],[ID]],3,5),MID(BD_Bloqueados[[#This Row],[ID]],4,5))</f>
        <v>18724</v>
      </c>
      <c r="AQ81">
        <v>191</v>
      </c>
      <c r="AR81">
        <v>2024</v>
      </c>
      <c r="AS81" s="72">
        <v>45292</v>
      </c>
      <c r="AT81" s="72">
        <v>45482</v>
      </c>
      <c r="AU81">
        <v>7</v>
      </c>
    </row>
    <row r="82" spans="1:47">
      <c r="A82" t="s">
        <v>1064</v>
      </c>
      <c r="B82">
        <v>2</v>
      </c>
      <c r="C82" s="72">
        <v>45419</v>
      </c>
      <c r="D82">
        <v>28</v>
      </c>
      <c r="E82" s="173">
        <v>0.15</v>
      </c>
      <c r="F82" t="s">
        <v>136</v>
      </c>
      <c r="G82" t="s">
        <v>32</v>
      </c>
      <c r="H82" t="s">
        <v>85</v>
      </c>
      <c r="I82" t="s">
        <v>212</v>
      </c>
      <c r="J82" t="s">
        <v>169</v>
      </c>
      <c r="K82" t="s">
        <v>1065</v>
      </c>
      <c r="L82" t="s">
        <v>108</v>
      </c>
      <c r="M82" t="s">
        <v>1029</v>
      </c>
      <c r="N82">
        <v>967555800</v>
      </c>
      <c r="O82" t="s">
        <v>200</v>
      </c>
      <c r="P82" s="154">
        <v>13030428</v>
      </c>
      <c r="Q82" t="s">
        <v>138</v>
      </c>
      <c r="R82" t="s">
        <v>589</v>
      </c>
      <c r="S82" t="s">
        <v>1066</v>
      </c>
      <c r="T82" t="s">
        <v>1067</v>
      </c>
      <c r="U82" t="s">
        <v>1068</v>
      </c>
      <c r="V82" t="s">
        <v>1069</v>
      </c>
      <c r="W82" t="s">
        <v>101</v>
      </c>
      <c r="X82" t="s">
        <v>156</v>
      </c>
      <c r="Y82" s="229">
        <v>211.2</v>
      </c>
      <c r="Z82" s="176">
        <v>64891.347839999995</v>
      </c>
      <c r="AA82" s="73">
        <v>184</v>
      </c>
      <c r="AB82" t="s">
        <v>1290</v>
      </c>
      <c r="AC82" t="s">
        <v>1252</v>
      </c>
      <c r="AD82" s="199">
        <v>1</v>
      </c>
      <c r="AE82" s="199" t="s">
        <v>1292</v>
      </c>
      <c r="AF82" s="179">
        <v>3.0066999999999999</v>
      </c>
      <c r="AG82" s="179">
        <v>159.501</v>
      </c>
      <c r="AH82" s="179">
        <v>0</v>
      </c>
      <c r="AI82" s="179">
        <v>143.51499999999999</v>
      </c>
      <c r="AJ82" s="179">
        <v>1.228</v>
      </c>
      <c r="AK82" s="179">
        <v>0</v>
      </c>
      <c r="AL82" s="305">
        <v>7</v>
      </c>
      <c r="AM82" s="306">
        <v>2024</v>
      </c>
      <c r="AN82" s="250" t="s">
        <v>1498</v>
      </c>
      <c r="AP82" t="str">
        <f>IF(BD_Bloqueados[[#This Row],[Analista ]]&lt;&gt;"Ana C",MID(BD_Bloqueados[[#This Row],[ID]],3,5),MID(BD_Bloqueados[[#This Row],[ID]],4,5))</f>
        <v>18724</v>
      </c>
      <c r="AQ82">
        <v>193</v>
      </c>
      <c r="AR82">
        <v>2024</v>
      </c>
      <c r="AS82" s="72">
        <v>45292</v>
      </c>
      <c r="AT82" s="72">
        <v>45484</v>
      </c>
      <c r="AU82">
        <v>7</v>
      </c>
    </row>
    <row r="83" spans="1:47">
      <c r="A83" t="s">
        <v>1070</v>
      </c>
      <c r="B83">
        <v>2</v>
      </c>
      <c r="C83" s="72">
        <v>45419</v>
      </c>
      <c r="D83">
        <v>28</v>
      </c>
      <c r="E83" s="173">
        <v>0.98958333333333337</v>
      </c>
      <c r="F83" t="s">
        <v>136</v>
      </c>
      <c r="G83" t="s">
        <v>32</v>
      </c>
      <c r="H83" t="s">
        <v>85</v>
      </c>
      <c r="I83" t="s">
        <v>212</v>
      </c>
      <c r="J83" t="s">
        <v>588</v>
      </c>
      <c r="K83" t="s">
        <v>1071</v>
      </c>
      <c r="L83" t="s">
        <v>108</v>
      </c>
      <c r="M83" t="s">
        <v>1029</v>
      </c>
      <c r="N83">
        <v>967555800</v>
      </c>
      <c r="O83" t="s">
        <v>200</v>
      </c>
      <c r="P83" s="154">
        <v>13030428</v>
      </c>
      <c r="Q83" t="s">
        <v>138</v>
      </c>
      <c r="R83" t="s">
        <v>589</v>
      </c>
      <c r="S83" t="s">
        <v>1072</v>
      </c>
      <c r="T83" t="s">
        <v>1073</v>
      </c>
      <c r="U83" t="s">
        <v>1074</v>
      </c>
      <c r="V83" t="s">
        <v>1075</v>
      </c>
      <c r="W83" t="s">
        <v>101</v>
      </c>
      <c r="X83" t="s">
        <v>156</v>
      </c>
      <c r="Y83" s="229">
        <v>42.24</v>
      </c>
      <c r="Z83" s="176">
        <v>12980.943360000001</v>
      </c>
      <c r="AA83" s="73">
        <v>183</v>
      </c>
      <c r="AB83" t="s">
        <v>1290</v>
      </c>
      <c r="AC83" t="s">
        <v>1252</v>
      </c>
      <c r="AD83" s="199">
        <v>1</v>
      </c>
      <c r="AE83" s="199" t="s">
        <v>1292</v>
      </c>
      <c r="AF83" s="179">
        <v>3.07</v>
      </c>
      <c r="AG83" s="179">
        <v>159.501</v>
      </c>
      <c r="AH83" s="179">
        <v>0</v>
      </c>
      <c r="AI83" s="179">
        <v>143.51499999999999</v>
      </c>
      <c r="AJ83" s="179">
        <v>1.228</v>
      </c>
      <c r="AK83" s="179">
        <v>0</v>
      </c>
      <c r="AL83" s="305">
        <v>7</v>
      </c>
      <c r="AM83" s="306">
        <v>2024</v>
      </c>
      <c r="AN83" s="250" t="s">
        <v>3541</v>
      </c>
      <c r="AP83" t="str">
        <f>IF(BD_Bloqueados[[#This Row],[Analista ]]&lt;&gt;"Ana C",MID(BD_Bloqueados[[#This Row],[ID]],3,5),MID(BD_Bloqueados[[#This Row],[ID]],4,5))</f>
        <v>18724</v>
      </c>
      <c r="AQ83">
        <v>190</v>
      </c>
      <c r="AR83">
        <v>2024</v>
      </c>
      <c r="AS83" s="72">
        <v>45292</v>
      </c>
      <c r="AT83" s="72">
        <v>45481</v>
      </c>
      <c r="AU83">
        <v>7</v>
      </c>
    </row>
    <row r="84" spans="1:47">
      <c r="A84" t="s">
        <v>1094</v>
      </c>
      <c r="B84">
        <v>2</v>
      </c>
      <c r="C84" s="72">
        <v>45419</v>
      </c>
      <c r="D84">
        <v>28</v>
      </c>
      <c r="E84" s="173">
        <v>0.93680555555555556</v>
      </c>
      <c r="F84" t="s">
        <v>136</v>
      </c>
      <c r="G84" t="s">
        <v>27</v>
      </c>
      <c r="H84" t="s">
        <v>209</v>
      </c>
      <c r="I84" t="s">
        <v>635</v>
      </c>
      <c r="J84" t="s">
        <v>588</v>
      </c>
      <c r="K84" t="s">
        <v>1089</v>
      </c>
      <c r="L84" t="s">
        <v>108</v>
      </c>
      <c r="M84" t="s">
        <v>1029</v>
      </c>
      <c r="N84">
        <v>967555800</v>
      </c>
      <c r="O84" t="s">
        <v>99</v>
      </c>
      <c r="P84" s="154">
        <v>13001756</v>
      </c>
      <c r="Q84" t="s">
        <v>185</v>
      </c>
      <c r="R84" t="s">
        <v>579</v>
      </c>
      <c r="S84" t="s">
        <v>1095</v>
      </c>
      <c r="T84" t="s">
        <v>1096</v>
      </c>
      <c r="U84" t="s">
        <v>1097</v>
      </c>
      <c r="V84" t="s">
        <v>1098</v>
      </c>
      <c r="W84" t="s">
        <v>101</v>
      </c>
      <c r="X84" t="s">
        <v>156</v>
      </c>
      <c r="Y84" s="229">
        <v>15.3</v>
      </c>
      <c r="Z84" s="176">
        <v>4206.9186</v>
      </c>
      <c r="AA84" s="73">
        <v>186</v>
      </c>
      <c r="AB84" t="s">
        <v>1400</v>
      </c>
      <c r="AC84" t="s">
        <v>1291</v>
      </c>
      <c r="AD84" s="199">
        <v>1</v>
      </c>
      <c r="AE84" s="199" t="s">
        <v>1292</v>
      </c>
      <c r="AF84" s="179">
        <v>112.051</v>
      </c>
      <c r="AG84" s="179">
        <v>0</v>
      </c>
      <c r="AH84" s="179">
        <v>161.16</v>
      </c>
      <c r="AI84" s="179">
        <v>1.7509999999999999</v>
      </c>
      <c r="AJ84" s="179"/>
      <c r="AK84" s="179"/>
      <c r="AL84" s="305">
        <v>7</v>
      </c>
      <c r="AM84" s="306">
        <v>2024</v>
      </c>
      <c r="AN84" s="250"/>
      <c r="AP84" t="str">
        <f>IF(BD_Bloqueados[[#This Row],[Analista ]]&lt;&gt;"Ana C",MID(BD_Bloqueados[[#This Row],[ID]],3,5),MID(BD_Bloqueados[[#This Row],[ID]],4,5))</f>
        <v>18724</v>
      </c>
      <c r="AQ84">
        <v>159</v>
      </c>
      <c r="AR84">
        <v>2024</v>
      </c>
      <c r="AS84" s="72">
        <v>45292</v>
      </c>
      <c r="AT84" s="72">
        <v>45450</v>
      </c>
      <c r="AU84">
        <v>6</v>
      </c>
    </row>
    <row r="85" spans="1:47">
      <c r="A85" t="s">
        <v>1082</v>
      </c>
      <c r="B85">
        <v>2</v>
      </c>
      <c r="C85" s="72">
        <v>45419</v>
      </c>
      <c r="D85">
        <v>28</v>
      </c>
      <c r="E85" s="173">
        <v>0.3923611111111111</v>
      </c>
      <c r="F85" t="s">
        <v>78</v>
      </c>
      <c r="G85" t="s">
        <v>28</v>
      </c>
      <c r="H85" t="s">
        <v>165</v>
      </c>
      <c r="I85" t="s">
        <v>87</v>
      </c>
      <c r="J85" t="s">
        <v>633</v>
      </c>
      <c r="K85" t="s">
        <v>1083</v>
      </c>
      <c r="L85" t="s">
        <v>108</v>
      </c>
      <c r="M85" t="s">
        <v>1029</v>
      </c>
      <c r="N85">
        <v>967555800</v>
      </c>
      <c r="O85" t="s">
        <v>91</v>
      </c>
      <c r="P85" s="154">
        <v>13000011</v>
      </c>
      <c r="Q85" t="s">
        <v>138</v>
      </c>
      <c r="R85" t="s">
        <v>589</v>
      </c>
      <c r="S85" t="s">
        <v>1084</v>
      </c>
      <c r="T85" t="s">
        <v>1085</v>
      </c>
      <c r="U85" t="s">
        <v>1086</v>
      </c>
      <c r="V85" t="s">
        <v>1087</v>
      </c>
      <c r="W85" t="s">
        <v>101</v>
      </c>
      <c r="X85" t="s">
        <v>102</v>
      </c>
      <c r="Y85" s="229">
        <v>676.8</v>
      </c>
      <c r="Z85" s="176">
        <v>0</v>
      </c>
      <c r="AA85" s="73">
        <v>187</v>
      </c>
      <c r="AB85" t="s">
        <v>1356</v>
      </c>
      <c r="AC85" t="s">
        <v>1349</v>
      </c>
      <c r="AD85" s="199"/>
      <c r="AE85" s="199"/>
      <c r="AF85" s="179"/>
      <c r="AG85" s="179"/>
      <c r="AH85" s="179"/>
      <c r="AI85" s="179"/>
      <c r="AJ85" s="179"/>
      <c r="AK85" s="179"/>
      <c r="AL85" s="305">
        <v>7</v>
      </c>
      <c r="AM85" s="306">
        <v>2024</v>
      </c>
      <c r="AN85" s="250"/>
      <c r="AP85" t="str">
        <f>IF(BD_Bloqueados[[#This Row],[Analista ]]&lt;&gt;"Ana C",MID(BD_Bloqueados[[#This Row],[ID]],3,5),MID(BD_Bloqueados[[#This Row],[ID]],4,5))</f>
        <v>18724</v>
      </c>
      <c r="AQ85">
        <v>159</v>
      </c>
      <c r="AR85">
        <v>2024</v>
      </c>
      <c r="AS85" s="72">
        <v>45292</v>
      </c>
      <c r="AT85" s="72">
        <v>45450</v>
      </c>
      <c r="AU85">
        <v>6</v>
      </c>
    </row>
    <row r="86" spans="1:47">
      <c r="A86" t="s">
        <v>1076</v>
      </c>
      <c r="B86">
        <v>2</v>
      </c>
      <c r="C86" s="72">
        <v>45419</v>
      </c>
      <c r="D86">
        <v>28</v>
      </c>
      <c r="E86" s="173">
        <v>0.80555555555555558</v>
      </c>
      <c r="F86" t="s">
        <v>109</v>
      </c>
      <c r="G86" t="s">
        <v>28</v>
      </c>
      <c r="H86" t="s">
        <v>81</v>
      </c>
      <c r="I86" t="s">
        <v>259</v>
      </c>
      <c r="J86" t="s">
        <v>595</v>
      </c>
      <c r="K86" t="s">
        <v>1077</v>
      </c>
      <c r="L86" t="s">
        <v>77</v>
      </c>
      <c r="M86" t="s">
        <v>465</v>
      </c>
      <c r="N86">
        <v>77155281</v>
      </c>
      <c r="O86" t="s">
        <v>494</v>
      </c>
      <c r="P86" s="154">
        <v>10000294</v>
      </c>
      <c r="Q86" t="s">
        <v>80</v>
      </c>
      <c r="R86" t="s">
        <v>608</v>
      </c>
      <c r="S86" t="s">
        <v>1078</v>
      </c>
      <c r="T86" t="s">
        <v>1079</v>
      </c>
      <c r="U86" t="s">
        <v>1080</v>
      </c>
      <c r="V86" t="s">
        <v>1081</v>
      </c>
      <c r="W86" t="s">
        <v>101</v>
      </c>
      <c r="X86" t="s">
        <v>129</v>
      </c>
      <c r="Y86" s="229">
        <v>3</v>
      </c>
      <c r="Z86" s="176">
        <v>0</v>
      </c>
      <c r="AA86" s="73">
        <v>178</v>
      </c>
      <c r="AB86" t="s">
        <v>2727</v>
      </c>
      <c r="AC86" t="s">
        <v>39</v>
      </c>
      <c r="AD86" s="199"/>
      <c r="AE86" s="199"/>
      <c r="AF86" s="179"/>
      <c r="AG86" s="179"/>
      <c r="AH86" s="179"/>
      <c r="AI86" s="179"/>
      <c r="AJ86" s="179"/>
      <c r="AK86" s="179"/>
      <c r="AL86" s="305">
        <v>7</v>
      </c>
      <c r="AM86" s="306">
        <v>2024</v>
      </c>
      <c r="AN86" s="250"/>
      <c r="AP86" t="str">
        <f>IF(BD_Bloqueados[[#This Row],[Analista ]]&lt;&gt;"Ana C",MID(BD_Bloqueados[[#This Row],[ID]],3,5),MID(BD_Bloqueados[[#This Row],[ID]],4,5))</f>
        <v>18724</v>
      </c>
      <c r="AQ86">
        <v>159</v>
      </c>
      <c r="AR86">
        <v>2024</v>
      </c>
      <c r="AS86" s="72">
        <v>45292</v>
      </c>
      <c r="AT86" s="72">
        <v>45450</v>
      </c>
      <c r="AU86">
        <v>6</v>
      </c>
    </row>
    <row r="87" spans="1:47">
      <c r="A87" t="s">
        <v>1099</v>
      </c>
      <c r="B87">
        <v>2</v>
      </c>
      <c r="C87" s="72">
        <v>45389</v>
      </c>
      <c r="D87">
        <v>28</v>
      </c>
      <c r="E87" s="173">
        <v>0.45277777777777778</v>
      </c>
      <c r="F87" t="s">
        <v>78</v>
      </c>
      <c r="G87" t="s">
        <v>25</v>
      </c>
      <c r="H87" t="s">
        <v>187</v>
      </c>
      <c r="I87" t="s">
        <v>87</v>
      </c>
      <c r="J87" t="s">
        <v>599</v>
      </c>
      <c r="K87" t="s">
        <v>1100</v>
      </c>
      <c r="L87" t="s">
        <v>108</v>
      </c>
      <c r="M87" t="s">
        <v>1029</v>
      </c>
      <c r="N87">
        <v>967555800</v>
      </c>
      <c r="O87" t="s">
        <v>255</v>
      </c>
      <c r="P87" s="154">
        <v>13030177</v>
      </c>
      <c r="Q87" t="s">
        <v>206</v>
      </c>
      <c r="R87" t="s">
        <v>585</v>
      </c>
      <c r="S87" t="s">
        <v>1101</v>
      </c>
      <c r="T87" t="s">
        <v>1102</v>
      </c>
      <c r="U87" t="s">
        <v>1103</v>
      </c>
      <c r="V87" t="s">
        <v>1104</v>
      </c>
      <c r="W87" t="s">
        <v>101</v>
      </c>
      <c r="X87" t="s">
        <v>102</v>
      </c>
      <c r="Y87" s="229" t="s">
        <v>4481</v>
      </c>
      <c r="Z87" s="176">
        <v>0</v>
      </c>
      <c r="AA87">
        <v>186</v>
      </c>
      <c r="AD87" s="199"/>
      <c r="AE87" s="199"/>
      <c r="AF87" s="179"/>
      <c r="AG87" s="179"/>
      <c r="AH87" s="179"/>
      <c r="AI87" s="179"/>
      <c r="AJ87" s="179"/>
      <c r="AK87" s="179"/>
      <c r="AL87" s="305">
        <v>7</v>
      </c>
      <c r="AM87" s="306">
        <v>2024</v>
      </c>
      <c r="AN87" s="250"/>
      <c r="AP87" t="str">
        <f>IF(BD_Bloqueados[[#This Row],[Analista ]]&lt;&gt;"Ana C",MID(BD_Bloqueados[[#This Row],[ID]],3,5),MID(BD_Bloqueados[[#This Row],[ID]],4,5))</f>
        <v>18624</v>
      </c>
      <c r="AQ87">
        <v>159</v>
      </c>
      <c r="AR87">
        <v>2024</v>
      </c>
      <c r="AS87" s="72">
        <v>45292</v>
      </c>
      <c r="AT87" s="72">
        <v>45450</v>
      </c>
      <c r="AU87">
        <v>6</v>
      </c>
    </row>
    <row r="88" spans="1:47">
      <c r="A88" t="s">
        <v>1116</v>
      </c>
      <c r="B88">
        <v>2</v>
      </c>
      <c r="C88" s="72">
        <v>45389</v>
      </c>
      <c r="D88">
        <v>28</v>
      </c>
      <c r="E88" s="173">
        <v>0.95833333333333337</v>
      </c>
      <c r="F88" t="s">
        <v>136</v>
      </c>
      <c r="G88" t="s">
        <v>27</v>
      </c>
      <c r="H88" t="s">
        <v>209</v>
      </c>
      <c r="I88" t="s">
        <v>635</v>
      </c>
      <c r="J88" t="s">
        <v>588</v>
      </c>
      <c r="K88" t="s">
        <v>1089</v>
      </c>
      <c r="L88" t="s">
        <v>108</v>
      </c>
      <c r="M88" t="s">
        <v>1029</v>
      </c>
      <c r="N88">
        <v>967555800</v>
      </c>
      <c r="O88" t="s">
        <v>154</v>
      </c>
      <c r="P88" s="154">
        <v>13030471</v>
      </c>
      <c r="Q88" t="s">
        <v>185</v>
      </c>
      <c r="R88" t="s">
        <v>579</v>
      </c>
      <c r="S88" t="s">
        <v>1117</v>
      </c>
      <c r="T88" t="s">
        <v>1118</v>
      </c>
      <c r="U88" t="s">
        <v>1119</v>
      </c>
      <c r="V88" t="s">
        <v>1120</v>
      </c>
      <c r="W88" t="s">
        <v>101</v>
      </c>
      <c r="X88" t="s">
        <v>156</v>
      </c>
      <c r="Y88" s="229">
        <v>450</v>
      </c>
      <c r="Z88" s="176">
        <v>121563</v>
      </c>
      <c r="AA88" s="73">
        <v>184</v>
      </c>
      <c r="AB88" t="s">
        <v>1400</v>
      </c>
      <c r="AC88" t="s">
        <v>1291</v>
      </c>
      <c r="AD88" s="199">
        <v>1</v>
      </c>
      <c r="AE88" s="199" t="s">
        <v>1374</v>
      </c>
      <c r="AF88" s="179">
        <v>17.440000000000001</v>
      </c>
      <c r="AG88" s="179">
        <v>125.3</v>
      </c>
      <c r="AH88" s="179">
        <v>0</v>
      </c>
      <c r="AI88" s="179">
        <v>103.7</v>
      </c>
      <c r="AJ88" s="179">
        <v>23.7</v>
      </c>
      <c r="AK88" s="179"/>
      <c r="AL88" s="305">
        <v>7</v>
      </c>
      <c r="AM88" s="306">
        <v>2024</v>
      </c>
      <c r="AN88" s="250"/>
      <c r="AP88" t="str">
        <f>IF(BD_Bloqueados[[#This Row],[Analista ]]&lt;&gt;"Ana C",MID(BD_Bloqueados[[#This Row],[ID]],3,5),MID(BD_Bloqueados[[#This Row],[ID]],4,5))</f>
        <v>18624</v>
      </c>
      <c r="AQ88">
        <v>188</v>
      </c>
      <c r="AR88">
        <v>2024</v>
      </c>
      <c r="AS88" s="72">
        <v>45292</v>
      </c>
      <c r="AT88" s="72">
        <v>45479</v>
      </c>
      <c r="AU88">
        <v>7</v>
      </c>
    </row>
    <row r="89" spans="1:47">
      <c r="A89" t="s">
        <v>1110</v>
      </c>
      <c r="B89">
        <v>2</v>
      </c>
      <c r="C89" s="72">
        <v>45389</v>
      </c>
      <c r="D89">
        <v>28</v>
      </c>
      <c r="E89" s="173">
        <v>0.17986111111111111</v>
      </c>
      <c r="F89" t="s">
        <v>136</v>
      </c>
      <c r="G89" t="s">
        <v>27</v>
      </c>
      <c r="H89" t="s">
        <v>209</v>
      </c>
      <c r="I89" t="s">
        <v>635</v>
      </c>
      <c r="J89" t="s">
        <v>588</v>
      </c>
      <c r="K89" t="s">
        <v>1111</v>
      </c>
      <c r="L89" t="s">
        <v>108</v>
      </c>
      <c r="M89" t="s">
        <v>1029</v>
      </c>
      <c r="N89">
        <v>967555800</v>
      </c>
      <c r="O89" t="s">
        <v>154</v>
      </c>
      <c r="P89" s="154">
        <v>13030471</v>
      </c>
      <c r="Q89" t="s">
        <v>80</v>
      </c>
      <c r="R89" t="s">
        <v>589</v>
      </c>
      <c r="S89" t="s">
        <v>1112</v>
      </c>
      <c r="T89" t="s">
        <v>1113</v>
      </c>
      <c r="U89" t="s">
        <v>1114</v>
      </c>
      <c r="V89" t="s">
        <v>1115</v>
      </c>
      <c r="W89" t="s">
        <v>101</v>
      </c>
      <c r="X89" t="s">
        <v>102</v>
      </c>
      <c r="Y89" s="229">
        <v>410.4</v>
      </c>
      <c r="Z89" s="176">
        <v>0</v>
      </c>
      <c r="AA89" s="73">
        <v>184</v>
      </c>
      <c r="AB89" t="s">
        <v>1491</v>
      </c>
      <c r="AC89" t="s">
        <v>1252</v>
      </c>
      <c r="AD89" s="199"/>
      <c r="AE89" s="199"/>
      <c r="AF89" s="179"/>
      <c r="AG89" s="179"/>
      <c r="AH89" s="179"/>
      <c r="AI89" s="179"/>
      <c r="AJ89" s="179"/>
      <c r="AK89" s="179"/>
      <c r="AL89" s="305">
        <v>7</v>
      </c>
      <c r="AM89" s="306">
        <v>2024</v>
      </c>
      <c r="AN89" s="250" t="s">
        <v>1283</v>
      </c>
      <c r="AP89" t="str">
        <f>IF(BD_Bloqueados[[#This Row],[Analista ]]&lt;&gt;"Ana C",MID(BD_Bloqueados[[#This Row],[ID]],3,5),MID(BD_Bloqueados[[#This Row],[ID]],4,5))</f>
        <v>18624</v>
      </c>
      <c r="AQ89">
        <v>187</v>
      </c>
      <c r="AR89">
        <v>2024</v>
      </c>
      <c r="AS89" s="72">
        <v>45292</v>
      </c>
      <c r="AT89" s="72">
        <v>45478</v>
      </c>
      <c r="AU89">
        <v>7</v>
      </c>
    </row>
    <row r="90" spans="1:47">
      <c r="A90" t="s">
        <v>1105</v>
      </c>
      <c r="B90">
        <v>2</v>
      </c>
      <c r="C90" s="72">
        <v>45389</v>
      </c>
      <c r="D90">
        <v>28</v>
      </c>
      <c r="E90" s="173">
        <v>0.4861111111111111</v>
      </c>
      <c r="F90" t="s">
        <v>78</v>
      </c>
      <c r="G90" t="s">
        <v>25</v>
      </c>
      <c r="H90" t="s">
        <v>164</v>
      </c>
      <c r="I90" t="s">
        <v>87</v>
      </c>
      <c r="J90" t="s">
        <v>599</v>
      </c>
      <c r="K90" t="s">
        <v>1100</v>
      </c>
      <c r="L90" t="s">
        <v>108</v>
      </c>
      <c r="M90" t="s">
        <v>1029</v>
      </c>
      <c r="N90">
        <v>967555800</v>
      </c>
      <c r="O90" t="s">
        <v>265</v>
      </c>
      <c r="P90" s="154">
        <v>13030402</v>
      </c>
      <c r="Q90" t="s">
        <v>185</v>
      </c>
      <c r="R90" t="s">
        <v>578</v>
      </c>
      <c r="S90" t="s">
        <v>1106</v>
      </c>
      <c r="T90" t="s">
        <v>1107</v>
      </c>
      <c r="U90" t="s">
        <v>1108</v>
      </c>
      <c r="V90" t="s">
        <v>1109</v>
      </c>
      <c r="W90" t="s">
        <v>101</v>
      </c>
      <c r="X90" t="s">
        <v>102</v>
      </c>
      <c r="Y90" s="229">
        <v>2.4</v>
      </c>
      <c r="Z90" s="176">
        <v>0</v>
      </c>
      <c r="AA90" s="73">
        <v>186</v>
      </c>
      <c r="AB90" t="s">
        <v>1282</v>
      </c>
      <c r="AC90" t="s">
        <v>1252</v>
      </c>
      <c r="AD90" s="199"/>
      <c r="AE90" s="199"/>
      <c r="AF90" s="179"/>
      <c r="AG90" s="179"/>
      <c r="AH90" s="179"/>
      <c r="AI90" s="179"/>
      <c r="AJ90" s="179"/>
      <c r="AK90" s="179"/>
      <c r="AL90" s="305">
        <v>7</v>
      </c>
      <c r="AM90" s="306">
        <v>2024</v>
      </c>
      <c r="AN90" s="250" t="s">
        <v>1283</v>
      </c>
      <c r="AP90" t="str">
        <f>IF(BD_Bloqueados[[#This Row],[Analista ]]&lt;&gt;"Ana C",MID(BD_Bloqueados[[#This Row],[ID]],3,5),MID(BD_Bloqueados[[#This Row],[ID]],4,5))</f>
        <v>18624</v>
      </c>
      <c r="AQ90">
        <v>187</v>
      </c>
      <c r="AR90">
        <v>2024</v>
      </c>
      <c r="AS90" s="72">
        <v>45292</v>
      </c>
      <c r="AT90" s="72">
        <v>45478</v>
      </c>
      <c r="AU90">
        <v>7</v>
      </c>
    </row>
    <row r="91" spans="1:47">
      <c r="A91" t="s">
        <v>1121</v>
      </c>
      <c r="B91">
        <v>2</v>
      </c>
      <c r="C91" s="72">
        <v>45358</v>
      </c>
      <c r="D91">
        <v>28</v>
      </c>
      <c r="E91" s="173">
        <v>3.5416666666666666E-2</v>
      </c>
      <c r="F91" t="s">
        <v>136</v>
      </c>
      <c r="G91" t="s">
        <v>27</v>
      </c>
      <c r="H91" t="s">
        <v>209</v>
      </c>
      <c r="I91" t="s">
        <v>635</v>
      </c>
      <c r="J91" t="s">
        <v>588</v>
      </c>
      <c r="K91" t="s">
        <v>1089</v>
      </c>
      <c r="L91" t="s">
        <v>108</v>
      </c>
      <c r="M91" t="s">
        <v>1029</v>
      </c>
      <c r="N91">
        <v>967555800</v>
      </c>
      <c r="O91" t="s">
        <v>99</v>
      </c>
      <c r="P91" s="154">
        <v>13001756</v>
      </c>
      <c r="Q91" t="s">
        <v>185</v>
      </c>
      <c r="R91" t="s">
        <v>600</v>
      </c>
      <c r="S91" t="s">
        <v>1122</v>
      </c>
      <c r="T91" t="s">
        <v>1123</v>
      </c>
      <c r="U91" t="s">
        <v>1124</v>
      </c>
      <c r="V91" t="s">
        <v>1125</v>
      </c>
      <c r="W91" t="s">
        <v>101</v>
      </c>
      <c r="X91" t="s">
        <v>156</v>
      </c>
      <c r="Y91" s="229" t="s">
        <v>4426</v>
      </c>
      <c r="Z91" s="176"/>
      <c r="AA91">
        <v>184</v>
      </c>
      <c r="AD91" s="199"/>
      <c r="AE91" s="199"/>
      <c r="AF91" s="179"/>
      <c r="AG91" s="179"/>
      <c r="AH91" s="179"/>
      <c r="AI91" s="179"/>
      <c r="AJ91" s="179"/>
      <c r="AK91" s="179"/>
      <c r="AL91" s="305">
        <v>7</v>
      </c>
      <c r="AM91" s="306">
        <v>2024</v>
      </c>
      <c r="AN91" s="250"/>
      <c r="AP91" t="str">
        <f>IF(BD_Bloqueados[[#This Row],[Analista ]]&lt;&gt;"Ana C",MID(BD_Bloqueados[[#This Row],[ID]],3,5),MID(BD_Bloqueados[[#This Row],[ID]],4,5))</f>
        <v>18524</v>
      </c>
      <c r="AQ91">
        <v>187</v>
      </c>
      <c r="AR91">
        <v>2024</v>
      </c>
      <c r="AS91" s="72">
        <v>45292</v>
      </c>
      <c r="AT91" s="72">
        <v>45478</v>
      </c>
      <c r="AU91">
        <v>7</v>
      </c>
    </row>
    <row r="92" spans="1:47">
      <c r="A92" t="s">
        <v>1130</v>
      </c>
      <c r="B92">
        <v>2</v>
      </c>
      <c r="C92" s="72">
        <v>45329</v>
      </c>
      <c r="D92">
        <v>28</v>
      </c>
      <c r="E92" s="173">
        <v>1.3888888888888888E-2</v>
      </c>
      <c r="F92" t="s">
        <v>136</v>
      </c>
      <c r="G92" t="s">
        <v>25</v>
      </c>
      <c r="H92" t="s">
        <v>164</v>
      </c>
      <c r="I92" t="s">
        <v>635</v>
      </c>
      <c r="J92" t="s">
        <v>644</v>
      </c>
      <c r="K92" t="s">
        <v>1131</v>
      </c>
      <c r="L92" t="s">
        <v>108</v>
      </c>
      <c r="M92" t="s">
        <v>1029</v>
      </c>
      <c r="N92">
        <v>967555800</v>
      </c>
      <c r="O92" t="s">
        <v>265</v>
      </c>
      <c r="P92" s="154">
        <v>13030402</v>
      </c>
      <c r="Q92" t="s">
        <v>80</v>
      </c>
      <c r="R92" t="s">
        <v>584</v>
      </c>
      <c r="S92">
        <v>9</v>
      </c>
      <c r="T92" t="s">
        <v>1132</v>
      </c>
      <c r="U92" t="s">
        <v>1133</v>
      </c>
      <c r="V92" t="s">
        <v>1134</v>
      </c>
      <c r="W92" t="s">
        <v>101</v>
      </c>
      <c r="X92" t="s">
        <v>1291</v>
      </c>
      <c r="Y92" s="229">
        <v>17191</v>
      </c>
      <c r="Z92" s="176">
        <v>0</v>
      </c>
      <c r="AA92" s="73" t="s">
        <v>4561</v>
      </c>
      <c r="AD92" s="199"/>
      <c r="AE92" s="199"/>
      <c r="AF92" s="179"/>
      <c r="AG92" s="179"/>
      <c r="AH92" s="179"/>
      <c r="AI92" s="179"/>
      <c r="AJ92" s="179"/>
      <c r="AK92" s="179"/>
      <c r="AL92" s="306">
        <v>7</v>
      </c>
      <c r="AM92" s="306">
        <v>2024</v>
      </c>
      <c r="AN92" s="250"/>
      <c r="AP92" t="str">
        <f>IF(BD_Bloqueados[[#This Row],[Analista ]]&lt;&gt;"Ana C",MID(BD_Bloqueados[[#This Row],[ID]],3,5),MID(BD_Bloqueados[[#This Row],[ID]],4,5))</f>
        <v>18424</v>
      </c>
      <c r="AQ92">
        <v>186</v>
      </c>
      <c r="AR92">
        <v>2024</v>
      </c>
      <c r="AS92" s="72">
        <v>45292</v>
      </c>
      <c r="AT92" s="72">
        <v>45477</v>
      </c>
      <c r="AU92">
        <v>7</v>
      </c>
    </row>
    <row r="93" spans="1:47">
      <c r="A93" t="s">
        <v>1126</v>
      </c>
      <c r="B93">
        <v>2</v>
      </c>
      <c r="C93" s="72">
        <v>45329</v>
      </c>
      <c r="D93">
        <v>28</v>
      </c>
      <c r="E93" s="173">
        <v>0.8125</v>
      </c>
      <c r="F93" t="s">
        <v>109</v>
      </c>
      <c r="G93" t="s">
        <v>28</v>
      </c>
      <c r="H93" t="s">
        <v>81</v>
      </c>
      <c r="I93" t="s">
        <v>143</v>
      </c>
      <c r="J93" t="s">
        <v>595</v>
      </c>
      <c r="K93" t="s">
        <v>1077</v>
      </c>
      <c r="L93" t="s">
        <v>77</v>
      </c>
      <c r="M93" t="s">
        <v>465</v>
      </c>
      <c r="N93">
        <v>77155281</v>
      </c>
      <c r="O93" t="s">
        <v>494</v>
      </c>
      <c r="P93" s="154">
        <v>10000294</v>
      </c>
      <c r="Q93" t="s">
        <v>80</v>
      </c>
      <c r="R93" t="s">
        <v>608</v>
      </c>
      <c r="S93" t="s">
        <v>1127</v>
      </c>
      <c r="T93" t="s">
        <v>1128</v>
      </c>
      <c r="U93" t="s">
        <v>1129</v>
      </c>
      <c r="V93" t="s">
        <v>1081</v>
      </c>
      <c r="W93" t="s">
        <v>101</v>
      </c>
      <c r="X93" t="s">
        <v>129</v>
      </c>
      <c r="Y93" s="229">
        <v>3</v>
      </c>
      <c r="Z93" s="176">
        <v>0</v>
      </c>
      <c r="AA93" s="73">
        <v>178</v>
      </c>
      <c r="AB93" t="s">
        <v>2727</v>
      </c>
      <c r="AC93" t="s">
        <v>39</v>
      </c>
      <c r="AD93" s="199"/>
      <c r="AE93" s="199"/>
      <c r="AF93" s="179"/>
      <c r="AG93" s="179"/>
      <c r="AH93" s="179"/>
      <c r="AI93" s="179"/>
      <c r="AJ93" s="179"/>
      <c r="AK93" s="179"/>
      <c r="AL93" s="305">
        <v>7</v>
      </c>
      <c r="AM93" s="306">
        <v>2024</v>
      </c>
      <c r="AN93" s="250"/>
      <c r="AP93" t="str">
        <f>IF(BD_Bloqueados[[#This Row],[Analista ]]&lt;&gt;"Ana C",MID(BD_Bloqueados[[#This Row],[ID]],3,5),MID(BD_Bloqueados[[#This Row],[ID]],4,5))</f>
        <v>18424</v>
      </c>
      <c r="AQ93">
        <v>186</v>
      </c>
      <c r="AR93">
        <v>2024</v>
      </c>
      <c r="AS93" s="72">
        <v>45292</v>
      </c>
      <c r="AT93" s="72">
        <v>45477</v>
      </c>
      <c r="AU93">
        <v>7</v>
      </c>
    </row>
    <row r="94" spans="1:47">
      <c r="A94" t="s">
        <v>1135</v>
      </c>
      <c r="B94">
        <v>2</v>
      </c>
      <c r="C94" s="72">
        <v>45298</v>
      </c>
      <c r="D94">
        <v>28</v>
      </c>
      <c r="E94" s="173">
        <v>0.67361111111111116</v>
      </c>
      <c r="F94" t="s">
        <v>109</v>
      </c>
      <c r="G94" t="s">
        <v>27</v>
      </c>
      <c r="H94" t="s">
        <v>209</v>
      </c>
      <c r="I94" t="s">
        <v>143</v>
      </c>
      <c r="J94" t="s">
        <v>595</v>
      </c>
      <c r="K94" t="s">
        <v>1136</v>
      </c>
      <c r="L94" t="s">
        <v>108</v>
      </c>
      <c r="M94" t="s">
        <v>1029</v>
      </c>
      <c r="N94">
        <v>967555800</v>
      </c>
      <c r="O94" t="s">
        <v>99</v>
      </c>
      <c r="P94" s="154">
        <v>13001756</v>
      </c>
      <c r="Q94" t="s">
        <v>138</v>
      </c>
      <c r="R94" t="s">
        <v>589</v>
      </c>
      <c r="S94" t="s">
        <v>1137</v>
      </c>
      <c r="T94" t="s">
        <v>1138</v>
      </c>
      <c r="U94" t="s">
        <v>1139</v>
      </c>
      <c r="V94" t="s">
        <v>1140</v>
      </c>
      <c r="W94" t="s">
        <v>101</v>
      </c>
      <c r="X94" t="s">
        <v>156</v>
      </c>
      <c r="Y94" s="229">
        <v>118.8</v>
      </c>
      <c r="Z94" s="176">
        <v>34599.430799999995</v>
      </c>
      <c r="AA94" s="73">
        <v>181</v>
      </c>
      <c r="AB94" t="s">
        <v>1290</v>
      </c>
      <c r="AC94" t="s">
        <v>1349</v>
      </c>
      <c r="AD94" s="199">
        <v>1</v>
      </c>
      <c r="AE94" s="199" t="s">
        <v>1292</v>
      </c>
      <c r="AF94" s="179">
        <v>16.279</v>
      </c>
      <c r="AG94" s="179">
        <v>112.051</v>
      </c>
      <c r="AH94" s="179">
        <v>0</v>
      </c>
      <c r="AI94" s="179">
        <v>161.16</v>
      </c>
      <c r="AJ94" s="179">
        <v>1.7509999999999999</v>
      </c>
      <c r="AK94" s="179">
        <v>0</v>
      </c>
      <c r="AL94" s="306">
        <v>7</v>
      </c>
      <c r="AM94" s="306">
        <v>2024</v>
      </c>
      <c r="AN94" s="250"/>
      <c r="AP94" t="str">
        <f>IF(BD_Bloqueados[[#This Row],[Analista ]]&lt;&gt;"Ana C",MID(BD_Bloqueados[[#This Row],[ID]],3,5),MID(BD_Bloqueados[[#This Row],[ID]],4,5))</f>
        <v>18324</v>
      </c>
      <c r="AQ94">
        <v>184</v>
      </c>
      <c r="AR94">
        <v>2024</v>
      </c>
      <c r="AS94" s="72">
        <v>45292</v>
      </c>
      <c r="AT94" s="72">
        <v>45475</v>
      </c>
      <c r="AU94">
        <v>7</v>
      </c>
    </row>
    <row r="95" spans="1:47">
      <c r="A95" t="s">
        <v>1142</v>
      </c>
      <c r="B95">
        <v>2</v>
      </c>
      <c r="C95" s="72">
        <v>45469</v>
      </c>
      <c r="D95">
        <v>27</v>
      </c>
      <c r="E95" s="173">
        <v>0.53472222222222221</v>
      </c>
      <c r="F95" t="s">
        <v>78</v>
      </c>
      <c r="G95" t="s">
        <v>30</v>
      </c>
      <c r="H95" t="s">
        <v>30</v>
      </c>
      <c r="I95" t="s">
        <v>635</v>
      </c>
      <c r="J95" t="s">
        <v>260</v>
      </c>
      <c r="K95" t="s">
        <v>1143</v>
      </c>
      <c r="L95" t="s">
        <v>77</v>
      </c>
      <c r="M95" t="s">
        <v>706</v>
      </c>
      <c r="N95">
        <v>81145500</v>
      </c>
      <c r="O95" t="s">
        <v>513</v>
      </c>
      <c r="P95" s="154">
        <v>10000521</v>
      </c>
      <c r="Q95" t="s">
        <v>35</v>
      </c>
      <c r="R95" t="s">
        <v>620</v>
      </c>
      <c r="S95" t="s">
        <v>1144</v>
      </c>
      <c r="T95" t="s">
        <v>1145</v>
      </c>
      <c r="U95" t="s">
        <v>1146</v>
      </c>
      <c r="V95" t="s">
        <v>1147</v>
      </c>
      <c r="W95" t="s">
        <v>101</v>
      </c>
      <c r="X95" t="s">
        <v>102</v>
      </c>
      <c r="Y95" s="229" t="s">
        <v>1148</v>
      </c>
      <c r="Z95" s="176">
        <v>0</v>
      </c>
      <c r="AA95" t="s">
        <v>1149</v>
      </c>
      <c r="AB95" t="s">
        <v>2932</v>
      </c>
      <c r="AC95" t="s">
        <v>39</v>
      </c>
      <c r="AD95" s="199"/>
      <c r="AE95" s="199"/>
      <c r="AF95" s="179"/>
      <c r="AG95" s="179"/>
      <c r="AH95" s="179"/>
      <c r="AI95" s="179"/>
      <c r="AJ95" s="179"/>
      <c r="AK95" s="179"/>
      <c r="AL95" s="305">
        <v>6</v>
      </c>
      <c r="AM95" s="306">
        <v>2024</v>
      </c>
      <c r="AN95" s="250"/>
      <c r="AP95" t="str">
        <f>IF(BD_Bloqueados[[#This Row],[Analista ]]&lt;&gt;"Ana C",MID(BD_Bloqueados[[#This Row],[ID]],3,5),MID(BD_Bloqueados[[#This Row],[ID]],4,5))</f>
        <v>17824</v>
      </c>
      <c r="AQ95">
        <v>151</v>
      </c>
      <c r="AR95">
        <v>2022</v>
      </c>
      <c r="AS95" s="72">
        <v>44562</v>
      </c>
      <c r="AT95" s="72">
        <v>44712</v>
      </c>
      <c r="AU95">
        <v>5</v>
      </c>
    </row>
    <row r="96" spans="1:47">
      <c r="A96" t="s">
        <v>1156</v>
      </c>
      <c r="B96">
        <v>2</v>
      </c>
      <c r="C96" s="72">
        <v>45468</v>
      </c>
      <c r="D96">
        <v>27</v>
      </c>
      <c r="E96" s="173">
        <v>2.361111111111111E-2</v>
      </c>
      <c r="F96" t="s">
        <v>136</v>
      </c>
      <c r="G96" t="s">
        <v>27</v>
      </c>
      <c r="H96" t="s">
        <v>231</v>
      </c>
      <c r="I96" t="s">
        <v>259</v>
      </c>
      <c r="J96" t="s">
        <v>595</v>
      </c>
      <c r="K96" t="s">
        <v>1048</v>
      </c>
      <c r="L96" t="s">
        <v>108</v>
      </c>
      <c r="M96" t="s">
        <v>1029</v>
      </c>
      <c r="N96">
        <v>967555800</v>
      </c>
      <c r="O96" t="s">
        <v>217</v>
      </c>
      <c r="P96" s="154">
        <v>13030104</v>
      </c>
      <c r="Q96" t="s">
        <v>206</v>
      </c>
      <c r="R96" t="s">
        <v>600</v>
      </c>
      <c r="S96" t="s">
        <v>1158</v>
      </c>
      <c r="T96" t="s">
        <v>1159</v>
      </c>
      <c r="U96" t="s">
        <v>1160</v>
      </c>
      <c r="V96" t="s">
        <v>1161</v>
      </c>
      <c r="W96" t="s">
        <v>101</v>
      </c>
      <c r="X96" t="s">
        <v>156</v>
      </c>
      <c r="Y96" s="229">
        <v>78.2</v>
      </c>
      <c r="Z96" s="176">
        <v>15305.460400000002</v>
      </c>
      <c r="AA96">
        <v>177</v>
      </c>
      <c r="AB96" t="s">
        <v>1459</v>
      </c>
      <c r="AC96" t="s">
        <v>1252</v>
      </c>
      <c r="AD96" s="199">
        <v>0.5</v>
      </c>
      <c r="AE96" s="199" t="s">
        <v>1374</v>
      </c>
      <c r="AF96" s="179">
        <v>0</v>
      </c>
      <c r="AG96" s="179">
        <v>46.92</v>
      </c>
      <c r="AH96" s="179">
        <v>0</v>
      </c>
      <c r="AI96" s="179">
        <v>50.941000000000003</v>
      </c>
      <c r="AJ96" s="179">
        <v>0</v>
      </c>
      <c r="AK96" s="179">
        <v>0</v>
      </c>
      <c r="AL96" s="305">
        <v>6</v>
      </c>
      <c r="AM96" s="306">
        <v>2024</v>
      </c>
      <c r="AN96" s="250" t="s">
        <v>1498</v>
      </c>
      <c r="AP96" t="str">
        <f>IF(BD_Bloqueados[[#This Row],[Analista ]]&lt;&gt;"Ana C",MID(BD_Bloqueados[[#This Row],[ID]],3,5),MID(BD_Bloqueados[[#This Row],[ID]],4,5))</f>
        <v>17724</v>
      </c>
      <c r="AQ96">
        <v>38</v>
      </c>
      <c r="AR96">
        <v>2024</v>
      </c>
      <c r="AS96" s="72">
        <v>45292</v>
      </c>
      <c r="AT96" s="72">
        <v>45329</v>
      </c>
      <c r="AU96">
        <v>2</v>
      </c>
    </row>
    <row r="97" spans="1:47">
      <c r="A97" t="s">
        <v>1150</v>
      </c>
      <c r="B97">
        <v>2</v>
      </c>
      <c r="C97" s="72">
        <v>45468</v>
      </c>
      <c r="D97">
        <v>27</v>
      </c>
      <c r="E97" s="173">
        <v>0.43055555555555558</v>
      </c>
      <c r="F97" t="s">
        <v>78</v>
      </c>
      <c r="G97" t="s">
        <v>27</v>
      </c>
      <c r="H97" t="s">
        <v>189</v>
      </c>
      <c r="I97" t="s">
        <v>212</v>
      </c>
      <c r="J97" t="s">
        <v>588</v>
      </c>
      <c r="K97" t="s">
        <v>1151</v>
      </c>
      <c r="L97" t="s">
        <v>108</v>
      </c>
      <c r="M97" t="s">
        <v>1029</v>
      </c>
      <c r="N97">
        <v>967555800</v>
      </c>
      <c r="O97" t="s">
        <v>92</v>
      </c>
      <c r="P97" s="154">
        <v>13030409</v>
      </c>
      <c r="Q97" t="s">
        <v>206</v>
      </c>
      <c r="R97" t="s">
        <v>579</v>
      </c>
      <c r="S97" t="s">
        <v>1152</v>
      </c>
      <c r="T97" t="s">
        <v>1153</v>
      </c>
      <c r="U97" t="s">
        <v>1154</v>
      </c>
      <c r="V97" t="s">
        <v>1155</v>
      </c>
      <c r="W97" t="s">
        <v>101</v>
      </c>
      <c r="X97" t="s">
        <v>156</v>
      </c>
      <c r="Y97" s="229">
        <v>356</v>
      </c>
      <c r="Z97" s="176">
        <v>470489.59999999998</v>
      </c>
      <c r="AA97">
        <v>177</v>
      </c>
      <c r="AC97" t="s">
        <v>1349</v>
      </c>
      <c r="AD97" s="199">
        <v>0.5</v>
      </c>
      <c r="AE97" s="199" t="s">
        <v>1374</v>
      </c>
      <c r="AF97" s="179">
        <v>20.100000000000001</v>
      </c>
      <c r="AG97" s="179">
        <v>262.7</v>
      </c>
      <c r="AH97" s="179">
        <v>293.5</v>
      </c>
      <c r="AI97" s="179">
        <v>61.7</v>
      </c>
      <c r="AJ97" s="179">
        <v>22.8</v>
      </c>
      <c r="AK97" s="179">
        <v>0</v>
      </c>
      <c r="AL97" s="305">
        <v>6</v>
      </c>
      <c r="AM97" s="306">
        <v>2024</v>
      </c>
      <c r="AN97" s="250"/>
      <c r="AP97" t="str">
        <f>IF(BD_Bloqueados[[#This Row],[Analista ]]&lt;&gt;"Ana C",MID(BD_Bloqueados[[#This Row],[ID]],3,5),MID(BD_Bloqueados[[#This Row],[ID]],4,5))</f>
        <v>17724</v>
      </c>
      <c r="AQ97">
        <v>178</v>
      </c>
      <c r="AR97">
        <v>2024</v>
      </c>
      <c r="AS97" s="72">
        <v>45292</v>
      </c>
      <c r="AT97" s="72">
        <v>45469</v>
      </c>
      <c r="AU97">
        <v>6</v>
      </c>
    </row>
    <row r="98" spans="1:47">
      <c r="A98" t="s">
        <v>1162</v>
      </c>
      <c r="B98">
        <v>2</v>
      </c>
      <c r="C98" s="72">
        <v>45468</v>
      </c>
      <c r="D98">
        <v>27</v>
      </c>
      <c r="E98" s="173">
        <v>2.361111111111111E-2</v>
      </c>
      <c r="F98" t="s">
        <v>136</v>
      </c>
      <c r="G98" t="s">
        <v>27</v>
      </c>
      <c r="H98" t="s">
        <v>231</v>
      </c>
      <c r="I98" t="s">
        <v>259</v>
      </c>
      <c r="J98" t="s">
        <v>595</v>
      </c>
      <c r="K98" t="s">
        <v>1163</v>
      </c>
      <c r="L98" t="s">
        <v>108</v>
      </c>
      <c r="M98" t="s">
        <v>1029</v>
      </c>
      <c r="N98">
        <v>967555800</v>
      </c>
      <c r="O98" t="s">
        <v>1157</v>
      </c>
      <c r="P98" s="154"/>
      <c r="Q98" t="s">
        <v>206</v>
      </c>
      <c r="R98" t="s">
        <v>600</v>
      </c>
      <c r="S98" t="s">
        <v>1164</v>
      </c>
      <c r="T98" t="s">
        <v>1165</v>
      </c>
      <c r="U98" t="s">
        <v>1160</v>
      </c>
      <c r="V98" t="s">
        <v>1166</v>
      </c>
      <c r="W98" t="s">
        <v>101</v>
      </c>
      <c r="X98" t="s">
        <v>156</v>
      </c>
      <c r="Y98" s="229">
        <v>184</v>
      </c>
      <c r="Z98" s="176">
        <v>36012.847999999998</v>
      </c>
      <c r="AA98">
        <v>176</v>
      </c>
      <c r="AB98" t="s">
        <v>1459</v>
      </c>
      <c r="AC98" t="s">
        <v>1252</v>
      </c>
      <c r="AD98" s="199">
        <v>0.5</v>
      </c>
      <c r="AE98" s="199" t="s">
        <v>1374</v>
      </c>
      <c r="AF98" s="179">
        <v>0</v>
      </c>
      <c r="AG98" s="179">
        <v>46.92</v>
      </c>
      <c r="AH98" s="179">
        <v>0</v>
      </c>
      <c r="AI98" s="179">
        <v>50.941000000000003</v>
      </c>
      <c r="AJ98" s="179">
        <v>0</v>
      </c>
      <c r="AK98" s="179">
        <v>0</v>
      </c>
      <c r="AL98" s="305">
        <v>6</v>
      </c>
      <c r="AM98" s="306">
        <v>2024</v>
      </c>
      <c r="AN98" s="250" t="s">
        <v>1498</v>
      </c>
      <c r="AP98" t="str">
        <f>IF(BD_Bloqueados[[#This Row],[Analista ]]&lt;&gt;"Ana C",MID(BD_Bloqueados[[#This Row],[ID]],3,5),MID(BD_Bloqueados[[#This Row],[ID]],4,5))</f>
        <v>17724</v>
      </c>
      <c r="AQ98">
        <v>177</v>
      </c>
      <c r="AR98">
        <v>2024</v>
      </c>
      <c r="AS98" s="72">
        <v>45292</v>
      </c>
      <c r="AT98" s="72">
        <v>45468</v>
      </c>
      <c r="AU98">
        <v>6</v>
      </c>
    </row>
    <row r="99" spans="1:47">
      <c r="A99" t="s">
        <v>1167</v>
      </c>
      <c r="B99">
        <v>2</v>
      </c>
      <c r="C99" s="72">
        <v>45467</v>
      </c>
      <c r="D99">
        <v>27</v>
      </c>
      <c r="E99" s="173">
        <v>0.59722222222222221</v>
      </c>
      <c r="F99" t="s">
        <v>78</v>
      </c>
      <c r="G99" t="s">
        <v>29</v>
      </c>
      <c r="H99" t="s">
        <v>83</v>
      </c>
      <c r="I99" t="s">
        <v>635</v>
      </c>
      <c r="J99" t="s">
        <v>588</v>
      </c>
      <c r="K99" t="s">
        <v>1168</v>
      </c>
      <c r="L99" t="s">
        <v>77</v>
      </c>
      <c r="M99" t="s">
        <v>571</v>
      </c>
      <c r="N99">
        <v>76100349</v>
      </c>
      <c r="O99" t="s">
        <v>593</v>
      </c>
      <c r="P99" s="154">
        <v>10004345</v>
      </c>
      <c r="Q99" t="s">
        <v>35</v>
      </c>
      <c r="R99" t="s">
        <v>627</v>
      </c>
      <c r="S99" t="s">
        <v>1169</v>
      </c>
      <c r="T99" t="s">
        <v>1170</v>
      </c>
      <c r="U99" t="s">
        <v>1171</v>
      </c>
      <c r="V99" t="s">
        <v>1172</v>
      </c>
      <c r="W99" t="s">
        <v>101</v>
      </c>
      <c r="X99" t="s">
        <v>1291</v>
      </c>
      <c r="Y99" s="229">
        <v>700</v>
      </c>
      <c r="Z99" s="176">
        <v>0</v>
      </c>
      <c r="AA99" t="s">
        <v>1173</v>
      </c>
      <c r="AB99" t="s">
        <v>4413</v>
      </c>
      <c r="AC99" t="s">
        <v>1349</v>
      </c>
      <c r="AD99" s="199"/>
      <c r="AE99" s="199"/>
      <c r="AF99" s="179"/>
      <c r="AG99" s="179"/>
      <c r="AH99" s="179"/>
      <c r="AI99" s="179"/>
      <c r="AJ99" s="179"/>
      <c r="AK99" s="179"/>
      <c r="AL99" s="305">
        <v>6</v>
      </c>
      <c r="AM99" s="306">
        <v>2024</v>
      </c>
      <c r="AN99" s="250"/>
      <c r="AP99" t="str">
        <f>IF(BD_Bloqueados[[#This Row],[Analista ]]&lt;&gt;"Ana C",MID(BD_Bloqueados[[#This Row],[ID]],3,5),MID(BD_Bloqueados[[#This Row],[ID]],4,5))</f>
        <v>17624</v>
      </c>
      <c r="AQ99">
        <v>177</v>
      </c>
      <c r="AR99">
        <v>2024</v>
      </c>
      <c r="AS99" s="72">
        <v>45292</v>
      </c>
      <c r="AT99" s="72">
        <v>45468</v>
      </c>
      <c r="AU99">
        <v>6</v>
      </c>
    </row>
    <row r="100" spans="1:47">
      <c r="A100" t="s">
        <v>1174</v>
      </c>
      <c r="B100">
        <v>2</v>
      </c>
      <c r="C100" s="72">
        <v>45465</v>
      </c>
      <c r="D100">
        <v>26</v>
      </c>
      <c r="E100" s="173">
        <v>0.69444444444444442</v>
      </c>
      <c r="F100" t="s">
        <v>109</v>
      </c>
      <c r="G100" t="s">
        <v>28</v>
      </c>
      <c r="H100" t="s">
        <v>165</v>
      </c>
      <c r="I100" t="s">
        <v>212</v>
      </c>
      <c r="J100" t="s">
        <v>612</v>
      </c>
      <c r="K100" t="s">
        <v>1175</v>
      </c>
      <c r="L100" t="s">
        <v>108</v>
      </c>
      <c r="M100" t="s">
        <v>1029</v>
      </c>
      <c r="N100">
        <v>967555800</v>
      </c>
      <c r="O100" t="s">
        <v>351</v>
      </c>
      <c r="P100" s="154">
        <v>12001365</v>
      </c>
      <c r="Q100" t="s">
        <v>185</v>
      </c>
      <c r="R100" t="s">
        <v>619</v>
      </c>
      <c r="S100" t="s">
        <v>1176</v>
      </c>
      <c r="T100" t="s">
        <v>1177</v>
      </c>
      <c r="U100" t="s">
        <v>1178</v>
      </c>
      <c r="V100" t="s">
        <v>1179</v>
      </c>
      <c r="W100" t="s">
        <v>101</v>
      </c>
      <c r="X100" t="s">
        <v>102</v>
      </c>
      <c r="Y100" s="229">
        <v>1834</v>
      </c>
      <c r="Z100" s="176">
        <v>0</v>
      </c>
      <c r="AA100">
        <v>174</v>
      </c>
      <c r="AB100" t="s">
        <v>619</v>
      </c>
      <c r="AC100" t="s">
        <v>1252</v>
      </c>
      <c r="AD100" s="199"/>
      <c r="AE100" s="199"/>
      <c r="AF100" s="179"/>
      <c r="AG100" s="179"/>
      <c r="AH100" s="179"/>
      <c r="AI100" s="179"/>
      <c r="AJ100" s="179"/>
      <c r="AK100" s="179"/>
      <c r="AL100" s="305">
        <v>6</v>
      </c>
      <c r="AM100" s="306">
        <v>2024</v>
      </c>
      <c r="AN100" s="250" t="s">
        <v>1498</v>
      </c>
      <c r="AP100" t="str">
        <f>IF(BD_Bloqueados[[#This Row],[Analista ]]&lt;&gt;"Ana C",MID(BD_Bloqueados[[#This Row],[ID]],3,5),MID(BD_Bloqueados[[#This Row],[ID]],4,5))</f>
        <v>17424</v>
      </c>
      <c r="AQ100">
        <v>177</v>
      </c>
      <c r="AR100">
        <v>2024</v>
      </c>
      <c r="AS100" s="72">
        <v>45292</v>
      </c>
      <c r="AT100" s="72">
        <v>45468</v>
      </c>
      <c r="AU100">
        <v>6</v>
      </c>
    </row>
    <row r="101" spans="1:47">
      <c r="A101" t="s">
        <v>1180</v>
      </c>
      <c r="B101">
        <v>2</v>
      </c>
      <c r="C101" s="72">
        <v>45465</v>
      </c>
      <c r="D101">
        <v>26</v>
      </c>
      <c r="E101" s="173">
        <v>0.69444444444444442</v>
      </c>
      <c r="F101" t="s">
        <v>109</v>
      </c>
      <c r="G101" t="s">
        <v>28</v>
      </c>
      <c r="H101" t="s">
        <v>165</v>
      </c>
      <c r="I101" t="s">
        <v>212</v>
      </c>
      <c r="J101" t="s">
        <v>612</v>
      </c>
      <c r="K101" t="s">
        <v>1175</v>
      </c>
      <c r="L101" t="s">
        <v>108</v>
      </c>
      <c r="M101" t="s">
        <v>1029</v>
      </c>
      <c r="N101">
        <v>967555800</v>
      </c>
      <c r="O101" t="s">
        <v>347</v>
      </c>
      <c r="P101" s="154">
        <v>12000409</v>
      </c>
      <c r="Q101" t="s">
        <v>185</v>
      </c>
      <c r="R101" t="s">
        <v>619</v>
      </c>
      <c r="S101" t="s">
        <v>1181</v>
      </c>
      <c r="T101" t="s">
        <v>1177</v>
      </c>
      <c r="U101" t="s">
        <v>1182</v>
      </c>
      <c r="V101" t="s">
        <v>1179</v>
      </c>
      <c r="W101" t="s">
        <v>101</v>
      </c>
      <c r="X101" t="s">
        <v>102</v>
      </c>
      <c r="Y101" s="229">
        <v>1770</v>
      </c>
      <c r="Z101" s="176">
        <v>0</v>
      </c>
      <c r="AA101">
        <v>174</v>
      </c>
      <c r="AB101" t="s">
        <v>619</v>
      </c>
      <c r="AC101" t="s">
        <v>1252</v>
      </c>
      <c r="AD101" s="199"/>
      <c r="AE101" s="199"/>
      <c r="AF101" s="179"/>
      <c r="AG101" s="179"/>
      <c r="AH101" s="179"/>
      <c r="AI101" s="179"/>
      <c r="AJ101" s="179"/>
      <c r="AK101" s="179"/>
      <c r="AL101" s="305">
        <v>6</v>
      </c>
      <c r="AM101" s="306">
        <v>2024</v>
      </c>
      <c r="AN101" s="250" t="s">
        <v>1498</v>
      </c>
      <c r="AP101" t="str">
        <f>IF(BD_Bloqueados[[#This Row],[Analista ]]&lt;&gt;"Ana C",MID(BD_Bloqueados[[#This Row],[ID]],3,5),MID(BD_Bloqueados[[#This Row],[ID]],4,5))</f>
        <v>17424</v>
      </c>
      <c r="AQ101">
        <v>176</v>
      </c>
      <c r="AR101">
        <v>2024</v>
      </c>
      <c r="AS101" s="72">
        <v>45292</v>
      </c>
      <c r="AT101" s="72">
        <v>45467</v>
      </c>
      <c r="AU101">
        <v>6</v>
      </c>
    </row>
    <row r="102" spans="1:47">
      <c r="A102" t="s">
        <v>1183</v>
      </c>
      <c r="B102">
        <v>2</v>
      </c>
      <c r="C102" s="72">
        <v>45465</v>
      </c>
      <c r="D102">
        <v>26</v>
      </c>
      <c r="E102" s="173">
        <v>0.91666666666666663</v>
      </c>
      <c r="F102" t="s">
        <v>136</v>
      </c>
      <c r="G102" t="s">
        <v>28</v>
      </c>
      <c r="H102" t="s">
        <v>165</v>
      </c>
      <c r="I102" t="s">
        <v>190</v>
      </c>
      <c r="J102" t="s">
        <v>595</v>
      </c>
      <c r="K102" t="s">
        <v>1184</v>
      </c>
      <c r="L102" t="s">
        <v>108</v>
      </c>
      <c r="M102" t="s">
        <v>1029</v>
      </c>
      <c r="N102">
        <v>967555800</v>
      </c>
      <c r="O102" t="s">
        <v>91</v>
      </c>
      <c r="P102" s="154">
        <v>13000011</v>
      </c>
      <c r="Q102" t="s">
        <v>185</v>
      </c>
      <c r="R102" t="s">
        <v>579</v>
      </c>
      <c r="S102" t="s">
        <v>1185</v>
      </c>
      <c r="T102" t="s">
        <v>1186</v>
      </c>
      <c r="U102" t="s">
        <v>1187</v>
      </c>
      <c r="V102" t="s">
        <v>1188</v>
      </c>
      <c r="W102" t="s">
        <v>101</v>
      </c>
      <c r="X102" t="s">
        <v>102</v>
      </c>
      <c r="Y102" s="229">
        <v>450</v>
      </c>
      <c r="Z102" s="176">
        <v>0</v>
      </c>
      <c r="AA102">
        <v>173</v>
      </c>
      <c r="AB102" t="s">
        <v>1400</v>
      </c>
      <c r="AC102" t="s">
        <v>1349</v>
      </c>
      <c r="AD102" s="199"/>
      <c r="AE102" s="199"/>
      <c r="AF102" s="179"/>
      <c r="AG102" s="179"/>
      <c r="AH102" s="179"/>
      <c r="AI102" s="179"/>
      <c r="AJ102" s="179"/>
      <c r="AK102" s="179"/>
      <c r="AL102" s="305">
        <v>6</v>
      </c>
      <c r="AM102" s="306">
        <v>2024</v>
      </c>
      <c r="AN102" s="250"/>
      <c r="AP102" t="str">
        <f>IF(BD_Bloqueados[[#This Row],[Analista ]]&lt;&gt;"Ana C",MID(BD_Bloqueados[[#This Row],[ID]],3,5),MID(BD_Bloqueados[[#This Row],[ID]],4,5))</f>
        <v>17424</v>
      </c>
      <c r="AQ102">
        <v>174</v>
      </c>
      <c r="AR102">
        <v>2024</v>
      </c>
      <c r="AS102" s="72">
        <v>45292</v>
      </c>
      <c r="AT102" s="72">
        <v>45465</v>
      </c>
      <c r="AU102">
        <v>6</v>
      </c>
    </row>
    <row r="103" spans="1:47">
      <c r="A103" t="s">
        <v>1195</v>
      </c>
      <c r="B103">
        <v>2</v>
      </c>
      <c r="C103" s="72">
        <v>45464</v>
      </c>
      <c r="D103">
        <v>26</v>
      </c>
      <c r="E103" s="173">
        <v>0.52083333333333337</v>
      </c>
      <c r="F103" t="s">
        <v>78</v>
      </c>
      <c r="G103" t="s">
        <v>27</v>
      </c>
      <c r="H103" t="s">
        <v>189</v>
      </c>
      <c r="I103" t="s">
        <v>143</v>
      </c>
      <c r="J103" t="s">
        <v>633</v>
      </c>
      <c r="K103" t="s">
        <v>1196</v>
      </c>
      <c r="L103" t="s">
        <v>108</v>
      </c>
      <c r="M103" t="s">
        <v>1029</v>
      </c>
      <c r="N103">
        <v>967555800</v>
      </c>
      <c r="O103" t="s">
        <v>237</v>
      </c>
      <c r="P103" s="154">
        <v>13030190</v>
      </c>
      <c r="Q103" t="s">
        <v>185</v>
      </c>
      <c r="R103" t="s">
        <v>579</v>
      </c>
      <c r="S103" t="s">
        <v>1197</v>
      </c>
      <c r="T103" t="s">
        <v>1198</v>
      </c>
      <c r="U103" t="s">
        <v>1199</v>
      </c>
      <c r="V103" t="s">
        <v>1200</v>
      </c>
      <c r="W103" t="s">
        <v>101</v>
      </c>
      <c r="X103" t="s">
        <v>156</v>
      </c>
      <c r="Y103" s="229">
        <v>108</v>
      </c>
      <c r="Z103" s="176">
        <v>129492.216</v>
      </c>
      <c r="AA103">
        <v>173</v>
      </c>
      <c r="AB103" t="s">
        <v>1400</v>
      </c>
      <c r="AC103" t="s">
        <v>1291</v>
      </c>
      <c r="AD103" s="199">
        <v>0.5</v>
      </c>
      <c r="AE103" s="199" t="s">
        <v>1374</v>
      </c>
      <c r="AF103" s="179">
        <v>95.801000000000002</v>
      </c>
      <c r="AG103" s="179">
        <v>269.30599999999998</v>
      </c>
      <c r="AH103" s="179">
        <v>169.34200000000001</v>
      </c>
      <c r="AI103" s="179">
        <v>53.293999999999997</v>
      </c>
      <c r="AJ103" s="179">
        <v>11.757999999999999</v>
      </c>
      <c r="AK103" s="179">
        <v>0</v>
      </c>
      <c r="AL103" s="305">
        <v>6</v>
      </c>
      <c r="AM103" s="306">
        <v>2024</v>
      </c>
      <c r="AN103" s="250"/>
      <c r="AP103" t="str">
        <f>IF(BD_Bloqueados[[#This Row],[Analista ]]&lt;&gt;"Ana C",MID(BD_Bloqueados[[#This Row],[ID]],3,5),MID(BD_Bloqueados[[#This Row],[ID]],4,5))</f>
        <v>17324</v>
      </c>
      <c r="AQ103">
        <v>174</v>
      </c>
      <c r="AR103">
        <v>2024</v>
      </c>
      <c r="AS103" s="72">
        <v>45292</v>
      </c>
      <c r="AT103" s="72">
        <v>45465</v>
      </c>
      <c r="AU103">
        <v>6</v>
      </c>
    </row>
    <row r="104" spans="1:47">
      <c r="A104" t="s">
        <v>1189</v>
      </c>
      <c r="B104">
        <v>2</v>
      </c>
      <c r="C104" s="72">
        <v>45464</v>
      </c>
      <c r="D104">
        <v>26</v>
      </c>
      <c r="E104" s="173">
        <v>0.48055555555555557</v>
      </c>
      <c r="F104" t="s">
        <v>78</v>
      </c>
      <c r="G104" t="s">
        <v>31</v>
      </c>
      <c r="H104" t="s">
        <v>84</v>
      </c>
      <c r="I104" t="s">
        <v>248</v>
      </c>
      <c r="J104" t="s">
        <v>603</v>
      </c>
      <c r="K104" t="s">
        <v>1190</v>
      </c>
      <c r="L104" t="s">
        <v>108</v>
      </c>
      <c r="M104" t="s">
        <v>1029</v>
      </c>
      <c r="N104">
        <v>967555800</v>
      </c>
      <c r="O104" t="s">
        <v>99</v>
      </c>
      <c r="P104" s="154">
        <v>13001756</v>
      </c>
      <c r="Q104" t="s">
        <v>185</v>
      </c>
      <c r="R104" t="s">
        <v>600</v>
      </c>
      <c r="S104" t="s">
        <v>1191</v>
      </c>
      <c r="T104" t="s">
        <v>1192</v>
      </c>
      <c r="U104" t="s">
        <v>1193</v>
      </c>
      <c r="V104" t="s">
        <v>1194</v>
      </c>
      <c r="W104" t="s">
        <v>101</v>
      </c>
      <c r="X104" t="s">
        <v>1291</v>
      </c>
      <c r="Y104" s="229">
        <v>648</v>
      </c>
      <c r="Z104" s="176">
        <v>0</v>
      </c>
      <c r="AA104">
        <v>171</v>
      </c>
      <c r="AB104" t="s">
        <v>1459</v>
      </c>
      <c r="AC104" t="s">
        <v>1252</v>
      </c>
      <c r="AD104" s="199"/>
      <c r="AE104" s="199"/>
      <c r="AF104" s="179"/>
      <c r="AG104" s="179"/>
      <c r="AH104" s="179"/>
      <c r="AI104" s="179"/>
      <c r="AJ104" s="179"/>
      <c r="AK104" s="179"/>
      <c r="AL104" s="305">
        <v>6</v>
      </c>
      <c r="AM104" s="306">
        <v>2024</v>
      </c>
      <c r="AN104" s="250" t="s">
        <v>1498</v>
      </c>
      <c r="AP104" t="str">
        <f>IF(BD_Bloqueados[[#This Row],[Analista ]]&lt;&gt;"Ana C",MID(BD_Bloqueados[[#This Row],[ID]],3,5),MID(BD_Bloqueados[[#This Row],[ID]],4,5))</f>
        <v>17324</v>
      </c>
      <c r="AQ104">
        <v>173</v>
      </c>
      <c r="AR104">
        <v>2024</v>
      </c>
      <c r="AS104" s="72">
        <v>45292</v>
      </c>
      <c r="AT104" s="72">
        <v>45464</v>
      </c>
      <c r="AU104">
        <v>6</v>
      </c>
    </row>
    <row r="105" spans="1:47">
      <c r="A105" t="s">
        <v>1201</v>
      </c>
      <c r="B105">
        <v>2</v>
      </c>
      <c r="C105" s="72">
        <v>45464</v>
      </c>
      <c r="D105">
        <v>26</v>
      </c>
      <c r="E105" s="173">
        <v>0.41249999999999998</v>
      </c>
      <c r="F105" t="s">
        <v>78</v>
      </c>
      <c r="G105" t="s">
        <v>30</v>
      </c>
      <c r="H105" t="s">
        <v>30</v>
      </c>
      <c r="I105" t="s">
        <v>635</v>
      </c>
      <c r="J105" t="s">
        <v>232</v>
      </c>
      <c r="K105" t="s">
        <v>1202</v>
      </c>
      <c r="L105" t="s">
        <v>77</v>
      </c>
      <c r="M105" t="s">
        <v>717</v>
      </c>
      <c r="N105">
        <v>96954210</v>
      </c>
      <c r="O105" t="s">
        <v>507</v>
      </c>
      <c r="P105" s="154">
        <v>10002457</v>
      </c>
      <c r="Q105" t="s">
        <v>80</v>
      </c>
      <c r="R105" t="s">
        <v>608</v>
      </c>
      <c r="S105" t="s">
        <v>1203</v>
      </c>
      <c r="T105" t="s">
        <v>1204</v>
      </c>
      <c r="U105" t="s">
        <v>1205</v>
      </c>
      <c r="V105" t="s">
        <v>1206</v>
      </c>
      <c r="W105" t="s">
        <v>101</v>
      </c>
      <c r="X105" t="s">
        <v>1291</v>
      </c>
      <c r="Y105" s="229">
        <v>1500</v>
      </c>
      <c r="Z105" s="176">
        <v>0</v>
      </c>
      <c r="AA105" t="s">
        <v>1207</v>
      </c>
      <c r="AB105" t="s">
        <v>2727</v>
      </c>
      <c r="AC105" t="s">
        <v>39</v>
      </c>
      <c r="AD105" s="199"/>
      <c r="AE105" s="199"/>
      <c r="AF105" s="179"/>
      <c r="AG105" s="179"/>
      <c r="AH105" s="179"/>
      <c r="AI105" s="179"/>
      <c r="AJ105" s="179"/>
      <c r="AK105" s="179"/>
      <c r="AL105" s="305">
        <v>6</v>
      </c>
      <c r="AM105" s="306">
        <v>2024</v>
      </c>
      <c r="AN105" s="250"/>
      <c r="AP105" t="str">
        <f>IF(BD_Bloqueados[[#This Row],[Analista ]]&lt;&gt;"Ana C",MID(BD_Bloqueados[[#This Row],[ID]],3,5),MID(BD_Bloqueados[[#This Row],[ID]],4,5))</f>
        <v>17324</v>
      </c>
      <c r="AQ105">
        <v>173</v>
      </c>
      <c r="AR105">
        <v>2024</v>
      </c>
      <c r="AS105" s="72">
        <v>45292</v>
      </c>
      <c r="AT105" s="72">
        <v>45464</v>
      </c>
      <c r="AU105">
        <v>6</v>
      </c>
    </row>
    <row r="106" spans="1:47">
      <c r="A106" t="s">
        <v>1208</v>
      </c>
      <c r="B106">
        <v>2</v>
      </c>
      <c r="C106" s="72">
        <v>45461</v>
      </c>
      <c r="D106">
        <v>26</v>
      </c>
      <c r="E106" s="173">
        <v>1.1805555555555555E-2</v>
      </c>
      <c r="F106" t="s">
        <v>136</v>
      </c>
      <c r="G106" t="s">
        <v>28</v>
      </c>
      <c r="H106" t="s">
        <v>165</v>
      </c>
      <c r="I106" t="s">
        <v>190</v>
      </c>
      <c r="J106" t="s">
        <v>595</v>
      </c>
      <c r="K106" t="s">
        <v>1209</v>
      </c>
      <c r="L106" t="s">
        <v>108</v>
      </c>
      <c r="M106" t="s">
        <v>1029</v>
      </c>
      <c r="N106">
        <v>967555800</v>
      </c>
      <c r="O106" t="s">
        <v>810</v>
      </c>
      <c r="P106" s="154">
        <v>13030550</v>
      </c>
      <c r="Q106" t="s">
        <v>206</v>
      </c>
      <c r="R106" t="s">
        <v>584</v>
      </c>
      <c r="S106" t="s">
        <v>1210</v>
      </c>
      <c r="T106" t="s">
        <v>1211</v>
      </c>
      <c r="U106" t="s">
        <v>1212</v>
      </c>
      <c r="V106" t="s">
        <v>1213</v>
      </c>
      <c r="W106" t="s">
        <v>101</v>
      </c>
      <c r="X106" t="s">
        <v>102</v>
      </c>
      <c r="Y106" s="229">
        <v>844.8</v>
      </c>
      <c r="Z106" s="176">
        <v>0</v>
      </c>
      <c r="AB106" t="s">
        <v>1407</v>
      </c>
      <c r="AC106" t="s">
        <v>1629</v>
      </c>
      <c r="AD106" s="199"/>
      <c r="AE106" s="199"/>
      <c r="AF106" s="179"/>
      <c r="AG106" s="179"/>
      <c r="AH106" s="179"/>
      <c r="AI106" s="179"/>
      <c r="AJ106" s="179"/>
      <c r="AK106" s="179"/>
      <c r="AL106" s="305">
        <v>6</v>
      </c>
      <c r="AM106" s="306">
        <v>2024</v>
      </c>
      <c r="AN106" s="250"/>
      <c r="AP106" t="str">
        <f>IF(BD_Bloqueados[[#This Row],[Analista ]]&lt;&gt;"Ana C",MID(BD_Bloqueados[[#This Row],[ID]],3,5),MID(BD_Bloqueados[[#This Row],[ID]],4,5))</f>
        <v>17024</v>
      </c>
      <c r="AQ106">
        <v>173</v>
      </c>
      <c r="AR106">
        <v>2024</v>
      </c>
      <c r="AS106" s="72">
        <v>45292</v>
      </c>
      <c r="AT106" s="72">
        <v>45464</v>
      </c>
      <c r="AU106">
        <v>6</v>
      </c>
    </row>
    <row r="107" spans="1:47">
      <c r="A107" t="s">
        <v>1220</v>
      </c>
      <c r="B107">
        <v>2</v>
      </c>
      <c r="C107" s="72">
        <v>45458</v>
      </c>
      <c r="D107">
        <v>25</v>
      </c>
      <c r="E107" s="173">
        <v>0.44097222222222221</v>
      </c>
      <c r="F107" t="s">
        <v>78</v>
      </c>
      <c r="G107" t="s">
        <v>28</v>
      </c>
      <c r="H107" t="s">
        <v>81</v>
      </c>
      <c r="I107" t="s">
        <v>87</v>
      </c>
      <c r="J107" t="s">
        <v>633</v>
      </c>
      <c r="K107" t="s">
        <v>1035</v>
      </c>
      <c r="L107" t="s">
        <v>108</v>
      </c>
      <c r="M107" t="s">
        <v>1029</v>
      </c>
      <c r="N107">
        <v>967555800</v>
      </c>
      <c r="O107" t="s">
        <v>120</v>
      </c>
      <c r="P107" s="154">
        <v>13000012</v>
      </c>
      <c r="Q107" t="s">
        <v>206</v>
      </c>
      <c r="R107" t="s">
        <v>627</v>
      </c>
      <c r="S107" t="s">
        <v>1221</v>
      </c>
      <c r="T107" t="s">
        <v>1222</v>
      </c>
      <c r="U107" t="s">
        <v>1223</v>
      </c>
      <c r="V107" t="s">
        <v>1224</v>
      </c>
      <c r="W107" t="s">
        <v>101</v>
      </c>
      <c r="X107" t="s">
        <v>129</v>
      </c>
      <c r="Y107" s="229">
        <v>400</v>
      </c>
      <c r="Z107" s="176">
        <v>195040</v>
      </c>
      <c r="AA107">
        <v>167</v>
      </c>
      <c r="AB107" t="s">
        <v>2727</v>
      </c>
      <c r="AC107" t="s">
        <v>39</v>
      </c>
      <c r="AD107" s="199">
        <v>1</v>
      </c>
      <c r="AE107" s="199" t="s">
        <v>1292</v>
      </c>
      <c r="AF107" s="179">
        <v>0</v>
      </c>
      <c r="AG107" s="179">
        <v>18</v>
      </c>
      <c r="AH107" s="179">
        <v>451.7</v>
      </c>
      <c r="AI107" s="179">
        <v>15.2</v>
      </c>
      <c r="AJ107" s="179">
        <v>2.7</v>
      </c>
      <c r="AK107" s="179">
        <v>0</v>
      </c>
      <c r="AL107" s="305">
        <v>6</v>
      </c>
      <c r="AM107" s="306">
        <v>2024</v>
      </c>
      <c r="AN107" s="250"/>
      <c r="AP107" t="str">
        <f>IF(BD_Bloqueados[[#This Row],[Analista ]]&lt;&gt;"Ana C",MID(BD_Bloqueados[[#This Row],[ID]],3,5),MID(BD_Bloqueados[[#This Row],[ID]],4,5))</f>
        <v>16724</v>
      </c>
      <c r="AQ107">
        <v>170</v>
      </c>
      <c r="AR107">
        <v>2024</v>
      </c>
      <c r="AS107" s="72">
        <v>45292</v>
      </c>
      <c r="AT107" s="72">
        <v>45461</v>
      </c>
      <c r="AU107">
        <v>6</v>
      </c>
    </row>
    <row r="108" spans="1:47">
      <c r="A108" t="s">
        <v>1225</v>
      </c>
      <c r="B108">
        <v>2</v>
      </c>
      <c r="C108" s="72">
        <v>45458</v>
      </c>
      <c r="D108">
        <v>25</v>
      </c>
      <c r="E108" s="173">
        <v>0.45555555555555555</v>
      </c>
      <c r="F108" t="s">
        <v>78</v>
      </c>
      <c r="G108" t="s">
        <v>28</v>
      </c>
      <c r="H108" t="s">
        <v>81</v>
      </c>
      <c r="I108" t="s">
        <v>87</v>
      </c>
      <c r="J108" t="s">
        <v>633</v>
      </c>
      <c r="K108" t="s">
        <v>1035</v>
      </c>
      <c r="L108" t="s">
        <v>77</v>
      </c>
      <c r="M108" t="s">
        <v>674</v>
      </c>
      <c r="N108">
        <v>76060397</v>
      </c>
      <c r="O108" t="s">
        <v>852</v>
      </c>
      <c r="P108" s="154">
        <v>10000205</v>
      </c>
      <c r="Q108" t="s">
        <v>206</v>
      </c>
      <c r="R108" t="s">
        <v>627</v>
      </c>
      <c r="S108" t="s">
        <v>1226</v>
      </c>
      <c r="T108" t="s">
        <v>1227</v>
      </c>
      <c r="U108" t="s">
        <v>1228</v>
      </c>
      <c r="V108" t="s">
        <v>1229</v>
      </c>
      <c r="W108" t="s">
        <v>101</v>
      </c>
      <c r="X108" t="s">
        <v>102</v>
      </c>
      <c r="Y108" s="229">
        <v>510</v>
      </c>
      <c r="Z108" s="176">
        <v>0</v>
      </c>
      <c r="AA108" t="s">
        <v>1230</v>
      </c>
      <c r="AB108" t="s">
        <v>2727</v>
      </c>
      <c r="AC108" t="s">
        <v>39</v>
      </c>
      <c r="AD108" s="199"/>
      <c r="AE108" s="199"/>
      <c r="AF108" s="179"/>
      <c r="AG108" s="179"/>
      <c r="AH108" s="179"/>
      <c r="AI108" s="179"/>
      <c r="AJ108" s="179"/>
      <c r="AK108" s="179"/>
      <c r="AL108" s="305">
        <v>6</v>
      </c>
      <c r="AM108" s="306">
        <v>2024</v>
      </c>
      <c r="AN108" s="250"/>
      <c r="AP108" t="str">
        <f>IF(BD_Bloqueados[[#This Row],[Analista ]]&lt;&gt;"Ana C",MID(BD_Bloqueados[[#This Row],[ID]],3,5),MID(BD_Bloqueados[[#This Row],[ID]],4,5))</f>
        <v>16724</v>
      </c>
      <c r="AQ108">
        <v>167</v>
      </c>
      <c r="AR108">
        <v>2024</v>
      </c>
      <c r="AS108" s="72">
        <v>45292</v>
      </c>
      <c r="AT108" s="72">
        <v>45458</v>
      </c>
      <c r="AU108">
        <v>6</v>
      </c>
    </row>
    <row r="109" spans="1:47">
      <c r="A109" t="s">
        <v>1214</v>
      </c>
      <c r="B109">
        <v>2</v>
      </c>
      <c r="C109" s="72">
        <v>45458</v>
      </c>
      <c r="D109">
        <v>25</v>
      </c>
      <c r="E109" s="173">
        <v>0.53125</v>
      </c>
      <c r="F109" t="s">
        <v>78</v>
      </c>
      <c r="G109" t="s">
        <v>30</v>
      </c>
      <c r="H109" t="s">
        <v>30</v>
      </c>
      <c r="I109" t="s">
        <v>87</v>
      </c>
      <c r="J109" t="s">
        <v>232</v>
      </c>
      <c r="K109" t="s">
        <v>1215</v>
      </c>
      <c r="L109" t="s">
        <v>77</v>
      </c>
      <c r="M109" t="s">
        <v>583</v>
      </c>
      <c r="N109">
        <v>96973910</v>
      </c>
      <c r="O109" t="s">
        <v>624</v>
      </c>
      <c r="P109" s="154">
        <v>10004346</v>
      </c>
      <c r="Q109" t="s">
        <v>206</v>
      </c>
      <c r="R109" t="s">
        <v>580</v>
      </c>
      <c r="S109" t="s">
        <v>1216</v>
      </c>
      <c r="T109" t="s">
        <v>1217</v>
      </c>
      <c r="U109" t="s">
        <v>1218</v>
      </c>
      <c r="V109" t="s">
        <v>1219</v>
      </c>
      <c r="W109" t="s">
        <v>101</v>
      </c>
      <c r="X109" t="s">
        <v>1040</v>
      </c>
      <c r="Y109" s="229">
        <v>155</v>
      </c>
      <c r="Z109" s="176">
        <v>0</v>
      </c>
      <c r="AB109" t="s">
        <v>2727</v>
      </c>
      <c r="AC109" t="s">
        <v>39</v>
      </c>
      <c r="AD109" s="199"/>
      <c r="AE109" s="199"/>
      <c r="AF109" s="179"/>
      <c r="AG109" s="179"/>
      <c r="AH109" s="179"/>
      <c r="AI109" s="179"/>
      <c r="AJ109" s="179"/>
      <c r="AK109" s="179"/>
      <c r="AL109" s="305">
        <v>6</v>
      </c>
      <c r="AM109" s="306">
        <v>2024</v>
      </c>
      <c r="AN109" s="250"/>
      <c r="AP109" t="str">
        <f>IF(BD_Bloqueados[[#This Row],[Analista ]]&lt;&gt;"Ana C",MID(BD_Bloqueados[[#This Row],[ID]],3,5),MID(BD_Bloqueados[[#This Row],[ID]],4,5))</f>
        <v>16724</v>
      </c>
      <c r="AQ109">
        <v>167</v>
      </c>
      <c r="AR109">
        <v>2024</v>
      </c>
      <c r="AS109" s="72">
        <v>45292</v>
      </c>
      <c r="AT109" s="72">
        <v>45458</v>
      </c>
      <c r="AU109">
        <v>6</v>
      </c>
    </row>
    <row r="110" spans="1:47">
      <c r="A110" t="s">
        <v>1231</v>
      </c>
      <c r="B110">
        <v>2</v>
      </c>
      <c r="C110" s="72">
        <v>45457</v>
      </c>
      <c r="D110">
        <v>25</v>
      </c>
      <c r="E110" s="173">
        <v>0.77083333333333337</v>
      </c>
      <c r="F110" t="s">
        <v>109</v>
      </c>
      <c r="G110" t="s">
        <v>28</v>
      </c>
      <c r="H110" t="s">
        <v>165</v>
      </c>
      <c r="I110" t="s">
        <v>143</v>
      </c>
      <c r="J110" t="s">
        <v>595</v>
      </c>
      <c r="K110" t="s">
        <v>1232</v>
      </c>
      <c r="L110" t="s">
        <v>108</v>
      </c>
      <c r="M110" t="s">
        <v>1029</v>
      </c>
      <c r="N110">
        <v>967555800</v>
      </c>
      <c r="O110" t="s">
        <v>263</v>
      </c>
      <c r="P110" s="154">
        <v>13030282</v>
      </c>
      <c r="Q110" t="s">
        <v>138</v>
      </c>
      <c r="R110" t="s">
        <v>627</v>
      </c>
      <c r="S110" t="s">
        <v>1233</v>
      </c>
      <c r="T110" t="s">
        <v>1234</v>
      </c>
      <c r="U110" t="s">
        <v>1235</v>
      </c>
      <c r="V110" t="s">
        <v>1236</v>
      </c>
      <c r="W110" t="s">
        <v>101</v>
      </c>
      <c r="X110" t="s">
        <v>1291</v>
      </c>
      <c r="Y110" s="229">
        <v>483</v>
      </c>
      <c r="Z110" s="176">
        <v>0</v>
      </c>
      <c r="AA110">
        <v>166</v>
      </c>
      <c r="AB110" t="s">
        <v>2727</v>
      </c>
      <c r="AC110" t="s">
        <v>39</v>
      </c>
      <c r="AD110" s="199"/>
      <c r="AE110" s="199"/>
      <c r="AF110" s="179"/>
      <c r="AG110" s="179"/>
      <c r="AH110" s="179"/>
      <c r="AI110" s="179"/>
      <c r="AJ110" s="179"/>
      <c r="AK110" s="179"/>
      <c r="AL110" s="305">
        <v>6</v>
      </c>
      <c r="AM110" s="306">
        <v>2024</v>
      </c>
      <c r="AN110" s="250"/>
      <c r="AP110" t="str">
        <f>IF(BD_Bloqueados[[#This Row],[Analista ]]&lt;&gt;"Ana C",MID(BD_Bloqueados[[#This Row],[ID]],3,5),MID(BD_Bloqueados[[#This Row],[ID]],4,5))</f>
        <v>16624</v>
      </c>
      <c r="AQ110">
        <v>167</v>
      </c>
      <c r="AR110">
        <v>2024</v>
      </c>
      <c r="AS110" s="72">
        <v>45292</v>
      </c>
      <c r="AT110" s="72">
        <v>45458</v>
      </c>
      <c r="AU110">
        <v>6</v>
      </c>
    </row>
    <row r="111" spans="1:47">
      <c r="A111" t="s">
        <v>1237</v>
      </c>
      <c r="B111">
        <v>2</v>
      </c>
      <c r="C111" s="72">
        <v>45457</v>
      </c>
      <c r="D111">
        <v>25</v>
      </c>
      <c r="E111" s="173">
        <v>0.66666666666666663</v>
      </c>
      <c r="F111" t="s">
        <v>109</v>
      </c>
      <c r="G111" t="s">
        <v>28</v>
      </c>
      <c r="H111" t="s">
        <v>81</v>
      </c>
      <c r="I111" t="s">
        <v>143</v>
      </c>
      <c r="J111" t="s">
        <v>595</v>
      </c>
      <c r="K111" t="s">
        <v>1077</v>
      </c>
      <c r="L111" t="s">
        <v>77</v>
      </c>
      <c r="M111" t="s">
        <v>705</v>
      </c>
      <c r="N111">
        <v>76057769</v>
      </c>
      <c r="O111" t="s">
        <v>468</v>
      </c>
      <c r="P111" s="154">
        <v>10002460</v>
      </c>
      <c r="Q111" t="s">
        <v>138</v>
      </c>
      <c r="R111" t="s">
        <v>627</v>
      </c>
      <c r="S111" t="s">
        <v>1238</v>
      </c>
      <c r="T111" t="s">
        <v>1239</v>
      </c>
      <c r="U111" t="s">
        <v>1240</v>
      </c>
      <c r="V111" t="s">
        <v>1241</v>
      </c>
      <c r="W111" t="s">
        <v>101</v>
      </c>
      <c r="X111" t="s">
        <v>1291</v>
      </c>
      <c r="Y111" s="229"/>
      <c r="Z111" s="176">
        <v>0</v>
      </c>
      <c r="AA111">
        <v>4142124</v>
      </c>
      <c r="AB111" t="s">
        <v>2727</v>
      </c>
      <c r="AC111" t="s">
        <v>39</v>
      </c>
      <c r="AD111" s="199"/>
      <c r="AE111" s="199"/>
      <c r="AF111" s="179"/>
      <c r="AG111" s="179"/>
      <c r="AH111" s="179"/>
      <c r="AI111" s="179"/>
      <c r="AJ111" s="179"/>
      <c r="AK111" s="179"/>
      <c r="AL111" s="305">
        <v>6</v>
      </c>
      <c r="AM111" s="306">
        <v>2024</v>
      </c>
      <c r="AN111" s="250"/>
      <c r="AP111" t="str">
        <f>IF(BD_Bloqueados[[#This Row],[Analista ]]&lt;&gt;"Ana C",MID(BD_Bloqueados[[#This Row],[ID]],3,5),MID(BD_Bloqueados[[#This Row],[ID]],4,5))</f>
        <v>16624</v>
      </c>
      <c r="AQ111">
        <v>166</v>
      </c>
      <c r="AR111">
        <v>2024</v>
      </c>
      <c r="AS111" s="72">
        <v>45292</v>
      </c>
      <c r="AT111" s="72">
        <v>45457</v>
      </c>
      <c r="AU111">
        <v>6</v>
      </c>
    </row>
    <row r="112" spans="1:47">
      <c r="A112" t="s">
        <v>1242</v>
      </c>
      <c r="B112">
        <v>2</v>
      </c>
      <c r="C112" s="72">
        <v>45456</v>
      </c>
      <c r="D112">
        <v>25</v>
      </c>
      <c r="E112" s="173">
        <v>0.66666666666666663</v>
      </c>
      <c r="F112" t="s">
        <v>109</v>
      </c>
      <c r="G112" t="s">
        <v>28</v>
      </c>
      <c r="H112" t="s">
        <v>165</v>
      </c>
      <c r="I112" t="s">
        <v>143</v>
      </c>
      <c r="J112" t="s">
        <v>595</v>
      </c>
      <c r="K112" t="s">
        <v>1232</v>
      </c>
      <c r="L112" t="s">
        <v>108</v>
      </c>
      <c r="M112" t="s">
        <v>1029</v>
      </c>
      <c r="N112">
        <v>967555800</v>
      </c>
      <c r="O112" t="s">
        <v>4411</v>
      </c>
      <c r="P112" s="154">
        <v>13030639</v>
      </c>
      <c r="Q112" t="s">
        <v>138</v>
      </c>
      <c r="R112" t="s">
        <v>79</v>
      </c>
      <c r="S112" t="s">
        <v>1243</v>
      </c>
      <c r="T112" t="s">
        <v>1244</v>
      </c>
      <c r="U112" t="s">
        <v>1245</v>
      </c>
      <c r="W112" t="s">
        <v>101</v>
      </c>
      <c r="X112" t="s">
        <v>129</v>
      </c>
      <c r="Y112" s="229">
        <v>22.8</v>
      </c>
      <c r="Z112" s="176">
        <v>86682.000000000015</v>
      </c>
      <c r="AA112">
        <v>113</v>
      </c>
      <c r="AB112" t="s">
        <v>3425</v>
      </c>
      <c r="AC112" t="s">
        <v>1252</v>
      </c>
      <c r="AD112" s="199">
        <v>0.38</v>
      </c>
      <c r="AE112" s="199" t="s">
        <v>1374</v>
      </c>
      <c r="AF112" s="179">
        <v>0</v>
      </c>
      <c r="AG112" s="179">
        <v>97.2</v>
      </c>
      <c r="AH112" s="179">
        <v>1250.2</v>
      </c>
      <c r="AI112" s="179">
        <v>87.1</v>
      </c>
      <c r="AJ112" s="179">
        <v>10.199999999999999</v>
      </c>
      <c r="AK112" s="179">
        <v>0</v>
      </c>
      <c r="AL112" s="305">
        <v>6</v>
      </c>
      <c r="AM112" s="306">
        <v>2024</v>
      </c>
      <c r="AN112" s="250" t="s">
        <v>2688</v>
      </c>
      <c r="AP112" t="str">
        <f>IF(BD_Bloqueados[[#This Row],[Analista ]]&lt;&gt;"Ana C",MID(BD_Bloqueados[[#This Row],[ID]],3,5),MID(BD_Bloqueados[[#This Row],[ID]],4,5))</f>
        <v>16524</v>
      </c>
      <c r="AQ112">
        <v>166</v>
      </c>
      <c r="AR112">
        <v>2024</v>
      </c>
      <c r="AS112" s="72">
        <v>45292</v>
      </c>
      <c r="AT112" s="72">
        <v>45457</v>
      </c>
      <c r="AU112">
        <v>6</v>
      </c>
    </row>
    <row r="113" spans="1:47">
      <c r="A113" t="s">
        <v>1260</v>
      </c>
      <c r="B113">
        <v>2</v>
      </c>
      <c r="C113" s="72">
        <v>45571</v>
      </c>
      <c r="D113">
        <v>25</v>
      </c>
      <c r="E113" s="173">
        <v>0.45833333333333331</v>
      </c>
      <c r="F113" t="s">
        <v>78</v>
      </c>
      <c r="G113" t="s">
        <v>22</v>
      </c>
      <c r="H113" t="s">
        <v>164</v>
      </c>
      <c r="I113" t="s">
        <v>190</v>
      </c>
      <c r="J113" t="s">
        <v>576</v>
      </c>
      <c r="K113" t="s">
        <v>1275</v>
      </c>
      <c r="L113" t="s">
        <v>108</v>
      </c>
      <c r="M113" t="s">
        <v>1029</v>
      </c>
      <c r="N113">
        <v>967555800</v>
      </c>
      <c r="O113" t="s">
        <v>93</v>
      </c>
      <c r="P113" s="154">
        <v>12001396</v>
      </c>
      <c r="Q113" t="s">
        <v>206</v>
      </c>
      <c r="R113" t="s">
        <v>578</v>
      </c>
      <c r="S113" t="s">
        <v>1261</v>
      </c>
      <c r="T113" t="s">
        <v>1262</v>
      </c>
      <c r="U113" t="s">
        <v>1263</v>
      </c>
      <c r="V113" t="s">
        <v>1264</v>
      </c>
      <c r="W113" t="s">
        <v>101</v>
      </c>
      <c r="X113" t="s">
        <v>102</v>
      </c>
      <c r="Y113" s="229">
        <v>5280</v>
      </c>
      <c r="Z113" s="176">
        <v>0</v>
      </c>
      <c r="AA113">
        <v>162</v>
      </c>
      <c r="AB113" t="s">
        <v>1407</v>
      </c>
      <c r="AC113" t="s">
        <v>1349</v>
      </c>
      <c r="AD113" s="199"/>
      <c r="AE113" s="199"/>
      <c r="AF113" s="179"/>
      <c r="AG113" s="179"/>
      <c r="AH113" s="179"/>
      <c r="AI113" s="179"/>
      <c r="AJ113" s="179"/>
      <c r="AK113" s="179"/>
      <c r="AL113" s="305">
        <v>6</v>
      </c>
      <c r="AM113" s="306">
        <v>2024</v>
      </c>
      <c r="AN113" s="250"/>
      <c r="AP113" t="str">
        <f>IF(BD_Bloqueados[[#This Row],[Analista ]]&lt;&gt;"Ana C",MID(BD_Bloqueados[[#This Row],[ID]],3,5),MID(BD_Bloqueados[[#This Row],[ID]],4,5))</f>
        <v>16224</v>
      </c>
      <c r="AQ113">
        <v>165</v>
      </c>
      <c r="AR113">
        <v>2024</v>
      </c>
      <c r="AS113" s="72">
        <v>45292</v>
      </c>
      <c r="AT113" s="72">
        <v>45456</v>
      </c>
      <c r="AU113">
        <v>6</v>
      </c>
    </row>
    <row r="114" spans="1:47">
      <c r="A114" t="s">
        <v>1265</v>
      </c>
      <c r="B114">
        <v>2</v>
      </c>
      <c r="C114" s="72">
        <v>45571</v>
      </c>
      <c r="D114">
        <v>25</v>
      </c>
      <c r="E114" s="173">
        <v>0.625</v>
      </c>
      <c r="F114" t="s">
        <v>109</v>
      </c>
      <c r="G114" t="s">
        <v>28</v>
      </c>
      <c r="H114" t="s">
        <v>165</v>
      </c>
      <c r="I114" t="s">
        <v>143</v>
      </c>
      <c r="J114" t="s">
        <v>595</v>
      </c>
      <c r="K114" t="s">
        <v>1209</v>
      </c>
      <c r="L114" t="s">
        <v>108</v>
      </c>
      <c r="M114" t="s">
        <v>1029</v>
      </c>
      <c r="N114">
        <v>967555800</v>
      </c>
      <c r="O114" t="s">
        <v>810</v>
      </c>
      <c r="P114" s="154">
        <v>13030550</v>
      </c>
      <c r="Q114" t="s">
        <v>206</v>
      </c>
      <c r="R114" t="s">
        <v>579</v>
      </c>
      <c r="S114" t="s">
        <v>1266</v>
      </c>
      <c r="T114" t="s">
        <v>1267</v>
      </c>
      <c r="U114" t="s">
        <v>1245</v>
      </c>
      <c r="V114" t="s">
        <v>1268</v>
      </c>
      <c r="W114" t="s">
        <v>101</v>
      </c>
      <c r="X114" t="s">
        <v>1291</v>
      </c>
      <c r="Y114" s="229">
        <v>79.2</v>
      </c>
      <c r="Z114" s="176">
        <v>0</v>
      </c>
      <c r="AA114">
        <v>162</v>
      </c>
      <c r="AB114" t="s">
        <v>1407</v>
      </c>
      <c r="AC114" t="s">
        <v>1291</v>
      </c>
      <c r="AD114" s="199"/>
      <c r="AE114" s="199"/>
      <c r="AF114" s="179"/>
      <c r="AG114" s="179"/>
      <c r="AH114" s="179"/>
      <c r="AI114" s="179"/>
      <c r="AJ114" s="179"/>
      <c r="AK114" s="179"/>
      <c r="AL114" s="305">
        <v>6</v>
      </c>
      <c r="AM114" s="306">
        <v>2024</v>
      </c>
      <c r="AN114" s="250"/>
      <c r="AP114" t="str">
        <f>IF(BD_Bloqueados[[#This Row],[Analista ]]&lt;&gt;"Ana C",MID(BD_Bloqueados[[#This Row],[ID]],3,5),MID(BD_Bloqueados[[#This Row],[ID]],4,5))</f>
        <v>16224</v>
      </c>
      <c r="AQ114">
        <v>162</v>
      </c>
      <c r="AR114">
        <v>2024</v>
      </c>
      <c r="AS114" s="72">
        <v>45292</v>
      </c>
      <c r="AT114" s="72">
        <v>45453</v>
      </c>
      <c r="AU114">
        <v>6</v>
      </c>
    </row>
    <row r="115" spans="1:47">
      <c r="A115" t="s">
        <v>1254</v>
      </c>
      <c r="B115">
        <v>2</v>
      </c>
      <c r="C115" s="72">
        <v>45571</v>
      </c>
      <c r="D115">
        <v>25</v>
      </c>
      <c r="E115" s="173">
        <v>0.47916666666666669</v>
      </c>
      <c r="F115" t="s">
        <v>78</v>
      </c>
      <c r="G115" t="s">
        <v>23</v>
      </c>
      <c r="H115" t="s">
        <v>164</v>
      </c>
      <c r="I115" t="s">
        <v>190</v>
      </c>
      <c r="J115" t="s">
        <v>576</v>
      </c>
      <c r="K115" t="s">
        <v>1255</v>
      </c>
      <c r="L115" t="s">
        <v>108</v>
      </c>
      <c r="M115" t="s">
        <v>1029</v>
      </c>
      <c r="N115">
        <v>967555800</v>
      </c>
      <c r="O115" t="s">
        <v>285</v>
      </c>
      <c r="P115" s="154">
        <v>13030597</v>
      </c>
      <c r="Q115" t="s">
        <v>206</v>
      </c>
      <c r="R115" t="s">
        <v>578</v>
      </c>
      <c r="S115" t="s">
        <v>1256</v>
      </c>
      <c r="T115" t="s">
        <v>1257</v>
      </c>
      <c r="U115" t="s">
        <v>1258</v>
      </c>
      <c r="V115" t="s">
        <v>1259</v>
      </c>
      <c r="W115" t="s">
        <v>101</v>
      </c>
      <c r="X115" t="s">
        <v>1291</v>
      </c>
      <c r="Y115" s="229">
        <v>1680</v>
      </c>
      <c r="Z115" s="176">
        <v>0</v>
      </c>
      <c r="AA115">
        <v>162</v>
      </c>
      <c r="AB115" t="s">
        <v>1407</v>
      </c>
      <c r="AC115" t="s">
        <v>1479</v>
      </c>
      <c r="AD115" s="199"/>
      <c r="AE115" s="199"/>
      <c r="AF115" s="179"/>
      <c r="AG115" s="179"/>
      <c r="AH115" s="179"/>
      <c r="AI115" s="179"/>
      <c r="AJ115" s="179"/>
      <c r="AK115" s="179"/>
      <c r="AL115" s="305">
        <v>6</v>
      </c>
      <c r="AM115" s="306">
        <v>2024</v>
      </c>
      <c r="AN115" s="250"/>
      <c r="AP115" t="str">
        <f>IF(BD_Bloqueados[[#This Row],[Analista ]]&lt;&gt;"Ana C",MID(BD_Bloqueados[[#This Row],[ID]],3,5),MID(BD_Bloqueados[[#This Row],[ID]],4,5))</f>
        <v>16224</v>
      </c>
      <c r="AQ115">
        <v>162</v>
      </c>
      <c r="AR115">
        <v>2024</v>
      </c>
      <c r="AS115" s="72">
        <v>45292</v>
      </c>
      <c r="AT115" s="72">
        <v>45453</v>
      </c>
      <c r="AU115">
        <v>6</v>
      </c>
    </row>
    <row r="116" spans="1:47">
      <c r="A116" t="s">
        <v>1269</v>
      </c>
      <c r="B116">
        <v>2</v>
      </c>
      <c r="C116" s="72">
        <v>45571</v>
      </c>
      <c r="D116">
        <v>25</v>
      </c>
      <c r="E116" s="173">
        <v>0.47916666666666669</v>
      </c>
      <c r="F116" t="s">
        <v>78</v>
      </c>
      <c r="G116" t="s">
        <v>28</v>
      </c>
      <c r="H116" t="s">
        <v>165</v>
      </c>
      <c r="I116" t="s">
        <v>645</v>
      </c>
      <c r="J116" t="s">
        <v>633</v>
      </c>
      <c r="K116" t="s">
        <v>1270</v>
      </c>
      <c r="L116" t="s">
        <v>108</v>
      </c>
      <c r="M116" t="s">
        <v>1029</v>
      </c>
      <c r="N116">
        <v>967555800</v>
      </c>
      <c r="O116" t="s">
        <v>810</v>
      </c>
      <c r="P116" s="154">
        <v>13030550</v>
      </c>
      <c r="Q116" t="s">
        <v>206</v>
      </c>
      <c r="R116" t="s">
        <v>579</v>
      </c>
      <c r="S116" t="s">
        <v>1271</v>
      </c>
      <c r="T116" t="s">
        <v>1272</v>
      </c>
      <c r="U116" t="s">
        <v>1273</v>
      </c>
      <c r="V116" t="s">
        <v>1274</v>
      </c>
      <c r="W116" t="s">
        <v>101</v>
      </c>
      <c r="X116" t="s">
        <v>1291</v>
      </c>
      <c r="Y116" s="229"/>
      <c r="Z116" s="176">
        <v>0</v>
      </c>
      <c r="AA116">
        <v>162</v>
      </c>
      <c r="AB116" t="s">
        <v>1407</v>
      </c>
      <c r="AC116" t="s">
        <v>1291</v>
      </c>
      <c r="AD116" s="199"/>
      <c r="AE116" s="199"/>
      <c r="AF116" s="179"/>
      <c r="AG116" s="179"/>
      <c r="AH116" s="179"/>
      <c r="AI116" s="179"/>
      <c r="AJ116" s="179"/>
      <c r="AK116" s="179"/>
      <c r="AL116" s="305">
        <v>6</v>
      </c>
      <c r="AM116" s="306">
        <v>2024</v>
      </c>
      <c r="AN116" s="250"/>
      <c r="AP116" t="str">
        <f>IF(BD_Bloqueados[[#This Row],[Analista ]]&lt;&gt;"Ana C",MID(BD_Bloqueados[[#This Row],[ID]],3,5),MID(BD_Bloqueados[[#This Row],[ID]],4,5))</f>
        <v>16224</v>
      </c>
      <c r="AQ116">
        <v>162</v>
      </c>
      <c r="AR116">
        <v>2024</v>
      </c>
      <c r="AS116" s="72">
        <v>45292</v>
      </c>
      <c r="AT116" s="72">
        <v>45453</v>
      </c>
      <c r="AU116">
        <v>6</v>
      </c>
    </row>
    <row r="117" spans="1:47">
      <c r="A117" t="s">
        <v>1293</v>
      </c>
      <c r="B117">
        <v>2</v>
      </c>
      <c r="C117" s="72">
        <v>45479</v>
      </c>
      <c r="D117">
        <v>24</v>
      </c>
      <c r="E117" s="173">
        <v>0.40625</v>
      </c>
      <c r="F117" t="s">
        <v>78</v>
      </c>
      <c r="G117" t="s">
        <v>27</v>
      </c>
      <c r="H117" t="s">
        <v>209</v>
      </c>
      <c r="I117" t="s">
        <v>615</v>
      </c>
      <c r="J117" t="s">
        <v>588</v>
      </c>
      <c r="K117" t="s">
        <v>1196</v>
      </c>
      <c r="L117" t="s">
        <v>108</v>
      </c>
      <c r="M117" t="s">
        <v>1029</v>
      </c>
      <c r="N117">
        <v>967555800</v>
      </c>
      <c r="O117" t="s">
        <v>99</v>
      </c>
      <c r="P117" s="154">
        <v>13001756</v>
      </c>
      <c r="Q117" t="s">
        <v>185</v>
      </c>
      <c r="R117" t="s">
        <v>579</v>
      </c>
      <c r="S117" t="s">
        <v>1294</v>
      </c>
      <c r="T117" t="s">
        <v>1295</v>
      </c>
      <c r="U117" t="s">
        <v>1296</v>
      </c>
      <c r="V117" t="s">
        <v>1297</v>
      </c>
      <c r="W117" t="s">
        <v>101</v>
      </c>
      <c r="X117" t="s">
        <v>156</v>
      </c>
      <c r="Y117" s="229">
        <v>138</v>
      </c>
      <c r="Z117" s="176">
        <v>0</v>
      </c>
      <c r="AA117" t="s">
        <v>1298</v>
      </c>
      <c r="AB117" t="s">
        <v>1400</v>
      </c>
      <c r="AC117" t="s">
        <v>1291</v>
      </c>
      <c r="AD117" s="199"/>
      <c r="AE117" s="199"/>
      <c r="AF117" s="179"/>
      <c r="AG117" s="179"/>
      <c r="AH117" s="179"/>
      <c r="AI117" s="179"/>
      <c r="AJ117" s="179"/>
      <c r="AK117" s="179"/>
      <c r="AL117" s="305">
        <v>6</v>
      </c>
      <c r="AM117" s="306">
        <v>2024</v>
      </c>
      <c r="AN117" s="250"/>
      <c r="AP117" t="str">
        <f>IF(BD_Bloqueados[[#This Row],[Analista ]]&lt;&gt;"Ana C",MID(BD_Bloqueados[[#This Row],[ID]],3,5),MID(BD_Bloqueados[[#This Row],[ID]],4,5))</f>
        <v>15924</v>
      </c>
      <c r="AQ117">
        <v>162</v>
      </c>
      <c r="AR117">
        <v>2024</v>
      </c>
      <c r="AS117" s="72">
        <v>45292</v>
      </c>
      <c r="AT117" s="72">
        <v>45453</v>
      </c>
      <c r="AU117">
        <v>6</v>
      </c>
    </row>
    <row r="118" spans="1:47">
      <c r="A118" t="s">
        <v>1305</v>
      </c>
      <c r="B118">
        <v>2</v>
      </c>
      <c r="C118" s="72">
        <v>45479</v>
      </c>
      <c r="D118">
        <v>24</v>
      </c>
      <c r="E118" s="173">
        <v>0.89583333333333337</v>
      </c>
      <c r="F118" t="s">
        <v>136</v>
      </c>
      <c r="G118" t="s">
        <v>22</v>
      </c>
      <c r="H118" t="s">
        <v>164</v>
      </c>
      <c r="I118" t="s">
        <v>143</v>
      </c>
      <c r="J118" t="s">
        <v>607</v>
      </c>
      <c r="K118" t="s">
        <v>1306</v>
      </c>
      <c r="L118" t="s">
        <v>108</v>
      </c>
      <c r="M118" t="s">
        <v>1029</v>
      </c>
      <c r="N118">
        <v>967555800</v>
      </c>
      <c r="O118" t="s">
        <v>219</v>
      </c>
      <c r="P118" s="154">
        <v>13030543</v>
      </c>
      <c r="Q118" t="s">
        <v>185</v>
      </c>
      <c r="R118" t="s">
        <v>600</v>
      </c>
      <c r="S118" t="s">
        <v>1307</v>
      </c>
      <c r="T118" t="s">
        <v>1308</v>
      </c>
      <c r="U118" t="s">
        <v>1309</v>
      </c>
      <c r="V118" t="s">
        <v>1310</v>
      </c>
      <c r="W118" t="s">
        <v>101</v>
      </c>
      <c r="X118" t="s">
        <v>156</v>
      </c>
      <c r="Y118" s="229">
        <v>5280</v>
      </c>
      <c r="Z118" s="176">
        <v>184557.12</v>
      </c>
      <c r="AA118">
        <v>158</v>
      </c>
      <c r="AB118" t="s">
        <v>1736</v>
      </c>
      <c r="AC118" t="s">
        <v>1252</v>
      </c>
      <c r="AD118" s="199">
        <v>1</v>
      </c>
      <c r="AE118" s="199" t="s">
        <v>1292</v>
      </c>
      <c r="AF118" s="179">
        <v>0</v>
      </c>
      <c r="AG118" s="179">
        <v>0.4</v>
      </c>
      <c r="AH118" s="179">
        <v>0</v>
      </c>
      <c r="AI118" s="179">
        <v>34.554000000000002</v>
      </c>
      <c r="AJ118" s="179">
        <v>0</v>
      </c>
      <c r="AK118" s="179">
        <v>0</v>
      </c>
      <c r="AL118" s="305">
        <v>6</v>
      </c>
      <c r="AM118" s="306">
        <v>2024</v>
      </c>
      <c r="AN118" s="250" t="s">
        <v>4412</v>
      </c>
      <c r="AP118" t="str">
        <f>IF(BD_Bloqueados[[#This Row],[Analista ]]&lt;&gt;"Ana C",MID(BD_Bloqueados[[#This Row],[ID]],3,5),MID(BD_Bloqueados[[#This Row],[ID]],4,5))</f>
        <v>15924</v>
      </c>
      <c r="AQ118">
        <v>162</v>
      </c>
      <c r="AR118">
        <v>2024</v>
      </c>
      <c r="AS118" s="72">
        <v>45292</v>
      </c>
      <c r="AT118" s="72">
        <v>45453</v>
      </c>
      <c r="AU118">
        <v>6</v>
      </c>
    </row>
    <row r="119" spans="1:47">
      <c r="A119" t="s">
        <v>1311</v>
      </c>
      <c r="B119">
        <v>2</v>
      </c>
      <c r="C119" s="72">
        <v>45479</v>
      </c>
      <c r="D119">
        <v>24</v>
      </c>
      <c r="E119" s="173">
        <v>0.15972222222222224</v>
      </c>
      <c r="F119" t="s">
        <v>136</v>
      </c>
      <c r="G119" t="s">
        <v>28</v>
      </c>
      <c r="H119" t="s">
        <v>165</v>
      </c>
      <c r="I119" t="s">
        <v>248</v>
      </c>
      <c r="J119" t="s">
        <v>633</v>
      </c>
      <c r="K119" t="s">
        <v>1209</v>
      </c>
      <c r="L119" t="s">
        <v>108</v>
      </c>
      <c r="M119" t="s">
        <v>1029</v>
      </c>
      <c r="N119">
        <v>967555800</v>
      </c>
      <c r="O119" t="s">
        <v>284</v>
      </c>
      <c r="P119" s="154">
        <v>13030285</v>
      </c>
      <c r="Q119" t="s">
        <v>138</v>
      </c>
      <c r="R119" t="s">
        <v>589</v>
      </c>
      <c r="S119" t="s">
        <v>1312</v>
      </c>
      <c r="T119" t="s">
        <v>1313</v>
      </c>
      <c r="U119" t="s">
        <v>1314</v>
      </c>
      <c r="V119" t="s">
        <v>1315</v>
      </c>
      <c r="W119" t="s">
        <v>101</v>
      </c>
      <c r="X119" t="s">
        <v>102</v>
      </c>
      <c r="Y119" s="229"/>
      <c r="Z119" s="176">
        <v>0</v>
      </c>
      <c r="AA119">
        <v>159</v>
      </c>
      <c r="AB119" t="s">
        <v>1356</v>
      </c>
      <c r="AC119" t="s">
        <v>1349</v>
      </c>
      <c r="AD119" s="199"/>
      <c r="AE119" s="199"/>
      <c r="AF119" s="179"/>
      <c r="AG119" s="179"/>
      <c r="AH119" s="179"/>
      <c r="AI119" s="179"/>
      <c r="AJ119" s="179"/>
      <c r="AK119" s="179"/>
      <c r="AL119" s="305">
        <v>6</v>
      </c>
      <c r="AM119" s="306">
        <v>2024</v>
      </c>
      <c r="AN119" s="250"/>
      <c r="AP119" t="str">
        <f>IF(BD_Bloqueados[[#This Row],[Analista ]]&lt;&gt;"Ana C",MID(BD_Bloqueados[[#This Row],[ID]],3,5),MID(BD_Bloqueados[[#This Row],[ID]],4,5))</f>
        <v>15924</v>
      </c>
      <c r="AQ119">
        <v>158</v>
      </c>
      <c r="AR119">
        <v>2024</v>
      </c>
      <c r="AS119" s="72">
        <v>45292</v>
      </c>
      <c r="AT119" s="72">
        <v>45449</v>
      </c>
      <c r="AU119">
        <v>6</v>
      </c>
    </row>
    <row r="120" spans="1:47">
      <c r="A120" t="s">
        <v>1316</v>
      </c>
      <c r="B120">
        <v>2</v>
      </c>
      <c r="C120" s="72">
        <v>45479</v>
      </c>
      <c r="D120">
        <v>24</v>
      </c>
      <c r="E120" s="173">
        <v>0.16666666666666666</v>
      </c>
      <c r="F120" t="s">
        <v>136</v>
      </c>
      <c r="G120" t="s">
        <v>28</v>
      </c>
      <c r="H120" t="s">
        <v>165</v>
      </c>
      <c r="I120" t="s">
        <v>248</v>
      </c>
      <c r="J120" t="s">
        <v>633</v>
      </c>
      <c r="K120" t="s">
        <v>1209</v>
      </c>
      <c r="L120" t="s">
        <v>108</v>
      </c>
      <c r="M120" t="s">
        <v>1029</v>
      </c>
      <c r="N120">
        <v>967555800</v>
      </c>
      <c r="O120" t="s">
        <v>120</v>
      </c>
      <c r="P120" s="154">
        <v>13000012</v>
      </c>
      <c r="Q120" t="s">
        <v>138</v>
      </c>
      <c r="R120" t="s">
        <v>589</v>
      </c>
      <c r="S120" t="s">
        <v>1317</v>
      </c>
      <c r="T120" t="s">
        <v>1318</v>
      </c>
      <c r="U120" t="s">
        <v>1319</v>
      </c>
      <c r="V120" t="s">
        <v>1320</v>
      </c>
      <c r="W120" t="s">
        <v>101</v>
      </c>
      <c r="X120" t="s">
        <v>1291</v>
      </c>
      <c r="Y120" s="229">
        <v>1353.6</v>
      </c>
      <c r="Z120" s="176">
        <v>0</v>
      </c>
      <c r="AA120">
        <v>159</v>
      </c>
      <c r="AB120" t="s">
        <v>2483</v>
      </c>
      <c r="AC120" t="s">
        <v>1291</v>
      </c>
      <c r="AD120" s="199"/>
      <c r="AE120" s="199"/>
      <c r="AF120" s="179"/>
      <c r="AG120" s="179"/>
      <c r="AH120" s="179"/>
      <c r="AI120" s="179"/>
      <c r="AJ120" s="179"/>
      <c r="AK120" s="179"/>
      <c r="AL120" s="305">
        <v>6</v>
      </c>
      <c r="AM120" s="306">
        <v>2024</v>
      </c>
      <c r="AN120" s="250"/>
      <c r="AP120" t="str">
        <f>IF(BD_Bloqueados[[#This Row],[Analista ]]&lt;&gt;"Ana C",MID(BD_Bloqueados[[#This Row],[ID]],3,5),MID(BD_Bloqueados[[#This Row],[ID]],4,5))</f>
        <v>15924</v>
      </c>
      <c r="AQ120">
        <v>158</v>
      </c>
      <c r="AR120">
        <v>2024</v>
      </c>
      <c r="AS120" s="72">
        <v>45292</v>
      </c>
      <c r="AT120" s="72">
        <v>45449</v>
      </c>
      <c r="AU120">
        <v>6</v>
      </c>
    </row>
    <row r="121" spans="1:47">
      <c r="A121" t="s">
        <v>1331</v>
      </c>
      <c r="B121">
        <v>2</v>
      </c>
      <c r="C121" s="72">
        <v>45449</v>
      </c>
      <c r="D121">
        <v>24</v>
      </c>
      <c r="E121" s="173">
        <v>0.375</v>
      </c>
      <c r="F121" t="s">
        <v>78</v>
      </c>
      <c r="G121" t="s">
        <v>26</v>
      </c>
      <c r="H121" t="s">
        <v>165</v>
      </c>
      <c r="I121" t="s">
        <v>635</v>
      </c>
      <c r="J121" t="s">
        <v>169</v>
      </c>
      <c r="K121" t="s">
        <v>1332</v>
      </c>
      <c r="L121" t="s">
        <v>108</v>
      </c>
      <c r="M121" t="s">
        <v>1029</v>
      </c>
      <c r="N121">
        <v>967555800</v>
      </c>
      <c r="O121" t="s">
        <v>755</v>
      </c>
      <c r="P121" s="154">
        <v>13030601</v>
      </c>
      <c r="Q121" t="s">
        <v>185</v>
      </c>
      <c r="R121" t="s">
        <v>596</v>
      </c>
      <c r="S121" t="s">
        <v>1333</v>
      </c>
      <c r="T121" t="s">
        <v>1334</v>
      </c>
      <c r="U121" t="s">
        <v>1335</v>
      </c>
      <c r="V121" t="s">
        <v>1336</v>
      </c>
      <c r="W121" t="s">
        <v>101</v>
      </c>
      <c r="X121" t="s">
        <v>102</v>
      </c>
      <c r="Y121" s="229">
        <v>1400</v>
      </c>
      <c r="Z121" s="176">
        <v>0</v>
      </c>
      <c r="AA121">
        <v>158</v>
      </c>
      <c r="AB121" t="s">
        <v>2190</v>
      </c>
      <c r="AC121" t="s">
        <v>1252</v>
      </c>
      <c r="AD121" s="199"/>
      <c r="AE121" s="199"/>
      <c r="AF121" s="179"/>
      <c r="AG121" s="179"/>
      <c r="AH121" s="179"/>
      <c r="AI121" s="179"/>
      <c r="AJ121" s="179"/>
      <c r="AK121" s="179"/>
      <c r="AL121" s="305">
        <v>6</v>
      </c>
      <c r="AM121" s="306">
        <v>2024</v>
      </c>
      <c r="AN121" s="250" t="s">
        <v>1283</v>
      </c>
      <c r="AP121" t="str">
        <f>IF(BD_Bloqueados[[#This Row],[Analista ]]&lt;&gt;"Ana C",MID(BD_Bloqueados[[#This Row],[ID]],3,5),MID(BD_Bloqueados[[#This Row],[ID]],4,5))</f>
        <v>15824</v>
      </c>
      <c r="AQ121">
        <v>158</v>
      </c>
      <c r="AR121">
        <v>2024</v>
      </c>
      <c r="AS121" s="72">
        <v>45292</v>
      </c>
      <c r="AT121" s="72">
        <v>45449</v>
      </c>
      <c r="AU121">
        <v>6</v>
      </c>
    </row>
    <row r="122" spans="1:47">
      <c r="A122" t="s">
        <v>1327</v>
      </c>
      <c r="B122">
        <v>2</v>
      </c>
      <c r="C122" s="72">
        <v>45449</v>
      </c>
      <c r="D122">
        <v>24</v>
      </c>
      <c r="E122" s="173">
        <v>0.91666666666666663</v>
      </c>
      <c r="F122" t="s">
        <v>136</v>
      </c>
      <c r="G122" t="s">
        <v>22</v>
      </c>
      <c r="H122" t="s">
        <v>164</v>
      </c>
      <c r="I122" t="s">
        <v>143</v>
      </c>
      <c r="J122" t="s">
        <v>607</v>
      </c>
      <c r="K122" t="s">
        <v>1306</v>
      </c>
      <c r="L122" t="s">
        <v>108</v>
      </c>
      <c r="M122" t="s">
        <v>1029</v>
      </c>
      <c r="N122">
        <v>967555800</v>
      </c>
      <c r="O122" t="s">
        <v>149</v>
      </c>
      <c r="P122" s="154">
        <v>12001406</v>
      </c>
      <c r="Q122" t="s">
        <v>138</v>
      </c>
      <c r="R122" t="s">
        <v>589</v>
      </c>
      <c r="S122" t="s">
        <v>1328</v>
      </c>
      <c r="T122" t="s">
        <v>1324</v>
      </c>
      <c r="U122" t="s">
        <v>1329</v>
      </c>
      <c r="V122" t="s">
        <v>1330</v>
      </c>
      <c r="W122" t="s">
        <v>101</v>
      </c>
      <c r="X122" t="s">
        <v>102</v>
      </c>
      <c r="Y122" s="229">
        <v>1050</v>
      </c>
      <c r="Z122" s="176">
        <v>0</v>
      </c>
      <c r="AA122">
        <v>157</v>
      </c>
      <c r="AB122" t="s">
        <v>1356</v>
      </c>
      <c r="AC122" t="s">
        <v>1252</v>
      </c>
      <c r="AD122" s="199"/>
      <c r="AE122" s="199"/>
      <c r="AF122" s="179"/>
      <c r="AG122" s="179"/>
      <c r="AH122" s="179"/>
      <c r="AI122" s="179"/>
      <c r="AJ122" s="179"/>
      <c r="AK122" s="179"/>
      <c r="AL122" s="305">
        <v>6</v>
      </c>
      <c r="AM122" s="306">
        <v>2024</v>
      </c>
      <c r="AN122" s="250" t="s">
        <v>4080</v>
      </c>
      <c r="AP122" t="str">
        <f>IF(BD_Bloqueados[[#This Row],[Analista ]]&lt;&gt;"Ana C",MID(BD_Bloqueados[[#This Row],[ID]],3,5),MID(BD_Bloqueados[[#This Row],[ID]],4,5))</f>
        <v>15824</v>
      </c>
      <c r="AQ122">
        <v>127</v>
      </c>
      <c r="AR122">
        <v>2024</v>
      </c>
      <c r="AS122" s="72">
        <v>45292</v>
      </c>
      <c r="AT122" s="72">
        <v>45418</v>
      </c>
      <c r="AU122">
        <v>5</v>
      </c>
    </row>
    <row r="123" spans="1:47">
      <c r="A123" t="s">
        <v>1321</v>
      </c>
      <c r="B123">
        <v>2</v>
      </c>
      <c r="C123" s="72">
        <v>45449</v>
      </c>
      <c r="D123">
        <v>24</v>
      </c>
      <c r="E123" s="173">
        <v>0.91666666666666663</v>
      </c>
      <c r="F123" t="s">
        <v>136</v>
      </c>
      <c r="G123" t="s">
        <v>23</v>
      </c>
      <c r="H123" t="s">
        <v>164</v>
      </c>
      <c r="I123" t="s">
        <v>143</v>
      </c>
      <c r="J123" t="s">
        <v>607</v>
      </c>
      <c r="K123" t="s">
        <v>1322</v>
      </c>
      <c r="L123" t="s">
        <v>108</v>
      </c>
      <c r="M123" t="s">
        <v>1029</v>
      </c>
      <c r="N123">
        <v>967555800</v>
      </c>
      <c r="O123" t="s">
        <v>122</v>
      </c>
      <c r="P123" s="154">
        <v>12001472</v>
      </c>
      <c r="Q123" t="s">
        <v>138</v>
      </c>
      <c r="R123" t="s">
        <v>589</v>
      </c>
      <c r="S123" t="s">
        <v>1323</v>
      </c>
      <c r="T123" t="s">
        <v>1324</v>
      </c>
      <c r="U123" t="s">
        <v>1325</v>
      </c>
      <c r="V123" t="s">
        <v>1326</v>
      </c>
      <c r="W123" t="s">
        <v>101</v>
      </c>
      <c r="X123" t="s">
        <v>102</v>
      </c>
      <c r="Y123" s="229">
        <v>616</v>
      </c>
      <c r="Z123" s="176">
        <v>0</v>
      </c>
      <c r="AA123">
        <v>157</v>
      </c>
      <c r="AB123" t="s">
        <v>1356</v>
      </c>
      <c r="AC123" t="s">
        <v>1252</v>
      </c>
      <c r="AD123" s="199"/>
      <c r="AE123" s="199"/>
      <c r="AF123" s="179"/>
      <c r="AG123" s="179"/>
      <c r="AH123" s="179"/>
      <c r="AI123" s="179"/>
      <c r="AJ123" s="179"/>
      <c r="AK123" s="179"/>
      <c r="AL123" s="305">
        <v>6</v>
      </c>
      <c r="AM123" s="306">
        <v>2024</v>
      </c>
      <c r="AN123" s="250" t="s">
        <v>4080</v>
      </c>
      <c r="AP123" t="str">
        <f>IF(BD_Bloqueados[[#This Row],[Analista ]]&lt;&gt;"Ana C",MID(BD_Bloqueados[[#This Row],[ID]],3,5),MID(BD_Bloqueados[[#This Row],[ID]],4,5))</f>
        <v>15824</v>
      </c>
      <c r="AQ123">
        <v>129</v>
      </c>
      <c r="AR123">
        <v>2024</v>
      </c>
      <c r="AS123" s="72">
        <v>45292</v>
      </c>
      <c r="AT123" s="72">
        <v>45420</v>
      </c>
      <c r="AU123">
        <v>5</v>
      </c>
    </row>
    <row r="124" spans="1:47">
      <c r="A124" t="s">
        <v>1917</v>
      </c>
      <c r="B124">
        <v>2</v>
      </c>
      <c r="C124" s="72">
        <v>45388</v>
      </c>
      <c r="D124">
        <v>24</v>
      </c>
      <c r="E124" s="173">
        <v>0.88888888888888884</v>
      </c>
      <c r="F124" t="s">
        <v>136</v>
      </c>
      <c r="G124" t="s">
        <v>26</v>
      </c>
      <c r="H124" t="s">
        <v>165</v>
      </c>
      <c r="I124" t="s">
        <v>143</v>
      </c>
      <c r="J124" t="s">
        <v>607</v>
      </c>
      <c r="K124" t="s">
        <v>1402</v>
      </c>
      <c r="L124" t="s">
        <v>108</v>
      </c>
      <c r="M124" t="s">
        <v>1029</v>
      </c>
      <c r="N124">
        <v>967555800</v>
      </c>
      <c r="O124" t="s">
        <v>751</v>
      </c>
      <c r="P124" s="154">
        <v>13030605</v>
      </c>
      <c r="Q124" t="s">
        <v>185</v>
      </c>
      <c r="R124" t="s">
        <v>600</v>
      </c>
      <c r="S124" t="s">
        <v>1918</v>
      </c>
      <c r="T124" t="s">
        <v>1919</v>
      </c>
      <c r="U124" t="s">
        <v>1920</v>
      </c>
      <c r="V124" t="s">
        <v>1921</v>
      </c>
      <c r="W124" t="s">
        <v>101</v>
      </c>
      <c r="X124" t="s">
        <v>102</v>
      </c>
      <c r="Y124" s="229">
        <v>1050</v>
      </c>
      <c r="Z124" s="176">
        <v>0</v>
      </c>
      <c r="AA124">
        <v>155</v>
      </c>
      <c r="AB124" t="s">
        <v>3669</v>
      </c>
      <c r="AC124" t="s">
        <v>1252</v>
      </c>
      <c r="AD124" s="199"/>
      <c r="AE124" s="199"/>
      <c r="AF124" s="179"/>
      <c r="AG124" s="179"/>
      <c r="AH124" s="179"/>
      <c r="AI124" s="179"/>
      <c r="AJ124" s="179"/>
      <c r="AK124" s="179"/>
      <c r="AL124" s="305">
        <v>6</v>
      </c>
      <c r="AM124" s="306">
        <v>2024</v>
      </c>
      <c r="AN124" s="250" t="s">
        <v>1460</v>
      </c>
      <c r="AP124" t="str">
        <f>IF(BD_Bloqueados[[#This Row],[Analista ]]&lt;&gt;"Ana C",MID(BD_Bloqueados[[#This Row],[ID]],3,5),MID(BD_Bloqueados[[#This Row],[ID]],4,5))</f>
        <v>15624</v>
      </c>
      <c r="AQ124">
        <v>127</v>
      </c>
      <c r="AR124">
        <v>2024</v>
      </c>
      <c r="AS124" s="72">
        <v>45292</v>
      </c>
      <c r="AT124" s="72">
        <v>45418</v>
      </c>
      <c r="AU124">
        <v>5</v>
      </c>
    </row>
    <row r="125" spans="1:47">
      <c r="A125" t="s">
        <v>1911</v>
      </c>
      <c r="B125">
        <v>2</v>
      </c>
      <c r="C125" s="72">
        <v>45388</v>
      </c>
      <c r="D125">
        <v>24</v>
      </c>
      <c r="E125" s="173">
        <v>0.74305555555555558</v>
      </c>
      <c r="F125" t="s">
        <v>109</v>
      </c>
      <c r="G125" t="s">
        <v>26</v>
      </c>
      <c r="H125" t="s">
        <v>165</v>
      </c>
      <c r="I125" t="s">
        <v>645</v>
      </c>
      <c r="J125" t="s">
        <v>576</v>
      </c>
      <c r="K125" t="s">
        <v>1912</v>
      </c>
      <c r="L125" t="s">
        <v>108</v>
      </c>
      <c r="M125" t="s">
        <v>1029</v>
      </c>
      <c r="N125">
        <v>967555800</v>
      </c>
      <c r="O125" t="s">
        <v>759</v>
      </c>
      <c r="P125" s="154">
        <v>13030603</v>
      </c>
      <c r="Q125" t="s">
        <v>206</v>
      </c>
      <c r="R125" t="s">
        <v>578</v>
      </c>
      <c r="S125" t="s">
        <v>1913</v>
      </c>
      <c r="T125" t="s">
        <v>1914</v>
      </c>
      <c r="U125" t="s">
        <v>1915</v>
      </c>
      <c r="V125" t="s">
        <v>1916</v>
      </c>
      <c r="W125" t="s">
        <v>101</v>
      </c>
      <c r="X125" t="s">
        <v>1291</v>
      </c>
      <c r="Y125" s="229">
        <v>1950</v>
      </c>
      <c r="Z125" s="176">
        <v>0</v>
      </c>
      <c r="AA125">
        <v>156</v>
      </c>
      <c r="AB125" t="s">
        <v>1407</v>
      </c>
      <c r="AC125" t="s">
        <v>1349</v>
      </c>
      <c r="AD125" s="199"/>
      <c r="AE125" s="199"/>
      <c r="AF125" s="179"/>
      <c r="AG125" s="179"/>
      <c r="AH125" s="179"/>
      <c r="AI125" s="179"/>
      <c r="AJ125" s="179"/>
      <c r="AK125" s="179"/>
      <c r="AL125" s="305">
        <v>6</v>
      </c>
      <c r="AM125" s="306">
        <v>2024</v>
      </c>
      <c r="AN125" s="250"/>
      <c r="AP125" t="str">
        <f>IF(BD_Bloqueados[[#This Row],[Analista ]]&lt;&gt;"Ana C",MID(BD_Bloqueados[[#This Row],[ID]],3,5),MID(BD_Bloqueados[[#This Row],[ID]],4,5))</f>
        <v>15624</v>
      </c>
      <c r="AQ125">
        <v>127</v>
      </c>
      <c r="AR125">
        <v>2024</v>
      </c>
      <c r="AS125" s="72">
        <v>45292</v>
      </c>
      <c r="AT125" s="72">
        <v>45418</v>
      </c>
      <c r="AU125">
        <v>5</v>
      </c>
    </row>
    <row r="126" spans="1:47">
      <c r="A126" t="s">
        <v>1899</v>
      </c>
      <c r="B126">
        <v>2</v>
      </c>
      <c r="C126" s="72">
        <v>45388</v>
      </c>
      <c r="D126">
        <v>24</v>
      </c>
      <c r="E126" s="173">
        <v>0.24305555555555555</v>
      </c>
      <c r="F126" t="s">
        <v>136</v>
      </c>
      <c r="G126" t="s">
        <v>28</v>
      </c>
      <c r="H126" t="s">
        <v>81</v>
      </c>
      <c r="I126" t="s">
        <v>248</v>
      </c>
      <c r="J126" t="s">
        <v>633</v>
      </c>
      <c r="K126" t="s">
        <v>1077</v>
      </c>
      <c r="L126" t="s">
        <v>77</v>
      </c>
      <c r="M126" t="s">
        <v>657</v>
      </c>
      <c r="N126">
        <v>81094100</v>
      </c>
      <c r="O126" t="s">
        <v>510</v>
      </c>
      <c r="P126" s="154">
        <v>10000438</v>
      </c>
      <c r="Q126" t="s">
        <v>138</v>
      </c>
      <c r="R126" t="s">
        <v>79</v>
      </c>
      <c r="S126" t="s">
        <v>1900</v>
      </c>
      <c r="T126" t="s">
        <v>1901</v>
      </c>
      <c r="U126" t="s">
        <v>1902</v>
      </c>
      <c r="V126" t="s">
        <v>1903</v>
      </c>
      <c r="W126" t="s">
        <v>101</v>
      </c>
      <c r="X126" t="s">
        <v>1291</v>
      </c>
      <c r="Y126" s="229">
        <v>104</v>
      </c>
      <c r="Z126" s="176">
        <v>0</v>
      </c>
      <c r="AA126" t="s">
        <v>1904</v>
      </c>
      <c r="AB126" t="s">
        <v>2215</v>
      </c>
      <c r="AC126" t="s">
        <v>39</v>
      </c>
      <c r="AD126" s="199"/>
      <c r="AE126" s="199"/>
      <c r="AF126" s="179"/>
      <c r="AG126" s="179"/>
      <c r="AH126" s="179"/>
      <c r="AI126" s="179"/>
      <c r="AJ126" s="179"/>
      <c r="AK126" s="179"/>
      <c r="AL126" s="305">
        <v>6</v>
      </c>
      <c r="AM126" s="306">
        <v>2024</v>
      </c>
      <c r="AN126" s="250"/>
      <c r="AP126" t="str">
        <f>IF(BD_Bloqueados[[#This Row],[Analista ]]&lt;&gt;"Ana C",MID(BD_Bloqueados[[#This Row],[ID]],3,5),MID(BD_Bloqueados[[#This Row],[ID]],4,5))</f>
        <v>15624</v>
      </c>
      <c r="AQ126">
        <v>97</v>
      </c>
      <c r="AR126">
        <v>2024</v>
      </c>
      <c r="AS126" s="72">
        <v>45292</v>
      </c>
      <c r="AT126" s="72">
        <v>45388</v>
      </c>
      <c r="AU126">
        <v>4</v>
      </c>
    </row>
    <row r="127" spans="1:47">
      <c r="A127" t="s">
        <v>2092</v>
      </c>
      <c r="B127">
        <v>2</v>
      </c>
      <c r="C127" s="72">
        <v>45357</v>
      </c>
      <c r="D127">
        <v>24</v>
      </c>
      <c r="E127" s="173">
        <v>0.5</v>
      </c>
      <c r="F127" t="s">
        <v>78</v>
      </c>
      <c r="G127" t="s">
        <v>29</v>
      </c>
      <c r="H127" t="s">
        <v>166</v>
      </c>
      <c r="I127" t="s">
        <v>635</v>
      </c>
      <c r="J127" t="s">
        <v>588</v>
      </c>
      <c r="K127" t="s">
        <v>1481</v>
      </c>
      <c r="L127" t="s">
        <v>108</v>
      </c>
      <c r="M127" t="s">
        <v>1029</v>
      </c>
      <c r="N127">
        <v>967555800</v>
      </c>
      <c r="O127" t="s">
        <v>90</v>
      </c>
      <c r="P127" s="154">
        <v>12001435</v>
      </c>
      <c r="Q127" t="s">
        <v>185</v>
      </c>
      <c r="R127" t="s">
        <v>579</v>
      </c>
      <c r="S127" t="s">
        <v>2093</v>
      </c>
      <c r="T127" t="s">
        <v>2094</v>
      </c>
      <c r="U127" t="s">
        <v>2095</v>
      </c>
      <c r="V127" t="s">
        <v>2096</v>
      </c>
      <c r="W127" t="s">
        <v>101</v>
      </c>
      <c r="X127" t="s">
        <v>102</v>
      </c>
      <c r="Y127" s="229">
        <v>108</v>
      </c>
      <c r="Z127" s="176">
        <v>0</v>
      </c>
      <c r="AA127">
        <v>155</v>
      </c>
      <c r="AB127" t="s">
        <v>1400</v>
      </c>
      <c r="AC127" t="s">
        <v>1349</v>
      </c>
      <c r="AD127" s="199"/>
      <c r="AE127" s="199"/>
      <c r="AF127" s="179"/>
      <c r="AG127" s="179"/>
      <c r="AH127" s="179"/>
      <c r="AI127" s="179"/>
      <c r="AJ127" s="179"/>
      <c r="AK127" s="179"/>
      <c r="AL127" s="305">
        <v>6</v>
      </c>
      <c r="AM127" s="306">
        <v>2024</v>
      </c>
      <c r="AN127" s="250"/>
      <c r="AP127" t="str">
        <f>IF(BD_Bloqueados[[#This Row],[Analista ]]&lt;&gt;"Ana C",MID(BD_Bloqueados[[#This Row],[ID]],3,5),MID(BD_Bloqueados[[#This Row],[ID]],4,5))</f>
        <v>15524</v>
      </c>
      <c r="AQ127">
        <v>97</v>
      </c>
      <c r="AR127">
        <v>2024</v>
      </c>
      <c r="AS127" s="72">
        <v>45292</v>
      </c>
      <c r="AT127" s="72">
        <v>45388</v>
      </c>
      <c r="AU127">
        <v>4</v>
      </c>
    </row>
    <row r="128" spans="1:47">
      <c r="A128" t="s">
        <v>1276</v>
      </c>
      <c r="B128">
        <v>2</v>
      </c>
      <c r="C128" s="72">
        <v>45443</v>
      </c>
      <c r="D128">
        <v>23</v>
      </c>
      <c r="E128" s="173">
        <v>6.9444444444444448E-2</v>
      </c>
      <c r="F128" t="s">
        <v>136</v>
      </c>
      <c r="G128" t="s">
        <v>27</v>
      </c>
      <c r="H128" t="s">
        <v>209</v>
      </c>
      <c r="I128" t="s">
        <v>645</v>
      </c>
      <c r="J128" t="s">
        <v>633</v>
      </c>
      <c r="K128" t="s">
        <v>1277</v>
      </c>
      <c r="L128" t="s">
        <v>108</v>
      </c>
      <c r="M128" t="s">
        <v>1029</v>
      </c>
      <c r="N128">
        <v>967555800</v>
      </c>
      <c r="O128" t="s">
        <v>99</v>
      </c>
      <c r="P128" s="154">
        <v>13001756</v>
      </c>
      <c r="Q128" t="s">
        <v>185</v>
      </c>
      <c r="R128" t="s">
        <v>596</v>
      </c>
      <c r="S128" t="s">
        <v>1278</v>
      </c>
      <c r="T128" t="s">
        <v>1279</v>
      </c>
      <c r="U128" t="s">
        <v>1280</v>
      </c>
      <c r="V128" t="s">
        <v>1281</v>
      </c>
      <c r="W128" t="s">
        <v>101</v>
      </c>
      <c r="X128" t="s">
        <v>102</v>
      </c>
      <c r="Y128" s="229">
        <v>194</v>
      </c>
      <c r="Z128" s="176">
        <v>0</v>
      </c>
      <c r="AA128">
        <v>151</v>
      </c>
      <c r="AB128" t="s">
        <v>1282</v>
      </c>
      <c r="AC128" t="s">
        <v>1252</v>
      </c>
      <c r="AD128" s="199"/>
      <c r="AE128" s="199"/>
      <c r="AF128" s="179"/>
      <c r="AG128" s="179"/>
      <c r="AH128" s="179"/>
      <c r="AI128" s="179"/>
      <c r="AJ128" s="179"/>
      <c r="AK128" s="179"/>
      <c r="AL128" s="305">
        <v>5</v>
      </c>
      <c r="AM128" s="306">
        <v>2024</v>
      </c>
      <c r="AN128" s="250" t="s">
        <v>1283</v>
      </c>
      <c r="AP128" t="str">
        <f>IF(BD_Bloqueados[[#This Row],[Analista ]]&lt;&gt;"Ana C",MID(BD_Bloqueados[[#This Row],[ID]],3,5),MID(BD_Bloqueados[[#This Row],[ID]],4,5))</f>
        <v>15224</v>
      </c>
      <c r="AQ128">
        <v>156</v>
      </c>
      <c r="AR128">
        <v>2024</v>
      </c>
      <c r="AS128" s="72">
        <v>45292</v>
      </c>
      <c r="AT128" s="72">
        <v>45447</v>
      </c>
      <c r="AU128">
        <v>6</v>
      </c>
    </row>
    <row r="129" spans="1:47">
      <c r="A129" t="s">
        <v>1337</v>
      </c>
      <c r="B129">
        <v>2</v>
      </c>
      <c r="C129" s="72">
        <v>45443</v>
      </c>
      <c r="D129">
        <v>23</v>
      </c>
      <c r="E129" s="173">
        <v>0.58125000000000004</v>
      </c>
      <c r="F129" t="s">
        <v>109</v>
      </c>
      <c r="G129" t="s">
        <v>24</v>
      </c>
      <c r="H129" t="s">
        <v>188</v>
      </c>
      <c r="I129" t="s">
        <v>635</v>
      </c>
      <c r="J129" t="s">
        <v>169</v>
      </c>
      <c r="K129" t="s">
        <v>1338</v>
      </c>
      <c r="L129" t="s">
        <v>108</v>
      </c>
      <c r="M129" t="s">
        <v>1029</v>
      </c>
      <c r="N129">
        <v>967555800</v>
      </c>
      <c r="O129" t="s">
        <v>95</v>
      </c>
      <c r="P129" s="154">
        <v>12001398</v>
      </c>
      <c r="Q129" t="s">
        <v>80</v>
      </c>
      <c r="R129" t="s">
        <v>589</v>
      </c>
      <c r="S129" t="s">
        <v>1339</v>
      </c>
      <c r="T129" t="s">
        <v>1340</v>
      </c>
      <c r="U129" t="s">
        <v>1341</v>
      </c>
      <c r="V129" t="s">
        <v>1342</v>
      </c>
      <c r="W129" t="s">
        <v>101</v>
      </c>
      <c r="X129" t="s">
        <v>102</v>
      </c>
      <c r="Y129" s="229">
        <v>1395</v>
      </c>
      <c r="Z129" s="176">
        <v>0</v>
      </c>
      <c r="AA129">
        <v>152</v>
      </c>
      <c r="AD129" s="199"/>
      <c r="AE129" s="199"/>
      <c r="AF129" s="179"/>
      <c r="AG129" s="179"/>
      <c r="AH129" s="179"/>
      <c r="AI129" s="179"/>
      <c r="AJ129" s="179"/>
      <c r="AK129" s="179"/>
      <c r="AL129" s="305">
        <v>5</v>
      </c>
      <c r="AM129" s="306">
        <v>2024</v>
      </c>
      <c r="AN129" s="250"/>
      <c r="AP129" t="str">
        <f>IF(BD_Bloqueados[[#This Row],[Analista ]]&lt;&gt;"Ana C",MID(BD_Bloqueados[[#This Row],[ID]],3,5),MID(BD_Bloqueados[[#This Row],[ID]],4,5))</f>
        <v>15224</v>
      </c>
      <c r="AQ129">
        <v>156</v>
      </c>
      <c r="AR129">
        <v>2024</v>
      </c>
      <c r="AS129" s="72">
        <v>45292</v>
      </c>
      <c r="AT129" s="72">
        <v>45447</v>
      </c>
      <c r="AU129">
        <v>6</v>
      </c>
    </row>
    <row r="130" spans="1:47">
      <c r="A130" t="s">
        <v>1284</v>
      </c>
      <c r="B130">
        <v>2</v>
      </c>
      <c r="C130" s="72">
        <v>45442</v>
      </c>
      <c r="D130">
        <v>23</v>
      </c>
      <c r="E130" s="173">
        <v>0.66666666666666663</v>
      </c>
      <c r="F130" t="s">
        <v>109</v>
      </c>
      <c r="G130" t="s">
        <v>31</v>
      </c>
      <c r="H130" t="s">
        <v>84</v>
      </c>
      <c r="I130" t="s">
        <v>635</v>
      </c>
      <c r="J130" t="s">
        <v>599</v>
      </c>
      <c r="K130" t="s">
        <v>1285</v>
      </c>
      <c r="L130" t="s">
        <v>108</v>
      </c>
      <c r="M130" t="s">
        <v>1029</v>
      </c>
      <c r="N130">
        <v>967555800</v>
      </c>
      <c r="O130" t="s">
        <v>200</v>
      </c>
      <c r="P130" s="154">
        <v>13030428</v>
      </c>
      <c r="Q130" t="s">
        <v>138</v>
      </c>
      <c r="R130" t="s">
        <v>589</v>
      </c>
      <c r="S130" t="s">
        <v>1286</v>
      </c>
      <c r="T130" t="s">
        <v>1287</v>
      </c>
      <c r="U130" t="s">
        <v>1288</v>
      </c>
      <c r="V130" t="s">
        <v>1289</v>
      </c>
      <c r="W130" t="s">
        <v>101</v>
      </c>
      <c r="X130" t="s">
        <v>156</v>
      </c>
      <c r="Y130" s="229">
        <v>432</v>
      </c>
      <c r="Z130" s="176">
        <v>157907.23199999999</v>
      </c>
      <c r="AA130">
        <v>151</v>
      </c>
      <c r="AB130" t="s">
        <v>1290</v>
      </c>
      <c r="AC130" t="s">
        <v>1291</v>
      </c>
      <c r="AD130" s="199">
        <v>1</v>
      </c>
      <c r="AE130" s="199" t="s">
        <v>1292</v>
      </c>
      <c r="AF130" s="179">
        <v>3.0910000000000002</v>
      </c>
      <c r="AG130" s="179">
        <v>173.27099999999999</v>
      </c>
      <c r="AH130" s="179">
        <v>0</v>
      </c>
      <c r="AI130" s="179">
        <v>187.88900000000001</v>
      </c>
      <c r="AJ130" s="179">
        <v>1.2749999999999999</v>
      </c>
      <c r="AK130" s="179"/>
      <c r="AL130" s="305">
        <v>5</v>
      </c>
      <c r="AM130" s="306">
        <v>2024</v>
      </c>
      <c r="AN130" s="250"/>
      <c r="AP130" t="str">
        <f>IF(BD_Bloqueados[[#This Row],[Analista ]]&lt;&gt;"Ana C",MID(BD_Bloqueados[[#This Row],[ID]],3,5),MID(BD_Bloqueados[[#This Row],[ID]],4,5))</f>
        <v>15124</v>
      </c>
      <c r="AQ130">
        <v>156</v>
      </c>
      <c r="AR130">
        <v>2024</v>
      </c>
      <c r="AS130" s="72">
        <v>45292</v>
      </c>
      <c r="AT130" s="72">
        <v>45447</v>
      </c>
      <c r="AU130">
        <v>6</v>
      </c>
    </row>
    <row r="131" spans="1:47">
      <c r="A131" t="s">
        <v>1343</v>
      </c>
      <c r="B131">
        <v>2</v>
      </c>
      <c r="C131" s="72">
        <v>45442</v>
      </c>
      <c r="D131">
        <v>23</v>
      </c>
      <c r="E131" s="173">
        <v>0.43055555555555558</v>
      </c>
      <c r="F131" t="s">
        <v>78</v>
      </c>
      <c r="G131" t="s">
        <v>32</v>
      </c>
      <c r="H131" t="s">
        <v>85</v>
      </c>
      <c r="I131" t="s">
        <v>259</v>
      </c>
      <c r="J131" t="s">
        <v>607</v>
      </c>
      <c r="K131" t="s">
        <v>1344</v>
      </c>
      <c r="L131" t="s">
        <v>108</v>
      </c>
      <c r="M131" t="s">
        <v>1029</v>
      </c>
      <c r="N131">
        <v>967555800</v>
      </c>
      <c r="O131" t="s">
        <v>200</v>
      </c>
      <c r="P131" s="154">
        <v>13030428</v>
      </c>
      <c r="Q131" t="s">
        <v>80</v>
      </c>
      <c r="R131" t="s">
        <v>589</v>
      </c>
      <c r="S131" t="s">
        <v>1345</v>
      </c>
      <c r="T131" t="s">
        <v>1346</v>
      </c>
      <c r="U131" t="s">
        <v>1347</v>
      </c>
      <c r="V131" t="s">
        <v>1348</v>
      </c>
      <c r="W131" t="s">
        <v>101</v>
      </c>
      <c r="X131" t="s">
        <v>156</v>
      </c>
      <c r="Y131" s="229">
        <v>204</v>
      </c>
      <c r="Z131" s="176">
        <v>74567.303999999989</v>
      </c>
      <c r="AA131">
        <v>151</v>
      </c>
      <c r="AB131" t="s">
        <v>1290</v>
      </c>
      <c r="AC131" t="s">
        <v>1349</v>
      </c>
      <c r="AD131" s="199">
        <v>1</v>
      </c>
      <c r="AE131" s="199" t="s">
        <v>1292</v>
      </c>
      <c r="AF131" s="179">
        <v>3.0910000000000002</v>
      </c>
      <c r="AG131" s="179">
        <v>173.27099999999999</v>
      </c>
      <c r="AH131" s="179">
        <v>0</v>
      </c>
      <c r="AI131" s="179">
        <v>187.88900000000001</v>
      </c>
      <c r="AJ131" s="179">
        <v>1.2749999999999999</v>
      </c>
      <c r="AK131" s="179"/>
      <c r="AL131" s="305">
        <v>5</v>
      </c>
      <c r="AM131" s="306">
        <v>2024</v>
      </c>
      <c r="AN131" s="250"/>
      <c r="AP131" t="str">
        <f>IF(BD_Bloqueados[[#This Row],[Analista ]]&lt;&gt;"Ana C",MID(BD_Bloqueados[[#This Row],[ID]],3,5),MID(BD_Bloqueados[[#This Row],[ID]],4,5))</f>
        <v>15124</v>
      </c>
      <c r="AQ131">
        <v>66</v>
      </c>
      <c r="AR131">
        <v>2024</v>
      </c>
      <c r="AS131" s="72">
        <v>45292</v>
      </c>
      <c r="AT131" s="72">
        <v>45357</v>
      </c>
      <c r="AU131">
        <v>3</v>
      </c>
    </row>
    <row r="132" spans="1:47">
      <c r="A132" t="s">
        <v>1350</v>
      </c>
      <c r="B132">
        <v>2</v>
      </c>
      <c r="C132" s="72">
        <v>45442</v>
      </c>
      <c r="D132">
        <v>23</v>
      </c>
      <c r="E132" s="173">
        <v>0.6875</v>
      </c>
      <c r="F132" t="s">
        <v>109</v>
      </c>
      <c r="G132" t="s">
        <v>26</v>
      </c>
      <c r="H132" t="s">
        <v>165</v>
      </c>
      <c r="I132" t="s">
        <v>635</v>
      </c>
      <c r="J132" t="s">
        <v>169</v>
      </c>
      <c r="K132" t="s">
        <v>1351</v>
      </c>
      <c r="L132" t="s">
        <v>108</v>
      </c>
      <c r="M132" t="s">
        <v>1029</v>
      </c>
      <c r="N132">
        <v>967555800</v>
      </c>
      <c r="O132" t="s">
        <v>96</v>
      </c>
      <c r="P132" s="154">
        <v>12001411</v>
      </c>
      <c r="Q132" t="s">
        <v>138</v>
      </c>
      <c r="R132" t="s">
        <v>589</v>
      </c>
      <c r="S132" t="s">
        <v>1352</v>
      </c>
      <c r="T132" t="s">
        <v>1353</v>
      </c>
      <c r="U132" t="s">
        <v>1354</v>
      </c>
      <c r="V132" t="s">
        <v>1355</v>
      </c>
      <c r="W132" t="s">
        <v>101</v>
      </c>
      <c r="X132" t="s">
        <v>102</v>
      </c>
      <c r="Y132" s="229">
        <v>350</v>
      </c>
      <c r="Z132" s="176">
        <v>0</v>
      </c>
      <c r="AA132">
        <v>151</v>
      </c>
      <c r="AB132" t="s">
        <v>1356</v>
      </c>
      <c r="AC132" t="s">
        <v>1349</v>
      </c>
      <c r="AD132" s="199"/>
      <c r="AE132" s="199"/>
      <c r="AF132" s="179"/>
      <c r="AG132" s="179"/>
      <c r="AH132" s="179"/>
      <c r="AI132" s="179"/>
      <c r="AJ132" s="179"/>
      <c r="AK132" s="179"/>
      <c r="AL132" s="305">
        <v>5</v>
      </c>
      <c r="AM132" s="306">
        <v>2024</v>
      </c>
      <c r="AN132" s="250"/>
      <c r="AP132" t="str">
        <f>IF(BD_Bloqueados[[#This Row],[Analista ]]&lt;&gt;"Ana C",MID(BD_Bloqueados[[#This Row],[ID]],3,5),MID(BD_Bloqueados[[#This Row],[ID]],4,5))</f>
        <v>15124</v>
      </c>
      <c r="AQ132">
        <v>66</v>
      </c>
      <c r="AR132">
        <v>2024</v>
      </c>
      <c r="AS132" s="72">
        <v>45292</v>
      </c>
      <c r="AT132" s="72">
        <v>45357</v>
      </c>
      <c r="AU132">
        <v>3</v>
      </c>
    </row>
    <row r="133" spans="1:47">
      <c r="A133" t="s">
        <v>1364</v>
      </c>
      <c r="B133">
        <v>2</v>
      </c>
      <c r="C133" s="72">
        <v>45442</v>
      </c>
      <c r="D133">
        <v>23</v>
      </c>
      <c r="E133" s="173">
        <v>0.62847222222222221</v>
      </c>
      <c r="F133" t="s">
        <v>109</v>
      </c>
      <c r="G133" t="s">
        <v>31</v>
      </c>
      <c r="H133" t="s">
        <v>84</v>
      </c>
      <c r="I133" t="s">
        <v>635</v>
      </c>
      <c r="J133" t="s">
        <v>599</v>
      </c>
      <c r="K133" t="s">
        <v>1285</v>
      </c>
      <c r="L133" t="s">
        <v>108</v>
      </c>
      <c r="M133" t="s">
        <v>1029</v>
      </c>
      <c r="N133">
        <v>967555800</v>
      </c>
      <c r="O133" t="s">
        <v>200</v>
      </c>
      <c r="P133" s="154">
        <v>13030428</v>
      </c>
      <c r="Q133" t="s">
        <v>185</v>
      </c>
      <c r="R133" t="s">
        <v>578</v>
      </c>
      <c r="S133" t="s">
        <v>1365</v>
      </c>
      <c r="T133" t="s">
        <v>1366</v>
      </c>
      <c r="U133" t="s">
        <v>1367</v>
      </c>
      <c r="V133" t="s">
        <v>1368</v>
      </c>
      <c r="W133" t="s">
        <v>101</v>
      </c>
      <c r="X133" t="s">
        <v>156</v>
      </c>
      <c r="Y133" s="229">
        <v>58</v>
      </c>
      <c r="Z133" s="176">
        <v>21200.507999999998</v>
      </c>
      <c r="AA133">
        <v>151</v>
      </c>
      <c r="AD133" s="199">
        <v>1</v>
      </c>
      <c r="AE133" s="199" t="s">
        <v>1292</v>
      </c>
      <c r="AF133" s="179">
        <v>3.0910000000000002</v>
      </c>
      <c r="AG133" s="179">
        <v>173.27099999999999</v>
      </c>
      <c r="AH133" s="179">
        <v>0</v>
      </c>
      <c r="AI133" s="179">
        <v>187.88900000000001</v>
      </c>
      <c r="AJ133" s="179">
        <v>1.2749999999999999</v>
      </c>
      <c r="AK133" s="179"/>
      <c r="AL133" s="305">
        <v>5</v>
      </c>
      <c r="AM133" s="306">
        <v>2024</v>
      </c>
      <c r="AN133" s="250"/>
      <c r="AP133" t="str">
        <f>IF(BD_Bloqueados[[#This Row],[Analista ]]&lt;&gt;"Ana C",MID(BD_Bloqueados[[#This Row],[ID]],3,5),MID(BD_Bloqueados[[#This Row],[ID]],4,5))</f>
        <v>15124</v>
      </c>
      <c r="AQ133">
        <v>37</v>
      </c>
      <c r="AR133">
        <v>2024</v>
      </c>
      <c r="AS133" s="72">
        <v>45292</v>
      </c>
      <c r="AT133" s="72">
        <v>45328</v>
      </c>
      <c r="AU133">
        <v>2</v>
      </c>
    </row>
    <row r="134" spans="1:47">
      <c r="A134" t="s">
        <v>2344</v>
      </c>
      <c r="B134">
        <v>2</v>
      </c>
      <c r="C134" s="72">
        <v>45441</v>
      </c>
      <c r="D134">
        <v>23</v>
      </c>
      <c r="E134" s="173">
        <v>0.73611111111111116</v>
      </c>
      <c r="F134" t="s">
        <v>109</v>
      </c>
      <c r="G134" t="s">
        <v>25</v>
      </c>
      <c r="H134" t="s">
        <v>187</v>
      </c>
      <c r="I134" t="s">
        <v>212</v>
      </c>
      <c r="J134" t="s">
        <v>169</v>
      </c>
      <c r="K134" t="s">
        <v>2345</v>
      </c>
      <c r="L134" t="s">
        <v>108</v>
      </c>
      <c r="M134" t="s">
        <v>1029</v>
      </c>
      <c r="N134">
        <v>967555800</v>
      </c>
      <c r="O134" t="s">
        <v>238</v>
      </c>
      <c r="P134" s="154">
        <v>13030210</v>
      </c>
      <c r="Q134" t="s">
        <v>185</v>
      </c>
      <c r="R134" t="s">
        <v>578</v>
      </c>
      <c r="S134" t="s">
        <v>2346</v>
      </c>
      <c r="T134" t="s">
        <v>1397</v>
      </c>
      <c r="U134" t="s">
        <v>2347</v>
      </c>
      <c r="V134" t="s">
        <v>2348</v>
      </c>
      <c r="W134" t="s">
        <v>101</v>
      </c>
      <c r="X134" t="s">
        <v>156</v>
      </c>
      <c r="Y134" s="229">
        <v>391.02</v>
      </c>
      <c r="Z134" s="176">
        <v>210891.16271999999</v>
      </c>
      <c r="AA134">
        <v>150</v>
      </c>
      <c r="AB134" t="s">
        <v>1400</v>
      </c>
      <c r="AC134" t="s">
        <v>1291</v>
      </c>
      <c r="AD134" s="199">
        <v>1</v>
      </c>
      <c r="AE134" s="199" t="s">
        <v>1292</v>
      </c>
      <c r="AF134" s="179">
        <v>13.86</v>
      </c>
      <c r="AG134" s="179">
        <v>30.524000000000001</v>
      </c>
      <c r="AH134" s="179">
        <v>450.7</v>
      </c>
      <c r="AI134" s="179">
        <v>35.758000000000003</v>
      </c>
      <c r="AJ134" s="179">
        <v>8.4939999999999998</v>
      </c>
      <c r="AK134" s="179"/>
      <c r="AL134" s="305">
        <v>5</v>
      </c>
      <c r="AM134" s="306">
        <v>2024</v>
      </c>
      <c r="AN134" s="250"/>
      <c r="AP134" t="str">
        <f>IF(BD_Bloqueados[[#This Row],[Analista ]]&lt;&gt;"Ana C",MID(BD_Bloqueados[[#This Row],[ID]],3,5),MID(BD_Bloqueados[[#This Row],[ID]],4,5))</f>
        <v>15024</v>
      </c>
      <c r="AQ134">
        <v>37</v>
      </c>
      <c r="AR134">
        <v>2024</v>
      </c>
      <c r="AS134" s="72">
        <v>45292</v>
      </c>
      <c r="AT134" s="72">
        <v>45328</v>
      </c>
      <c r="AU134">
        <v>2</v>
      </c>
    </row>
    <row r="135" spans="1:47">
      <c r="A135" t="s">
        <v>1381</v>
      </c>
      <c r="B135">
        <v>2</v>
      </c>
      <c r="C135" s="72">
        <v>45440</v>
      </c>
      <c r="D135">
        <v>23</v>
      </c>
      <c r="E135" s="173">
        <v>0.96527777777777779</v>
      </c>
      <c r="F135" t="s">
        <v>136</v>
      </c>
      <c r="G135" t="s">
        <v>28</v>
      </c>
      <c r="H135" t="s">
        <v>165</v>
      </c>
      <c r="I135" t="s">
        <v>645</v>
      </c>
      <c r="J135" t="s">
        <v>633</v>
      </c>
      <c r="K135" t="s">
        <v>1382</v>
      </c>
      <c r="L135" t="s">
        <v>108</v>
      </c>
      <c r="M135" t="s">
        <v>1029</v>
      </c>
      <c r="N135">
        <v>967555800</v>
      </c>
      <c r="O135" t="s">
        <v>194</v>
      </c>
      <c r="P135" s="154">
        <v>13001720</v>
      </c>
      <c r="Q135" t="s">
        <v>206</v>
      </c>
      <c r="R135" t="s">
        <v>110</v>
      </c>
      <c r="S135" t="s">
        <v>1383</v>
      </c>
      <c r="T135" t="s">
        <v>1318</v>
      </c>
      <c r="U135" t="s">
        <v>1384</v>
      </c>
      <c r="V135" t="s">
        <v>1385</v>
      </c>
      <c r="W135" t="s">
        <v>101</v>
      </c>
      <c r="X135" t="s">
        <v>1291</v>
      </c>
      <c r="Y135" s="229">
        <v>154</v>
      </c>
      <c r="Z135" s="176">
        <v>0</v>
      </c>
      <c r="AA135">
        <v>148</v>
      </c>
      <c r="AD135" s="199"/>
      <c r="AE135" s="199"/>
      <c r="AF135" s="179"/>
      <c r="AG135" s="179"/>
      <c r="AH135" s="179"/>
      <c r="AI135" s="179"/>
      <c r="AJ135" s="179"/>
      <c r="AK135" s="179"/>
      <c r="AL135" s="305">
        <v>5</v>
      </c>
      <c r="AM135" s="306">
        <v>2024</v>
      </c>
      <c r="AN135" s="250"/>
      <c r="AP135" t="str">
        <f>IF(BD_Bloqueados[[#This Row],[Analista ]]&lt;&gt;"Ana C",MID(BD_Bloqueados[[#This Row],[ID]],3,5),MID(BD_Bloqueados[[#This Row],[ID]],4,5))</f>
        <v>14924</v>
      </c>
      <c r="AQ135">
        <v>152</v>
      </c>
      <c r="AR135">
        <v>2024</v>
      </c>
      <c r="AS135" s="72">
        <v>45292</v>
      </c>
      <c r="AT135" s="72">
        <v>45443</v>
      </c>
      <c r="AU135">
        <v>5</v>
      </c>
    </row>
    <row r="136" spans="1:47">
      <c r="A136" t="s">
        <v>1357</v>
      </c>
      <c r="B136">
        <v>2</v>
      </c>
      <c r="C136" s="72">
        <v>45439</v>
      </c>
      <c r="D136">
        <v>23</v>
      </c>
      <c r="E136" s="173">
        <v>0.77083333333333337</v>
      </c>
      <c r="F136" t="s">
        <v>109</v>
      </c>
      <c r="G136" t="s">
        <v>24</v>
      </c>
      <c r="H136" t="s">
        <v>188</v>
      </c>
      <c r="I136" t="s">
        <v>635</v>
      </c>
      <c r="J136" t="s">
        <v>169</v>
      </c>
      <c r="K136" t="s">
        <v>1358</v>
      </c>
      <c r="L136" t="s">
        <v>108</v>
      </c>
      <c r="M136" t="s">
        <v>1029</v>
      </c>
      <c r="N136">
        <v>967555800</v>
      </c>
      <c r="O136" t="s">
        <v>95</v>
      </c>
      <c r="P136" s="154">
        <v>12001398</v>
      </c>
      <c r="Q136" t="s">
        <v>80</v>
      </c>
      <c r="R136" t="s">
        <v>589</v>
      </c>
      <c r="S136" t="s">
        <v>1359</v>
      </c>
      <c r="T136" t="s">
        <v>1360</v>
      </c>
      <c r="U136" t="s">
        <v>1361</v>
      </c>
      <c r="V136" t="s">
        <v>1362</v>
      </c>
      <c r="W136" t="s">
        <v>101</v>
      </c>
      <c r="X136" t="s">
        <v>102</v>
      </c>
      <c r="Y136" s="229">
        <v>5400</v>
      </c>
      <c r="Z136" s="176">
        <v>0</v>
      </c>
      <c r="AA136">
        <v>148</v>
      </c>
      <c r="AB136" t="s">
        <v>1363</v>
      </c>
      <c r="AC136" t="s">
        <v>1349</v>
      </c>
      <c r="AD136" s="199"/>
      <c r="AE136" s="199"/>
      <c r="AF136" s="179"/>
      <c r="AG136" s="179"/>
      <c r="AH136" s="179"/>
      <c r="AI136" s="179"/>
      <c r="AJ136" s="179"/>
      <c r="AK136" s="179"/>
      <c r="AL136" s="305">
        <v>5</v>
      </c>
      <c r="AM136" s="306">
        <v>2024</v>
      </c>
      <c r="AN136" s="250"/>
      <c r="AP136" t="str">
        <f>IF(BD_Bloqueados[[#This Row],[Analista ]]&lt;&gt;"Ana C",MID(BD_Bloqueados[[#This Row],[ID]],3,5),MID(BD_Bloqueados[[#This Row],[ID]],4,5))</f>
        <v>14824</v>
      </c>
      <c r="AQ136">
        <v>152</v>
      </c>
      <c r="AR136">
        <v>2024</v>
      </c>
      <c r="AS136" s="72">
        <v>45292</v>
      </c>
      <c r="AT136" s="72">
        <v>45443</v>
      </c>
      <c r="AU136">
        <v>5</v>
      </c>
    </row>
    <row r="137" spans="1:47">
      <c r="A137" t="s">
        <v>1386</v>
      </c>
      <c r="B137">
        <v>2</v>
      </c>
      <c r="C137" s="72">
        <v>45439</v>
      </c>
      <c r="D137">
        <v>23</v>
      </c>
      <c r="E137" s="173">
        <v>0.34722222222222221</v>
      </c>
      <c r="F137" t="s">
        <v>109</v>
      </c>
      <c r="G137" t="s">
        <v>28</v>
      </c>
      <c r="H137" t="s">
        <v>81</v>
      </c>
      <c r="I137" t="s">
        <v>615</v>
      </c>
      <c r="J137" t="s">
        <v>618</v>
      </c>
      <c r="K137" t="s">
        <v>1387</v>
      </c>
      <c r="L137" t="s">
        <v>77</v>
      </c>
      <c r="M137" t="s">
        <v>465</v>
      </c>
      <c r="N137">
        <v>77155281</v>
      </c>
      <c r="O137" t="s">
        <v>1388</v>
      </c>
      <c r="P137" s="154"/>
      <c r="Q137" t="s">
        <v>138</v>
      </c>
      <c r="R137" t="s">
        <v>110</v>
      </c>
      <c r="S137" t="s">
        <v>1389</v>
      </c>
      <c r="T137" t="s">
        <v>1390</v>
      </c>
      <c r="U137" t="s">
        <v>1391</v>
      </c>
      <c r="V137" t="s">
        <v>1392</v>
      </c>
      <c r="W137" t="s">
        <v>101</v>
      </c>
      <c r="X137" t="s">
        <v>129</v>
      </c>
      <c r="Y137" s="229">
        <v>424</v>
      </c>
      <c r="Z137" s="176"/>
      <c r="AA137" t="s">
        <v>1393</v>
      </c>
      <c r="AD137" s="199"/>
      <c r="AE137" s="199"/>
      <c r="AF137" s="179"/>
      <c r="AG137" s="179"/>
      <c r="AH137" s="179"/>
      <c r="AI137" s="179"/>
      <c r="AJ137" s="179"/>
      <c r="AK137" s="179"/>
      <c r="AL137" s="305">
        <v>5</v>
      </c>
      <c r="AM137" s="306">
        <v>2024</v>
      </c>
      <c r="AN137" s="250"/>
      <c r="AP137" t="str">
        <f>IF(BD_Bloqueados[[#This Row],[Analista ]]&lt;&gt;"Ana C",MID(BD_Bloqueados[[#This Row],[ID]],3,5),MID(BD_Bloqueados[[#This Row],[ID]],4,5))</f>
        <v>14824</v>
      </c>
      <c r="AQ137">
        <v>151</v>
      </c>
      <c r="AR137">
        <v>2024</v>
      </c>
      <c r="AS137" s="72">
        <v>45292</v>
      </c>
      <c r="AT137" s="72">
        <v>45442</v>
      </c>
      <c r="AU137">
        <v>5</v>
      </c>
    </row>
    <row r="138" spans="1:47">
      <c r="A138" t="s">
        <v>1418</v>
      </c>
      <c r="B138">
        <v>2</v>
      </c>
      <c r="C138" s="72">
        <v>45439</v>
      </c>
      <c r="D138">
        <v>23</v>
      </c>
      <c r="E138" s="173">
        <v>0.85069444444444453</v>
      </c>
      <c r="F138" t="s">
        <v>109</v>
      </c>
      <c r="G138" t="s">
        <v>28</v>
      </c>
      <c r="H138" t="s">
        <v>165</v>
      </c>
      <c r="I138" t="s">
        <v>248</v>
      </c>
      <c r="J138" t="s">
        <v>595</v>
      </c>
      <c r="K138" t="s">
        <v>1232</v>
      </c>
      <c r="L138" t="s">
        <v>108</v>
      </c>
      <c r="M138" t="s">
        <v>1029</v>
      </c>
      <c r="N138">
        <v>967555800</v>
      </c>
      <c r="O138" t="s">
        <v>362</v>
      </c>
      <c r="P138" s="154">
        <v>12001369</v>
      </c>
      <c r="Q138" t="s">
        <v>185</v>
      </c>
      <c r="R138" t="s">
        <v>579</v>
      </c>
      <c r="S138" t="s">
        <v>1419</v>
      </c>
      <c r="T138" t="s">
        <v>1420</v>
      </c>
      <c r="U138" t="s">
        <v>1421</v>
      </c>
      <c r="W138" t="s">
        <v>101</v>
      </c>
      <c r="X138" t="s">
        <v>1422</v>
      </c>
      <c r="Y138" s="229">
        <v>191.76</v>
      </c>
      <c r="Z138" s="176">
        <v>0</v>
      </c>
      <c r="AA138">
        <v>146</v>
      </c>
      <c r="AD138" s="199"/>
      <c r="AE138" s="199"/>
      <c r="AF138" s="179"/>
      <c r="AG138" s="179"/>
      <c r="AH138" s="179"/>
      <c r="AI138" s="179"/>
      <c r="AJ138" s="179"/>
      <c r="AK138" s="179"/>
      <c r="AL138" s="305">
        <v>5</v>
      </c>
      <c r="AM138" s="306">
        <v>2024</v>
      </c>
      <c r="AN138" s="250"/>
      <c r="AP138" t="str">
        <f>IF(BD_Bloqueados[[#This Row],[Analista ]]&lt;&gt;"Ana C",MID(BD_Bloqueados[[#This Row],[ID]],3,5),MID(BD_Bloqueados[[#This Row],[ID]],4,5))</f>
        <v>14824</v>
      </c>
      <c r="AQ138">
        <v>151</v>
      </c>
      <c r="AR138">
        <v>2024</v>
      </c>
      <c r="AS138" s="72">
        <v>45292</v>
      </c>
      <c r="AT138" s="72">
        <v>45442</v>
      </c>
      <c r="AU138">
        <v>5</v>
      </c>
    </row>
    <row r="139" spans="1:47">
      <c r="A139" t="s">
        <v>1369</v>
      </c>
      <c r="B139">
        <v>2</v>
      </c>
      <c r="C139" s="72">
        <v>45437</v>
      </c>
      <c r="D139">
        <v>22</v>
      </c>
      <c r="E139" s="173">
        <v>0.66666666666666663</v>
      </c>
      <c r="F139" t="s">
        <v>109</v>
      </c>
      <c r="G139" t="s">
        <v>28</v>
      </c>
      <c r="H139" t="s">
        <v>165</v>
      </c>
      <c r="I139" t="s">
        <v>248</v>
      </c>
      <c r="J139" t="s">
        <v>595</v>
      </c>
      <c r="K139" t="s">
        <v>1232</v>
      </c>
      <c r="L139" t="s">
        <v>108</v>
      </c>
      <c r="M139" t="s">
        <v>1029</v>
      </c>
      <c r="N139">
        <v>967555800</v>
      </c>
      <c r="O139" t="s">
        <v>362</v>
      </c>
      <c r="P139" s="154">
        <v>12001369</v>
      </c>
      <c r="Q139" t="s">
        <v>185</v>
      </c>
      <c r="R139" t="s">
        <v>596</v>
      </c>
      <c r="S139" t="s">
        <v>1370</v>
      </c>
      <c r="T139" t="s">
        <v>1371</v>
      </c>
      <c r="U139" t="s">
        <v>1372</v>
      </c>
      <c r="V139" t="s">
        <v>1373</v>
      </c>
      <c r="W139" t="s">
        <v>101</v>
      </c>
      <c r="X139" t="s">
        <v>156</v>
      </c>
      <c r="Y139" s="229">
        <v>1353.6</v>
      </c>
      <c r="Z139" s="176">
        <v>299478.35999999993</v>
      </c>
      <c r="AA139">
        <v>146</v>
      </c>
      <c r="AB139" t="s">
        <v>1282</v>
      </c>
      <c r="AC139" t="s">
        <v>1252</v>
      </c>
      <c r="AD139" s="199">
        <v>0.24</v>
      </c>
      <c r="AE139" s="199" t="s">
        <v>1374</v>
      </c>
      <c r="AF139" s="179">
        <v>0</v>
      </c>
      <c r="AG139" s="179"/>
      <c r="AH139" s="179">
        <v>0</v>
      </c>
      <c r="AI139" s="179">
        <v>53.098999999999997</v>
      </c>
      <c r="AJ139" s="179">
        <v>0</v>
      </c>
      <c r="AK139" s="179"/>
      <c r="AL139" s="305">
        <v>5</v>
      </c>
      <c r="AM139" s="306">
        <v>2024</v>
      </c>
      <c r="AN139" s="250" t="s">
        <v>1283</v>
      </c>
      <c r="AP139" t="str">
        <f>IF(BD_Bloqueados[[#This Row],[Analista ]]&lt;&gt;"Ana C",MID(BD_Bloqueados[[#This Row],[ID]],3,5),MID(BD_Bloqueados[[#This Row],[ID]],4,5))</f>
        <v>14624</v>
      </c>
      <c r="AQ139">
        <v>151</v>
      </c>
      <c r="AR139">
        <v>2024</v>
      </c>
      <c r="AS139" s="72">
        <v>45292</v>
      </c>
      <c r="AT139" s="72">
        <v>45442</v>
      </c>
      <c r="AU139">
        <v>5</v>
      </c>
    </row>
    <row r="140" spans="1:47">
      <c r="A140" t="s">
        <v>1375</v>
      </c>
      <c r="B140">
        <v>2</v>
      </c>
      <c r="C140" s="72">
        <v>45437</v>
      </c>
      <c r="D140">
        <v>22</v>
      </c>
      <c r="E140" s="173">
        <v>2.7777777777777776E-2</v>
      </c>
      <c r="F140" t="s">
        <v>136</v>
      </c>
      <c r="G140" t="s">
        <v>27</v>
      </c>
      <c r="H140" t="s">
        <v>209</v>
      </c>
      <c r="I140" t="s">
        <v>635</v>
      </c>
      <c r="J140" t="s">
        <v>588</v>
      </c>
      <c r="K140" t="s">
        <v>1376</v>
      </c>
      <c r="L140" t="s">
        <v>108</v>
      </c>
      <c r="M140" t="s">
        <v>1029</v>
      </c>
      <c r="N140">
        <v>967555800</v>
      </c>
      <c r="O140" t="s">
        <v>99</v>
      </c>
      <c r="P140" s="154">
        <v>13001756</v>
      </c>
      <c r="Q140" t="s">
        <v>138</v>
      </c>
      <c r="R140" t="s">
        <v>589</v>
      </c>
      <c r="S140" t="s">
        <v>1377</v>
      </c>
      <c r="T140" t="s">
        <v>1378</v>
      </c>
      <c r="U140" t="s">
        <v>1379</v>
      </c>
      <c r="V140" t="s">
        <v>1380</v>
      </c>
      <c r="W140" t="s">
        <v>101</v>
      </c>
      <c r="X140" t="s">
        <v>156</v>
      </c>
      <c r="Y140" s="229">
        <v>96</v>
      </c>
      <c r="Z140" s="176">
        <v>33411.072</v>
      </c>
      <c r="AA140">
        <v>143</v>
      </c>
      <c r="AB140" t="s">
        <v>1290</v>
      </c>
      <c r="AC140" t="s">
        <v>1291</v>
      </c>
      <c r="AD140" s="199">
        <v>1</v>
      </c>
      <c r="AE140" s="199" t="s">
        <v>1292</v>
      </c>
      <c r="AF140" s="179">
        <v>16.402999999999999</v>
      </c>
      <c r="AG140" s="179">
        <v>118.822</v>
      </c>
      <c r="AH140" s="179">
        <v>0</v>
      </c>
      <c r="AI140" s="179">
        <v>210.989</v>
      </c>
      <c r="AJ140" s="179">
        <v>1.8180000000000001</v>
      </c>
      <c r="AK140" s="179"/>
      <c r="AL140" s="305">
        <v>5</v>
      </c>
      <c r="AM140" s="306">
        <v>2024</v>
      </c>
      <c r="AN140" s="250"/>
      <c r="AP140" t="str">
        <f>IF(BD_Bloqueados[[#This Row],[Analista ]]&lt;&gt;"Ana C",MID(BD_Bloqueados[[#This Row],[ID]],3,5),MID(BD_Bloqueados[[#This Row],[ID]],4,5))</f>
        <v>14624</v>
      </c>
      <c r="AQ140">
        <v>151</v>
      </c>
      <c r="AR140">
        <v>2024</v>
      </c>
      <c r="AS140" s="72">
        <v>45292</v>
      </c>
      <c r="AT140" s="72">
        <v>45442</v>
      </c>
      <c r="AU140">
        <v>5</v>
      </c>
    </row>
    <row r="141" spans="1:47">
      <c r="A141" t="s">
        <v>1394</v>
      </c>
      <c r="B141">
        <v>2</v>
      </c>
      <c r="C141" s="72">
        <v>45437</v>
      </c>
      <c r="D141">
        <v>22</v>
      </c>
      <c r="E141" s="173">
        <v>0.14583333333333334</v>
      </c>
      <c r="F141" t="s">
        <v>136</v>
      </c>
      <c r="G141" t="s">
        <v>25</v>
      </c>
      <c r="H141" t="s">
        <v>164</v>
      </c>
      <c r="I141" t="s">
        <v>635</v>
      </c>
      <c r="J141" t="s">
        <v>169</v>
      </c>
      <c r="K141" t="s">
        <v>1395</v>
      </c>
      <c r="L141" t="s">
        <v>108</v>
      </c>
      <c r="M141" t="s">
        <v>1029</v>
      </c>
      <c r="N141">
        <v>967555800</v>
      </c>
      <c r="O141" t="s">
        <v>238</v>
      </c>
      <c r="P141" s="154">
        <v>13030210</v>
      </c>
      <c r="Q141" t="s">
        <v>206</v>
      </c>
      <c r="R141" t="s">
        <v>578</v>
      </c>
      <c r="S141" t="s">
        <v>1396</v>
      </c>
      <c r="T141" t="s">
        <v>1397</v>
      </c>
      <c r="U141" t="s">
        <v>1398</v>
      </c>
      <c r="V141" t="s">
        <v>1399</v>
      </c>
      <c r="W141" t="s">
        <v>101</v>
      </c>
      <c r="X141" t="s">
        <v>102</v>
      </c>
      <c r="Y141" s="229">
        <v>11700</v>
      </c>
      <c r="Z141" s="176">
        <v>0</v>
      </c>
      <c r="AA141">
        <v>146</v>
      </c>
      <c r="AB141" t="s">
        <v>1400</v>
      </c>
      <c r="AC141" t="s">
        <v>1291</v>
      </c>
      <c r="AD141" s="199"/>
      <c r="AE141" s="199"/>
      <c r="AF141" s="179"/>
      <c r="AG141" s="179"/>
      <c r="AH141" s="179"/>
      <c r="AI141" s="179"/>
      <c r="AJ141" s="179"/>
      <c r="AK141" s="179"/>
      <c r="AL141" s="305">
        <v>5</v>
      </c>
      <c r="AM141" s="306">
        <v>2024</v>
      </c>
      <c r="AN141" s="250"/>
      <c r="AP141" t="str">
        <f>IF(BD_Bloqueados[[#This Row],[Analista ]]&lt;&gt;"Ana C",MID(BD_Bloqueados[[#This Row],[ID]],3,5),MID(BD_Bloqueados[[#This Row],[ID]],4,5))</f>
        <v>14624</v>
      </c>
      <c r="AQ141">
        <v>148</v>
      </c>
      <c r="AR141">
        <v>2024</v>
      </c>
      <c r="AS141" s="72">
        <v>45292</v>
      </c>
      <c r="AT141" s="72">
        <v>45439</v>
      </c>
      <c r="AU141">
        <v>5</v>
      </c>
    </row>
    <row r="142" spans="1:47">
      <c r="A142" t="s">
        <v>1413</v>
      </c>
      <c r="B142">
        <v>2</v>
      </c>
      <c r="C142" s="72">
        <v>45437</v>
      </c>
      <c r="D142">
        <v>22</v>
      </c>
      <c r="E142" s="173">
        <v>0.47569444444444442</v>
      </c>
      <c r="F142" t="s">
        <v>78</v>
      </c>
      <c r="G142" t="s">
        <v>28</v>
      </c>
      <c r="H142" t="s">
        <v>165</v>
      </c>
      <c r="I142" t="s">
        <v>87</v>
      </c>
      <c r="J142" t="s">
        <v>633</v>
      </c>
      <c r="K142" t="s">
        <v>1184</v>
      </c>
      <c r="L142" t="s">
        <v>108</v>
      </c>
      <c r="M142" t="s">
        <v>1029</v>
      </c>
      <c r="N142">
        <v>967555800</v>
      </c>
      <c r="O142" t="s">
        <v>362</v>
      </c>
      <c r="P142" s="154">
        <v>12001369</v>
      </c>
      <c r="Q142" t="s">
        <v>138</v>
      </c>
      <c r="R142" t="s">
        <v>589</v>
      </c>
      <c r="S142" t="s">
        <v>1414</v>
      </c>
      <c r="T142" t="s">
        <v>1415</v>
      </c>
      <c r="U142" t="s">
        <v>1416</v>
      </c>
      <c r="V142" t="s">
        <v>1417</v>
      </c>
      <c r="W142" t="s">
        <v>101</v>
      </c>
      <c r="X142" t="s">
        <v>102</v>
      </c>
      <c r="Y142" s="229">
        <v>676.8</v>
      </c>
      <c r="Z142" s="176">
        <v>0</v>
      </c>
      <c r="AA142">
        <v>146</v>
      </c>
      <c r="AD142" s="199"/>
      <c r="AE142" s="199"/>
      <c r="AF142" s="179"/>
      <c r="AG142" s="179"/>
      <c r="AH142" s="179"/>
      <c r="AI142" s="179"/>
      <c r="AJ142" s="179"/>
      <c r="AK142" s="179"/>
      <c r="AL142" s="305">
        <v>5</v>
      </c>
      <c r="AM142" s="306">
        <v>2024</v>
      </c>
      <c r="AN142" s="250"/>
      <c r="AP142" t="str">
        <f>IF(BD_Bloqueados[[#This Row],[Analista ]]&lt;&gt;"Ana C",MID(BD_Bloqueados[[#This Row],[ID]],3,5),MID(BD_Bloqueados[[#This Row],[ID]],4,5))</f>
        <v>14624</v>
      </c>
      <c r="AQ142">
        <v>149</v>
      </c>
      <c r="AR142">
        <v>2024</v>
      </c>
      <c r="AS142" s="72">
        <v>45292</v>
      </c>
      <c r="AT142" s="72">
        <v>45440</v>
      </c>
      <c r="AU142">
        <v>5</v>
      </c>
    </row>
    <row r="143" spans="1:47">
      <c r="A143" t="s">
        <v>1423</v>
      </c>
      <c r="B143">
        <v>2</v>
      </c>
      <c r="C143" s="72">
        <v>45437</v>
      </c>
      <c r="D143">
        <v>22</v>
      </c>
      <c r="E143" s="173">
        <v>0.98750000000000004</v>
      </c>
      <c r="F143" t="s">
        <v>136</v>
      </c>
      <c r="G143" t="s">
        <v>28</v>
      </c>
      <c r="H143" t="s">
        <v>81</v>
      </c>
      <c r="I143" t="s">
        <v>212</v>
      </c>
      <c r="J143" t="s">
        <v>588</v>
      </c>
      <c r="K143" t="s">
        <v>1424</v>
      </c>
      <c r="L143" t="s">
        <v>77</v>
      </c>
      <c r="M143" t="s">
        <v>657</v>
      </c>
      <c r="N143">
        <v>81094100</v>
      </c>
      <c r="O143" t="s">
        <v>510</v>
      </c>
      <c r="P143" s="154">
        <v>10000438</v>
      </c>
      <c r="Q143" t="s">
        <v>138</v>
      </c>
      <c r="R143" t="s">
        <v>79</v>
      </c>
      <c r="S143" t="s">
        <v>1425</v>
      </c>
      <c r="T143" t="s">
        <v>1426</v>
      </c>
      <c r="U143" t="s">
        <v>1427</v>
      </c>
      <c r="V143" t="s">
        <v>1428</v>
      </c>
      <c r="W143" t="s">
        <v>101</v>
      </c>
      <c r="X143" t="s">
        <v>1291</v>
      </c>
      <c r="Y143" s="229">
        <v>852.70399999999995</v>
      </c>
      <c r="Z143" s="176"/>
      <c r="AA143" t="s">
        <v>1429</v>
      </c>
      <c r="AD143" s="199"/>
      <c r="AE143" s="199"/>
      <c r="AF143" s="179"/>
      <c r="AG143" s="179"/>
      <c r="AH143" s="179"/>
      <c r="AI143" s="179"/>
      <c r="AJ143" s="179"/>
      <c r="AK143" s="179"/>
      <c r="AL143" s="305">
        <v>5</v>
      </c>
      <c r="AM143" s="306">
        <v>2024</v>
      </c>
      <c r="AN143" s="250"/>
      <c r="AP143" t="str">
        <f>IF(BD_Bloqueados[[#This Row],[Analista ]]&lt;&gt;"Ana C",MID(BD_Bloqueados[[#This Row],[ID]],3,5),MID(BD_Bloqueados[[#This Row],[ID]],4,5))</f>
        <v>14624</v>
      </c>
      <c r="AQ143">
        <v>148</v>
      </c>
      <c r="AR143">
        <v>2024</v>
      </c>
      <c r="AS143" s="72">
        <v>45292</v>
      </c>
      <c r="AT143" s="72">
        <v>45439</v>
      </c>
      <c r="AU143">
        <v>5</v>
      </c>
    </row>
    <row r="144" spans="1:47">
      <c r="A144" t="s">
        <v>1449</v>
      </c>
      <c r="B144">
        <v>2</v>
      </c>
      <c r="C144" s="72">
        <v>45436</v>
      </c>
      <c r="D144">
        <v>22</v>
      </c>
      <c r="E144" s="173">
        <v>0.9916666666666667</v>
      </c>
      <c r="F144" t="s">
        <v>136</v>
      </c>
      <c r="G144" t="s">
        <v>27</v>
      </c>
      <c r="H144" t="s">
        <v>189</v>
      </c>
      <c r="I144" t="s">
        <v>635</v>
      </c>
      <c r="J144" t="s">
        <v>588</v>
      </c>
      <c r="K144" t="s">
        <v>1450</v>
      </c>
      <c r="L144" t="s">
        <v>108</v>
      </c>
      <c r="M144" t="s">
        <v>1029</v>
      </c>
      <c r="N144">
        <v>967555800</v>
      </c>
      <c r="O144" t="s">
        <v>272</v>
      </c>
      <c r="P144" s="154">
        <v>13030280</v>
      </c>
      <c r="Q144" t="s">
        <v>185</v>
      </c>
      <c r="R144" t="s">
        <v>579</v>
      </c>
      <c r="S144" t="s">
        <v>1451</v>
      </c>
      <c r="T144" t="s">
        <v>1204</v>
      </c>
      <c r="U144" t="s">
        <v>1452</v>
      </c>
      <c r="V144" t="s">
        <v>1453</v>
      </c>
      <c r="W144" t="s">
        <v>101</v>
      </c>
      <c r="X144" t="s">
        <v>1291</v>
      </c>
      <c r="Y144" s="229">
        <v>21</v>
      </c>
      <c r="Z144" s="176"/>
      <c r="AA144">
        <v>144</v>
      </c>
      <c r="AD144" s="199"/>
      <c r="AE144" s="199"/>
      <c r="AF144" s="179"/>
      <c r="AG144" s="179"/>
      <c r="AH144" s="179"/>
      <c r="AI144" s="179"/>
      <c r="AJ144" s="179"/>
      <c r="AK144" s="179"/>
      <c r="AL144" s="305">
        <v>5</v>
      </c>
      <c r="AM144" s="306">
        <v>2024</v>
      </c>
      <c r="AN144" s="250"/>
      <c r="AP144" t="str">
        <f>IF(BD_Bloqueados[[#This Row],[Analista ]]&lt;&gt;"Ana C",MID(BD_Bloqueados[[#This Row],[ID]],3,5),MID(BD_Bloqueados[[#This Row],[ID]],4,5))</f>
        <v>14524</v>
      </c>
      <c r="AQ144">
        <v>146</v>
      </c>
      <c r="AR144">
        <v>2024</v>
      </c>
      <c r="AS144" s="72">
        <v>45292</v>
      </c>
      <c r="AT144" s="72">
        <v>45437</v>
      </c>
      <c r="AU144">
        <v>5</v>
      </c>
    </row>
    <row r="145" spans="1:47">
      <c r="A145" t="s">
        <v>2349</v>
      </c>
      <c r="B145">
        <v>2</v>
      </c>
      <c r="C145" s="72">
        <v>45436</v>
      </c>
      <c r="D145">
        <v>22</v>
      </c>
      <c r="E145" s="173">
        <v>0.92361111111111116</v>
      </c>
      <c r="F145" t="s">
        <v>136</v>
      </c>
      <c r="G145" t="s">
        <v>29</v>
      </c>
      <c r="H145" t="s">
        <v>166</v>
      </c>
      <c r="I145" t="s">
        <v>212</v>
      </c>
      <c r="J145" t="s">
        <v>588</v>
      </c>
      <c r="K145" t="s">
        <v>1500</v>
      </c>
      <c r="L145" t="s">
        <v>108</v>
      </c>
      <c r="M145" t="s">
        <v>1029</v>
      </c>
      <c r="N145">
        <v>967555800</v>
      </c>
      <c r="O145" t="s">
        <v>119</v>
      </c>
      <c r="P145" s="154">
        <v>12001437</v>
      </c>
      <c r="Q145" t="s">
        <v>185</v>
      </c>
      <c r="R145" t="s">
        <v>579</v>
      </c>
      <c r="S145" t="s">
        <v>2350</v>
      </c>
      <c r="T145" t="s">
        <v>2351</v>
      </c>
      <c r="U145" t="s">
        <v>2352</v>
      </c>
      <c r="V145" t="s">
        <v>2353</v>
      </c>
      <c r="W145" t="s">
        <v>101</v>
      </c>
      <c r="X145" t="s">
        <v>156</v>
      </c>
      <c r="Y145" s="229">
        <v>454.08</v>
      </c>
      <c r="Z145" s="176">
        <v>712748.73600000003</v>
      </c>
      <c r="AA145">
        <v>144</v>
      </c>
      <c r="AB145" t="s">
        <v>1400</v>
      </c>
      <c r="AC145" t="s">
        <v>1349</v>
      </c>
      <c r="AD145" s="199">
        <v>5.5E-2</v>
      </c>
      <c r="AE145" s="199" t="s">
        <v>1374</v>
      </c>
      <c r="AF145" s="179">
        <v>76.569000000000003</v>
      </c>
      <c r="AG145" s="179">
        <v>5.9009999999999998</v>
      </c>
      <c r="AH145" s="179">
        <v>0</v>
      </c>
      <c r="AI145" s="179">
        <v>3.8610000000000002</v>
      </c>
      <c r="AJ145" s="179">
        <v>0</v>
      </c>
      <c r="AK145" s="179">
        <v>0</v>
      </c>
      <c r="AL145" s="305">
        <v>5</v>
      </c>
      <c r="AM145" s="306">
        <v>2024</v>
      </c>
      <c r="AN145" s="250"/>
      <c r="AP145" t="str">
        <f>IF(BD_Bloqueados[[#This Row],[Analista ]]&lt;&gt;"Ana C",MID(BD_Bloqueados[[#This Row],[ID]],3,5),MID(BD_Bloqueados[[#This Row],[ID]],4,5))</f>
        <v>14524</v>
      </c>
      <c r="AQ145">
        <v>146</v>
      </c>
      <c r="AR145">
        <v>2024</v>
      </c>
      <c r="AS145" s="72">
        <v>45292</v>
      </c>
      <c r="AT145" s="72">
        <v>45437</v>
      </c>
      <c r="AU145">
        <v>5</v>
      </c>
    </row>
    <row r="146" spans="1:47">
      <c r="A146" t="s">
        <v>1401</v>
      </c>
      <c r="B146">
        <v>2</v>
      </c>
      <c r="C146" s="72">
        <v>45435</v>
      </c>
      <c r="D146">
        <v>22</v>
      </c>
      <c r="E146" s="173">
        <v>0.64583333333333337</v>
      </c>
      <c r="F146" t="s">
        <v>109</v>
      </c>
      <c r="G146" t="s">
        <v>26</v>
      </c>
      <c r="H146" t="s">
        <v>165</v>
      </c>
      <c r="I146" t="s">
        <v>259</v>
      </c>
      <c r="J146" t="s">
        <v>607</v>
      </c>
      <c r="K146" t="s">
        <v>1402</v>
      </c>
      <c r="L146" t="s">
        <v>108</v>
      </c>
      <c r="M146" t="s">
        <v>1029</v>
      </c>
      <c r="N146">
        <v>967555800</v>
      </c>
      <c r="O146" t="s">
        <v>759</v>
      </c>
      <c r="P146" s="154">
        <v>13030603</v>
      </c>
      <c r="Q146" t="s">
        <v>206</v>
      </c>
      <c r="R146" t="s">
        <v>584</v>
      </c>
      <c r="S146" t="s">
        <v>1403</v>
      </c>
      <c r="T146" t="s">
        <v>1404</v>
      </c>
      <c r="U146" t="s">
        <v>1405</v>
      </c>
      <c r="V146" t="s">
        <v>1406</v>
      </c>
      <c r="W146" t="s">
        <v>101</v>
      </c>
      <c r="X146" t="s">
        <v>129</v>
      </c>
      <c r="Y146" s="229">
        <v>488</v>
      </c>
      <c r="Z146" s="176">
        <v>304128.92000000004</v>
      </c>
      <c r="AA146">
        <v>144</v>
      </c>
      <c r="AB146" t="s">
        <v>1407</v>
      </c>
      <c r="AC146" t="s">
        <v>1349</v>
      </c>
      <c r="AD146" s="199">
        <v>1</v>
      </c>
      <c r="AE146" s="199" t="s">
        <v>1292</v>
      </c>
      <c r="AF146" s="179"/>
      <c r="AG146" s="179">
        <v>19.245000000000001</v>
      </c>
      <c r="AH146" s="179">
        <v>530.41700000000003</v>
      </c>
      <c r="AI146" s="179">
        <v>73.552999999999997</v>
      </c>
      <c r="AJ146" s="179">
        <v>0</v>
      </c>
      <c r="AK146" s="179"/>
      <c r="AL146" s="305">
        <v>5</v>
      </c>
      <c r="AM146" s="306">
        <v>2024</v>
      </c>
      <c r="AN146" s="250"/>
      <c r="AP146" t="str">
        <f>IF(BD_Bloqueados[[#This Row],[Analista ]]&lt;&gt;"Ana C",MID(BD_Bloqueados[[#This Row],[ID]],3,5),MID(BD_Bloqueados[[#This Row],[ID]],4,5))</f>
        <v>14424</v>
      </c>
      <c r="AQ146">
        <v>146</v>
      </c>
      <c r="AR146">
        <v>2024</v>
      </c>
      <c r="AS146" s="72">
        <v>45292</v>
      </c>
      <c r="AT146" s="72">
        <v>45437</v>
      </c>
      <c r="AU146">
        <v>5</v>
      </c>
    </row>
    <row r="147" spans="1:47">
      <c r="A147" t="s">
        <v>1408</v>
      </c>
      <c r="B147">
        <v>2</v>
      </c>
      <c r="C147" s="72">
        <v>45435</v>
      </c>
      <c r="D147">
        <v>22</v>
      </c>
      <c r="E147" s="173">
        <v>2.7777777777777776E-2</v>
      </c>
      <c r="F147" t="s">
        <v>136</v>
      </c>
      <c r="G147" t="s">
        <v>29</v>
      </c>
      <c r="H147" t="s">
        <v>165</v>
      </c>
      <c r="I147" t="s">
        <v>212</v>
      </c>
      <c r="J147" t="s">
        <v>588</v>
      </c>
      <c r="K147" t="s">
        <v>1409</v>
      </c>
      <c r="L147" t="s">
        <v>108</v>
      </c>
      <c r="M147" t="s">
        <v>1029</v>
      </c>
      <c r="N147">
        <v>967555800</v>
      </c>
      <c r="O147" t="s">
        <v>193</v>
      </c>
      <c r="P147" s="154">
        <v>13030558</v>
      </c>
      <c r="Q147" t="s">
        <v>185</v>
      </c>
      <c r="R147" t="s">
        <v>579</v>
      </c>
      <c r="S147" t="s">
        <v>1410</v>
      </c>
      <c r="T147" t="s">
        <v>1411</v>
      </c>
      <c r="U147" t="s">
        <v>1182</v>
      </c>
      <c r="V147" t="s">
        <v>1412</v>
      </c>
      <c r="W147" t="s">
        <v>101</v>
      </c>
      <c r="X147" t="s">
        <v>129</v>
      </c>
      <c r="Y147" s="229">
        <v>130.72</v>
      </c>
      <c r="Z147" s="176">
        <v>282168.54399999999</v>
      </c>
      <c r="AA147">
        <v>143</v>
      </c>
      <c r="AB147" t="s">
        <v>1400</v>
      </c>
      <c r="AC147" t="s">
        <v>1349</v>
      </c>
      <c r="AD147" s="199">
        <v>0.43</v>
      </c>
      <c r="AE147" s="199" t="s">
        <v>1374</v>
      </c>
      <c r="AF147" s="179"/>
      <c r="AG147" s="179">
        <v>48.508000000000003</v>
      </c>
      <c r="AH147" s="179">
        <v>789.33600000000001</v>
      </c>
      <c r="AI147" s="179">
        <v>90.236000000000004</v>
      </c>
      <c r="AJ147" s="179">
        <v>0.106</v>
      </c>
      <c r="AK147" s="179"/>
      <c r="AL147" s="305">
        <v>5</v>
      </c>
      <c r="AM147" s="306">
        <v>2024</v>
      </c>
      <c r="AN147" s="250"/>
      <c r="AP147" t="str">
        <f>IF(BD_Bloqueados[[#This Row],[Analista ]]&lt;&gt;"Ana C",MID(BD_Bloqueados[[#This Row],[ID]],3,5),MID(BD_Bloqueados[[#This Row],[ID]],4,5))</f>
        <v>14424</v>
      </c>
      <c r="AQ147">
        <v>146</v>
      </c>
      <c r="AR147">
        <v>2024</v>
      </c>
      <c r="AS147" s="72">
        <v>45292</v>
      </c>
      <c r="AT147" s="72">
        <v>45437</v>
      </c>
      <c r="AU147">
        <v>5</v>
      </c>
    </row>
    <row r="148" spans="1:47">
      <c r="A148" t="s">
        <v>1430</v>
      </c>
      <c r="B148">
        <v>2</v>
      </c>
      <c r="C148" s="72">
        <v>45435</v>
      </c>
      <c r="D148">
        <v>22</v>
      </c>
      <c r="E148" s="173">
        <v>4.027777777777778E-2</v>
      </c>
      <c r="F148" t="s">
        <v>136</v>
      </c>
      <c r="G148" t="s">
        <v>27</v>
      </c>
      <c r="H148" t="s">
        <v>209</v>
      </c>
      <c r="I148" t="s">
        <v>635</v>
      </c>
      <c r="J148" t="s">
        <v>588</v>
      </c>
      <c r="K148" t="s">
        <v>1431</v>
      </c>
      <c r="L148" t="s">
        <v>108</v>
      </c>
      <c r="M148" t="s">
        <v>1029</v>
      </c>
      <c r="N148">
        <v>967555800</v>
      </c>
      <c r="O148" t="s">
        <v>154</v>
      </c>
      <c r="P148" s="154">
        <v>13030471</v>
      </c>
      <c r="Q148" t="s">
        <v>185</v>
      </c>
      <c r="R148" t="s">
        <v>579</v>
      </c>
      <c r="S148" t="s">
        <v>1432</v>
      </c>
      <c r="T148" t="s">
        <v>1433</v>
      </c>
      <c r="U148" t="s">
        <v>1367</v>
      </c>
      <c r="V148" t="s">
        <v>1434</v>
      </c>
      <c r="W148" t="s">
        <v>101</v>
      </c>
      <c r="X148" t="s">
        <v>156</v>
      </c>
      <c r="Y148" s="229">
        <v>11.7</v>
      </c>
      <c r="Z148" s="176">
        <v>5898.3560999999991</v>
      </c>
      <c r="AA148">
        <v>143</v>
      </c>
      <c r="AB148" t="s">
        <v>1400</v>
      </c>
      <c r="AC148" t="s">
        <v>1291</v>
      </c>
      <c r="AD148" s="199">
        <v>1</v>
      </c>
      <c r="AE148" s="199" t="s">
        <v>1292</v>
      </c>
      <c r="AF148" s="179">
        <v>17.276</v>
      </c>
      <c r="AG148" s="179">
        <v>132.40299999999999</v>
      </c>
      <c r="AH148" s="179">
        <v>0</v>
      </c>
      <c r="AI148" s="179">
        <v>339.57799999999997</v>
      </c>
      <c r="AJ148" s="179">
        <v>14.875999999999999</v>
      </c>
      <c r="AK148" s="179"/>
      <c r="AL148" s="305">
        <v>5</v>
      </c>
      <c r="AM148" s="306">
        <v>2024</v>
      </c>
      <c r="AN148" s="250"/>
      <c r="AP148" t="str">
        <f>IF(BD_Bloqueados[[#This Row],[Analista ]]&lt;&gt;"Ana C",MID(BD_Bloqueados[[#This Row],[ID]],3,5),MID(BD_Bloqueados[[#This Row],[ID]],4,5))</f>
        <v>14424</v>
      </c>
      <c r="AQ148">
        <v>148</v>
      </c>
      <c r="AR148">
        <v>2024</v>
      </c>
      <c r="AS148" s="72">
        <v>45292</v>
      </c>
      <c r="AT148" s="72">
        <v>45439</v>
      </c>
      <c r="AU148">
        <v>5</v>
      </c>
    </row>
    <row r="149" spans="1:47">
      <c r="A149" t="s">
        <v>2339</v>
      </c>
      <c r="B149">
        <v>2</v>
      </c>
      <c r="C149" s="72">
        <v>45435</v>
      </c>
      <c r="D149">
        <v>22</v>
      </c>
      <c r="E149" s="173">
        <v>0.9375</v>
      </c>
      <c r="F149" t="s">
        <v>136</v>
      </c>
      <c r="G149" t="s">
        <v>29</v>
      </c>
      <c r="H149" t="s">
        <v>165</v>
      </c>
      <c r="I149" t="s">
        <v>212</v>
      </c>
      <c r="J149" t="s">
        <v>588</v>
      </c>
      <c r="K149" t="s">
        <v>2340</v>
      </c>
      <c r="L149" t="s">
        <v>108</v>
      </c>
      <c r="M149" t="s">
        <v>1029</v>
      </c>
      <c r="N149">
        <v>967555800</v>
      </c>
      <c r="O149" t="s">
        <v>215</v>
      </c>
      <c r="P149" s="154">
        <v>13030560</v>
      </c>
      <c r="Q149" t="s">
        <v>185</v>
      </c>
      <c r="R149" t="s">
        <v>579</v>
      </c>
      <c r="S149" t="s">
        <v>2341</v>
      </c>
      <c r="T149" t="s">
        <v>2342</v>
      </c>
      <c r="U149" t="s">
        <v>1182</v>
      </c>
      <c r="V149" t="s">
        <v>2343</v>
      </c>
      <c r="W149" t="s">
        <v>101</v>
      </c>
      <c r="X149" t="s">
        <v>156</v>
      </c>
      <c r="Y149" s="229">
        <v>314.7</v>
      </c>
      <c r="Z149" s="176">
        <v>124709.88818181817</v>
      </c>
      <c r="AA149">
        <v>143</v>
      </c>
      <c r="AB149" t="s">
        <v>1400</v>
      </c>
      <c r="AC149" t="s">
        <v>1252</v>
      </c>
      <c r="AD149" s="199">
        <v>0.33</v>
      </c>
      <c r="AE149" s="199" t="s">
        <v>1292</v>
      </c>
      <c r="AF149" s="179"/>
      <c r="AG149" s="179">
        <v>40.430999999999997</v>
      </c>
      <c r="AH149" s="179">
        <v>0</v>
      </c>
      <c r="AI149" s="179">
        <v>90.236000000000004</v>
      </c>
      <c r="AJ149" s="179">
        <v>0.106</v>
      </c>
      <c r="AK149" s="179"/>
      <c r="AL149" s="305">
        <v>5</v>
      </c>
      <c r="AM149" s="306">
        <v>2024</v>
      </c>
      <c r="AN149" s="250" t="s">
        <v>1448</v>
      </c>
      <c r="AP149" t="str">
        <f>IF(BD_Bloqueados[[#This Row],[Analista ]]&lt;&gt;"Ana C",MID(BD_Bloqueados[[#This Row],[ID]],3,5),MID(BD_Bloqueados[[#This Row],[ID]],4,5))</f>
        <v>14424</v>
      </c>
      <c r="AQ149">
        <v>146</v>
      </c>
      <c r="AR149">
        <v>2024</v>
      </c>
      <c r="AS149" s="72">
        <v>45292</v>
      </c>
      <c r="AT149" s="72">
        <v>45437</v>
      </c>
      <c r="AU149">
        <v>5</v>
      </c>
    </row>
    <row r="150" spans="1:47">
      <c r="A150" t="s">
        <v>1832</v>
      </c>
      <c r="B150">
        <v>2</v>
      </c>
      <c r="C150" s="72">
        <v>45434</v>
      </c>
      <c r="D150">
        <v>22</v>
      </c>
      <c r="E150" s="173">
        <v>0.35416666666666669</v>
      </c>
      <c r="F150" t="s">
        <v>78</v>
      </c>
      <c r="G150" t="s">
        <v>23</v>
      </c>
      <c r="H150" t="s">
        <v>81</v>
      </c>
      <c r="I150" t="s">
        <v>190</v>
      </c>
      <c r="J150" t="s">
        <v>576</v>
      </c>
      <c r="K150" t="s">
        <v>1833</v>
      </c>
      <c r="L150" t="s">
        <v>108</v>
      </c>
      <c r="M150" t="s">
        <v>1029</v>
      </c>
      <c r="N150">
        <v>967555800</v>
      </c>
      <c r="O150" t="s">
        <v>122</v>
      </c>
      <c r="P150" s="154">
        <v>12001446</v>
      </c>
      <c r="Q150" t="s">
        <v>80</v>
      </c>
      <c r="R150" t="s">
        <v>608</v>
      </c>
      <c r="S150" t="s">
        <v>1834</v>
      </c>
      <c r="T150" t="s">
        <v>1835</v>
      </c>
      <c r="U150" t="s">
        <v>1836</v>
      </c>
      <c r="V150" t="s">
        <v>1837</v>
      </c>
      <c r="W150" t="s">
        <v>101</v>
      </c>
      <c r="X150" t="s">
        <v>129</v>
      </c>
      <c r="Y150" s="229">
        <v>2</v>
      </c>
      <c r="Z150" s="176">
        <v>972.17200000000003</v>
      </c>
      <c r="AA150">
        <v>143</v>
      </c>
      <c r="AB150" t="s">
        <v>1685</v>
      </c>
      <c r="AC150" t="s">
        <v>1686</v>
      </c>
      <c r="AD150" s="199">
        <v>1</v>
      </c>
      <c r="AE150" s="199" t="s">
        <v>1292</v>
      </c>
      <c r="AF150" s="179">
        <v>426.87400000000002</v>
      </c>
      <c r="AG150" s="179"/>
      <c r="AH150" s="179"/>
      <c r="AI150" s="179">
        <v>18.847000000000001</v>
      </c>
      <c r="AJ150" s="179">
        <v>20.484999999999999</v>
      </c>
      <c r="AK150" s="179">
        <v>19.88</v>
      </c>
      <c r="AL150" s="305">
        <v>5</v>
      </c>
      <c r="AM150" s="306">
        <v>2024</v>
      </c>
      <c r="AN150" s="250"/>
      <c r="AP150" t="str">
        <f>IF(BD_Bloqueados[[#This Row],[Analista ]]&lt;&gt;"Ana C",MID(BD_Bloqueados[[#This Row],[ID]],3,5),MID(BD_Bloqueados[[#This Row],[ID]],4,5))</f>
        <v>14324</v>
      </c>
      <c r="AQ150">
        <v>144</v>
      </c>
      <c r="AR150">
        <v>2024</v>
      </c>
      <c r="AS150" s="72">
        <v>45292</v>
      </c>
      <c r="AT150" s="72">
        <v>45435</v>
      </c>
      <c r="AU150">
        <v>5</v>
      </c>
    </row>
    <row r="151" spans="1:47">
      <c r="A151" t="s">
        <v>1435</v>
      </c>
      <c r="B151">
        <v>2</v>
      </c>
      <c r="C151" s="72">
        <v>45430</v>
      </c>
      <c r="D151">
        <v>21</v>
      </c>
      <c r="E151" s="173">
        <v>0.46527777777777779</v>
      </c>
      <c r="F151" t="s">
        <v>78</v>
      </c>
      <c r="G151" t="s">
        <v>27</v>
      </c>
      <c r="H151" t="s">
        <v>209</v>
      </c>
      <c r="I151" t="s">
        <v>635</v>
      </c>
      <c r="J151" t="s">
        <v>588</v>
      </c>
      <c r="K151" t="s">
        <v>1436</v>
      </c>
      <c r="L151" t="s">
        <v>108</v>
      </c>
      <c r="M151" t="s">
        <v>1029</v>
      </c>
      <c r="N151">
        <v>967555800</v>
      </c>
      <c r="O151" t="s">
        <v>99</v>
      </c>
      <c r="P151" s="154">
        <v>13001756</v>
      </c>
      <c r="Q151" t="s">
        <v>185</v>
      </c>
      <c r="R151" t="s">
        <v>596</v>
      </c>
      <c r="S151" t="s">
        <v>1437</v>
      </c>
      <c r="T151" t="s">
        <v>1438</v>
      </c>
      <c r="U151" t="s">
        <v>1439</v>
      </c>
      <c r="V151" t="s">
        <v>1440</v>
      </c>
      <c r="W151" t="s">
        <v>101</v>
      </c>
      <c r="X151" t="s">
        <v>156</v>
      </c>
      <c r="Y151" s="229">
        <v>192</v>
      </c>
      <c r="Z151" s="176">
        <v>40858.944000000003</v>
      </c>
      <c r="AA151">
        <v>138</v>
      </c>
      <c r="AB151" t="s">
        <v>1441</v>
      </c>
      <c r="AC151" t="s">
        <v>1252</v>
      </c>
      <c r="AD151" s="199">
        <v>1</v>
      </c>
      <c r="AE151" s="199" t="s">
        <v>1292</v>
      </c>
      <c r="AF151" s="179">
        <v>0</v>
      </c>
      <c r="AG151" s="179">
        <v>0</v>
      </c>
      <c r="AH151" s="179">
        <v>0</v>
      </c>
      <c r="AI151" s="179">
        <v>210.989</v>
      </c>
      <c r="AJ151" s="179">
        <v>1.8180000000000001</v>
      </c>
      <c r="AK151" s="179"/>
      <c r="AL151" s="305">
        <v>5</v>
      </c>
      <c r="AM151" s="306">
        <v>2024</v>
      </c>
      <c r="AN151" s="250" t="s">
        <v>1283</v>
      </c>
      <c r="AP151" t="str">
        <f>IF(BD_Bloqueados[[#This Row],[Analista ]]&lt;&gt;"Ana C",MID(BD_Bloqueados[[#This Row],[ID]],3,5),MID(BD_Bloqueados[[#This Row],[ID]],4,5))</f>
        <v>13924</v>
      </c>
      <c r="AQ151">
        <v>144</v>
      </c>
      <c r="AR151">
        <v>2024</v>
      </c>
      <c r="AS151" s="72">
        <v>45292</v>
      </c>
      <c r="AT151" s="72">
        <v>45435</v>
      </c>
      <c r="AU151">
        <v>5</v>
      </c>
    </row>
    <row r="152" spans="1:47">
      <c r="A152" t="s">
        <v>1442</v>
      </c>
      <c r="B152">
        <v>2</v>
      </c>
      <c r="C152" s="72">
        <v>45430</v>
      </c>
      <c r="D152">
        <v>21</v>
      </c>
      <c r="E152" s="173">
        <v>0.46527777777777779</v>
      </c>
      <c r="F152" t="s">
        <v>78</v>
      </c>
      <c r="G152" t="s">
        <v>27</v>
      </c>
      <c r="H152" t="s">
        <v>209</v>
      </c>
      <c r="I152" t="s">
        <v>635</v>
      </c>
      <c r="J152" t="s">
        <v>588</v>
      </c>
      <c r="K152" t="s">
        <v>1443</v>
      </c>
      <c r="L152" t="s">
        <v>108</v>
      </c>
      <c r="M152" t="s">
        <v>1029</v>
      </c>
      <c r="N152">
        <v>967555800</v>
      </c>
      <c r="O152" t="s">
        <v>99</v>
      </c>
      <c r="P152" s="154">
        <v>13001756</v>
      </c>
      <c r="Q152" t="s">
        <v>138</v>
      </c>
      <c r="R152" t="s">
        <v>589</v>
      </c>
      <c r="S152" t="s">
        <v>1444</v>
      </c>
      <c r="T152" t="s">
        <v>1445</v>
      </c>
      <c r="U152" t="s">
        <v>1446</v>
      </c>
      <c r="V152" t="s">
        <v>1447</v>
      </c>
      <c r="W152" t="s">
        <v>101</v>
      </c>
      <c r="X152" t="s">
        <v>156</v>
      </c>
      <c r="Y152" s="229">
        <v>192</v>
      </c>
      <c r="Z152" s="176">
        <v>66822.144</v>
      </c>
      <c r="AA152">
        <v>138</v>
      </c>
      <c r="AB152" t="s">
        <v>1290</v>
      </c>
      <c r="AC152" t="s">
        <v>1349</v>
      </c>
      <c r="AD152" s="199">
        <v>1</v>
      </c>
      <c r="AE152" s="199" t="s">
        <v>1292</v>
      </c>
      <c r="AF152" s="179">
        <v>16.402999999999999</v>
      </c>
      <c r="AG152" s="179">
        <v>118.822</v>
      </c>
      <c r="AH152" s="179">
        <v>0</v>
      </c>
      <c r="AI152" s="179">
        <v>210.989</v>
      </c>
      <c r="AJ152" s="179">
        <v>1.8180000000000001</v>
      </c>
      <c r="AK152" s="179"/>
      <c r="AL152" s="305">
        <v>5</v>
      </c>
      <c r="AM152" s="306">
        <v>2024</v>
      </c>
      <c r="AN152" s="250" t="s">
        <v>1448</v>
      </c>
      <c r="AP152" t="str">
        <f>IF(BD_Bloqueados[[#This Row],[Analista ]]&lt;&gt;"Ana C",MID(BD_Bloqueados[[#This Row],[ID]],3,5),MID(BD_Bloqueados[[#This Row],[ID]],4,5))</f>
        <v>13924</v>
      </c>
      <c r="AQ152">
        <v>144</v>
      </c>
      <c r="AR152">
        <v>2024</v>
      </c>
      <c r="AS152" s="72">
        <v>45292</v>
      </c>
      <c r="AT152" s="72">
        <v>45435</v>
      </c>
      <c r="AU152">
        <v>5</v>
      </c>
    </row>
    <row r="153" spans="1:47">
      <c r="A153" t="s">
        <v>1454</v>
      </c>
      <c r="B153">
        <v>2</v>
      </c>
      <c r="C153" s="72">
        <v>45430</v>
      </c>
      <c r="D153">
        <v>21</v>
      </c>
      <c r="E153" s="173">
        <v>0.97916666666666663</v>
      </c>
      <c r="F153" t="s">
        <v>136</v>
      </c>
      <c r="G153" t="s">
        <v>27</v>
      </c>
      <c r="H153" t="s">
        <v>209</v>
      </c>
      <c r="I153" t="s">
        <v>259</v>
      </c>
      <c r="J153" t="s">
        <v>595</v>
      </c>
      <c r="K153" t="s">
        <v>1048</v>
      </c>
      <c r="L153" t="s">
        <v>108</v>
      </c>
      <c r="M153" t="s">
        <v>1029</v>
      </c>
      <c r="N153">
        <v>967555800</v>
      </c>
      <c r="O153" t="s">
        <v>99</v>
      </c>
      <c r="P153" s="154">
        <v>13001756</v>
      </c>
      <c r="Q153" t="s">
        <v>185</v>
      </c>
      <c r="R153" t="s">
        <v>600</v>
      </c>
      <c r="S153" t="s">
        <v>1455</v>
      </c>
      <c r="T153" t="s">
        <v>1456</v>
      </c>
      <c r="U153" t="s">
        <v>1457</v>
      </c>
      <c r="V153" t="s">
        <v>1458</v>
      </c>
      <c r="W153" t="s">
        <v>101</v>
      </c>
      <c r="X153" t="s">
        <v>102</v>
      </c>
      <c r="Y153" s="229">
        <v>5184</v>
      </c>
      <c r="Z153" s="176">
        <v>0</v>
      </c>
      <c r="AA153">
        <v>138</v>
      </c>
      <c r="AB153" t="s">
        <v>1459</v>
      </c>
      <c r="AC153" t="s">
        <v>1252</v>
      </c>
      <c r="AD153" s="199"/>
      <c r="AE153" s="199"/>
      <c r="AF153" s="179"/>
      <c r="AG153" s="179"/>
      <c r="AH153" s="179"/>
      <c r="AI153" s="179"/>
      <c r="AJ153" s="179"/>
      <c r="AK153" s="179"/>
      <c r="AL153" s="305">
        <v>5</v>
      </c>
      <c r="AM153" s="306">
        <v>2024</v>
      </c>
      <c r="AN153" s="250" t="s">
        <v>1460</v>
      </c>
      <c r="AP153" t="str">
        <f>IF(BD_Bloqueados[[#This Row],[Analista ]]&lt;&gt;"Ana C",MID(BD_Bloqueados[[#This Row],[ID]],3,5),MID(BD_Bloqueados[[#This Row],[ID]],4,5))</f>
        <v>13924</v>
      </c>
      <c r="AQ153">
        <v>145</v>
      </c>
      <c r="AR153">
        <v>2024</v>
      </c>
      <c r="AS153" s="72">
        <v>45292</v>
      </c>
      <c r="AT153" s="72">
        <v>45436</v>
      </c>
      <c r="AU153">
        <v>5</v>
      </c>
    </row>
    <row r="154" spans="1:47">
      <c r="A154" t="s">
        <v>1461</v>
      </c>
      <c r="B154">
        <v>2</v>
      </c>
      <c r="C154" s="72">
        <v>45430</v>
      </c>
      <c r="D154">
        <v>21</v>
      </c>
      <c r="E154" s="173">
        <v>0.55555555555555558</v>
      </c>
      <c r="F154" t="s">
        <v>109</v>
      </c>
      <c r="G154" t="s">
        <v>28</v>
      </c>
      <c r="H154" t="s">
        <v>210</v>
      </c>
      <c r="I154" t="s">
        <v>87</v>
      </c>
      <c r="J154" t="s">
        <v>618</v>
      </c>
      <c r="K154" t="s">
        <v>1184</v>
      </c>
      <c r="L154" t="s">
        <v>108</v>
      </c>
      <c r="M154" t="s">
        <v>1029</v>
      </c>
      <c r="N154">
        <v>967555800</v>
      </c>
      <c r="O154" t="s">
        <v>278</v>
      </c>
      <c r="P154" s="154">
        <v>13030284</v>
      </c>
      <c r="Q154" t="s">
        <v>80</v>
      </c>
      <c r="R154" t="s">
        <v>589</v>
      </c>
      <c r="S154" t="s">
        <v>1462</v>
      </c>
      <c r="T154" t="s">
        <v>1463</v>
      </c>
      <c r="U154" t="s">
        <v>1464</v>
      </c>
      <c r="V154" t="s">
        <v>1465</v>
      </c>
      <c r="W154" t="s">
        <v>101</v>
      </c>
      <c r="X154" t="s">
        <v>156</v>
      </c>
      <c r="Y154" s="229">
        <v>115.307</v>
      </c>
      <c r="Z154" s="176">
        <v>44411.067584999997</v>
      </c>
      <c r="AA154">
        <v>139</v>
      </c>
      <c r="AB154" t="s">
        <v>1466</v>
      </c>
      <c r="AC154" t="s">
        <v>1349</v>
      </c>
      <c r="AD154" s="199">
        <v>0.2</v>
      </c>
      <c r="AE154" s="199" t="s">
        <v>1374</v>
      </c>
      <c r="AF154" s="179"/>
      <c r="AG154" s="179">
        <v>0</v>
      </c>
      <c r="AH154" s="179">
        <v>0</v>
      </c>
      <c r="AI154" s="179">
        <v>70.174000000000007</v>
      </c>
      <c r="AJ154" s="179">
        <v>6.8570000000000002</v>
      </c>
      <c r="AK154" s="179"/>
      <c r="AL154" s="305">
        <v>5</v>
      </c>
      <c r="AM154" s="306">
        <v>2024</v>
      </c>
      <c r="AN154" s="250"/>
      <c r="AP154" t="str">
        <f>IF(BD_Bloqueados[[#This Row],[Analista ]]&lt;&gt;"Ana C",MID(BD_Bloqueados[[#This Row],[ID]],3,5),MID(BD_Bloqueados[[#This Row],[ID]],4,5))</f>
        <v>13924</v>
      </c>
      <c r="AQ154">
        <v>139</v>
      </c>
      <c r="AR154">
        <v>2024</v>
      </c>
      <c r="AS154" s="72">
        <v>45292</v>
      </c>
      <c r="AT154" s="72">
        <v>45430</v>
      </c>
      <c r="AU154">
        <v>5</v>
      </c>
    </row>
    <row r="155" spans="1:47">
      <c r="A155" t="s">
        <v>1480</v>
      </c>
      <c r="B155">
        <v>2</v>
      </c>
      <c r="C155" s="72">
        <v>45430</v>
      </c>
      <c r="D155">
        <v>21</v>
      </c>
      <c r="E155" s="173">
        <v>0.41180555555555554</v>
      </c>
      <c r="F155" t="s">
        <v>78</v>
      </c>
      <c r="G155" t="s">
        <v>29</v>
      </c>
      <c r="H155" t="s">
        <v>166</v>
      </c>
      <c r="I155" t="s">
        <v>635</v>
      </c>
      <c r="J155" t="s">
        <v>588</v>
      </c>
      <c r="K155" t="s">
        <v>1481</v>
      </c>
      <c r="L155" t="s">
        <v>108</v>
      </c>
      <c r="M155" t="s">
        <v>1029</v>
      </c>
      <c r="N155">
        <v>967555800</v>
      </c>
      <c r="O155" t="s">
        <v>215</v>
      </c>
      <c r="P155" s="154">
        <v>13030560</v>
      </c>
      <c r="Q155" t="s">
        <v>185</v>
      </c>
      <c r="R155" t="s">
        <v>579</v>
      </c>
      <c r="S155" t="s">
        <v>1482</v>
      </c>
      <c r="T155" t="s">
        <v>1483</v>
      </c>
      <c r="U155" t="s">
        <v>1484</v>
      </c>
      <c r="V155" t="s">
        <v>1485</v>
      </c>
      <c r="W155" t="s">
        <v>101</v>
      </c>
      <c r="X155" t="s">
        <v>1291</v>
      </c>
      <c r="Y155" s="229"/>
      <c r="Z155" s="176"/>
      <c r="AA155">
        <v>139</v>
      </c>
      <c r="AD155" s="199"/>
      <c r="AE155" s="199"/>
      <c r="AF155" s="179"/>
      <c r="AG155" s="179"/>
      <c r="AH155" s="179"/>
      <c r="AI155" s="179"/>
      <c r="AJ155" s="179"/>
      <c r="AK155" s="179"/>
      <c r="AL155" s="305">
        <v>5</v>
      </c>
      <c r="AM155" s="306">
        <v>2024</v>
      </c>
      <c r="AN155" s="250"/>
      <c r="AP155" t="str">
        <f>IF(BD_Bloqueados[[#This Row],[Analista ]]&lt;&gt;"Ana C",MID(BD_Bloqueados[[#This Row],[ID]],3,5),MID(BD_Bloqueados[[#This Row],[ID]],4,5))</f>
        <v>13924</v>
      </c>
      <c r="AQ155">
        <v>139</v>
      </c>
      <c r="AR155">
        <v>2024</v>
      </c>
      <c r="AS155" s="72">
        <v>45292</v>
      </c>
      <c r="AT155" s="72">
        <v>45430</v>
      </c>
      <c r="AU155">
        <v>5</v>
      </c>
    </row>
    <row r="156" spans="1:47">
      <c r="A156" t="s">
        <v>1467</v>
      </c>
      <c r="B156">
        <v>2</v>
      </c>
      <c r="C156" s="72">
        <v>45429</v>
      </c>
      <c r="D156">
        <v>21</v>
      </c>
      <c r="E156" s="173">
        <v>0.52083333333333337</v>
      </c>
      <c r="F156" t="s">
        <v>78</v>
      </c>
      <c r="G156" t="s">
        <v>25</v>
      </c>
      <c r="H156" t="s">
        <v>81</v>
      </c>
      <c r="I156" t="s">
        <v>615</v>
      </c>
      <c r="J156" t="s">
        <v>169</v>
      </c>
      <c r="K156" t="s">
        <v>1468</v>
      </c>
      <c r="L156" t="s">
        <v>108</v>
      </c>
      <c r="M156" t="s">
        <v>1029</v>
      </c>
      <c r="N156">
        <v>967555800</v>
      </c>
      <c r="O156" t="s">
        <v>238</v>
      </c>
      <c r="P156" s="154">
        <v>13030210</v>
      </c>
      <c r="Q156" t="s">
        <v>185</v>
      </c>
      <c r="R156" t="s">
        <v>578</v>
      </c>
      <c r="S156" t="s">
        <v>1469</v>
      </c>
      <c r="T156" t="s">
        <v>1470</v>
      </c>
      <c r="U156" t="s">
        <v>1471</v>
      </c>
      <c r="V156" t="s">
        <v>1472</v>
      </c>
      <c r="W156" t="s">
        <v>101</v>
      </c>
      <c r="X156" t="s">
        <v>102</v>
      </c>
      <c r="Y156" s="229">
        <v>5745</v>
      </c>
      <c r="Z156" s="176">
        <v>0</v>
      </c>
      <c r="AA156">
        <v>138</v>
      </c>
      <c r="AB156" t="s">
        <v>1407</v>
      </c>
      <c r="AC156" t="s">
        <v>1291</v>
      </c>
      <c r="AD156" s="199"/>
      <c r="AE156" s="199"/>
      <c r="AF156" s="179"/>
      <c r="AG156" s="179"/>
      <c r="AH156" s="179"/>
      <c r="AI156" s="179"/>
      <c r="AJ156" s="179"/>
      <c r="AK156" s="179"/>
      <c r="AL156" s="305">
        <v>5</v>
      </c>
      <c r="AM156" s="306">
        <v>2024</v>
      </c>
      <c r="AN156" s="250"/>
      <c r="AP156" t="str">
        <f>IF(BD_Bloqueados[[#This Row],[Analista ]]&lt;&gt;"Ana C",MID(BD_Bloqueados[[#This Row],[ID]],3,5),MID(BD_Bloqueados[[#This Row],[ID]],4,5))</f>
        <v>13824</v>
      </c>
      <c r="AQ156">
        <v>139</v>
      </c>
      <c r="AR156">
        <v>2024</v>
      </c>
      <c r="AS156" s="72">
        <v>45292</v>
      </c>
      <c r="AT156" s="72">
        <v>45430</v>
      </c>
      <c r="AU156">
        <v>5</v>
      </c>
    </row>
    <row r="157" spans="1:47">
      <c r="A157" t="s">
        <v>1473</v>
      </c>
      <c r="B157">
        <v>2</v>
      </c>
      <c r="C157" s="72">
        <v>45429</v>
      </c>
      <c r="D157">
        <v>21</v>
      </c>
      <c r="E157" s="173">
        <v>0.57291666666666663</v>
      </c>
      <c r="F157" t="s">
        <v>109</v>
      </c>
      <c r="G157" t="s">
        <v>25</v>
      </c>
      <c r="H157" t="s">
        <v>164</v>
      </c>
      <c r="I157" t="s">
        <v>190</v>
      </c>
      <c r="J157" t="s">
        <v>576</v>
      </c>
      <c r="K157" t="s">
        <v>1474</v>
      </c>
      <c r="L157" t="s">
        <v>108</v>
      </c>
      <c r="M157" t="s">
        <v>1029</v>
      </c>
      <c r="N157">
        <v>967555800</v>
      </c>
      <c r="O157" t="s">
        <v>238</v>
      </c>
      <c r="P157" s="154">
        <v>13030210</v>
      </c>
      <c r="Q157" t="s">
        <v>206</v>
      </c>
      <c r="R157" t="s">
        <v>578</v>
      </c>
      <c r="S157" t="s">
        <v>1475</v>
      </c>
      <c r="T157" t="s">
        <v>1476</v>
      </c>
      <c r="U157" t="s">
        <v>1477</v>
      </c>
      <c r="V157" t="s">
        <v>1478</v>
      </c>
      <c r="W157" t="s">
        <v>101</v>
      </c>
      <c r="X157" t="s">
        <v>102</v>
      </c>
      <c r="Y157" s="229">
        <v>3830</v>
      </c>
      <c r="Z157" s="176">
        <v>0</v>
      </c>
      <c r="AB157" t="s">
        <v>1400</v>
      </c>
      <c r="AC157" t="s">
        <v>1479</v>
      </c>
      <c r="AD157" s="199"/>
      <c r="AE157" s="199"/>
      <c r="AF157" s="179"/>
      <c r="AG157" s="179"/>
      <c r="AH157" s="179"/>
      <c r="AI157" s="179"/>
      <c r="AJ157" s="179"/>
      <c r="AK157" s="179"/>
      <c r="AL157" s="305">
        <v>5</v>
      </c>
      <c r="AM157" s="306">
        <v>2024</v>
      </c>
      <c r="AN157" s="250"/>
      <c r="AP157" t="str">
        <f>IF(BD_Bloqueados[[#This Row],[Analista ]]&lt;&gt;"Ana C",MID(BD_Bloqueados[[#This Row],[ID]],3,5),MID(BD_Bloqueados[[#This Row],[ID]],4,5))</f>
        <v>13824</v>
      </c>
      <c r="AQ157">
        <v>139</v>
      </c>
      <c r="AR157">
        <v>2024</v>
      </c>
      <c r="AS157" s="72">
        <v>45292</v>
      </c>
      <c r="AT157" s="72">
        <v>45430</v>
      </c>
      <c r="AU157">
        <v>5</v>
      </c>
    </row>
    <row r="158" spans="1:47">
      <c r="A158" t="s">
        <v>1486</v>
      </c>
      <c r="B158">
        <v>2</v>
      </c>
      <c r="C158" s="72">
        <v>45428</v>
      </c>
      <c r="D158">
        <v>21</v>
      </c>
      <c r="E158" s="173">
        <v>0.4513888888888889</v>
      </c>
      <c r="F158" t="s">
        <v>78</v>
      </c>
      <c r="G158" t="s">
        <v>24</v>
      </c>
      <c r="H158" t="s">
        <v>165</v>
      </c>
      <c r="I158" t="s">
        <v>212</v>
      </c>
      <c r="J158" t="s">
        <v>169</v>
      </c>
      <c r="K158" t="s">
        <v>1487</v>
      </c>
      <c r="L158" t="s">
        <v>108</v>
      </c>
      <c r="M158" t="s">
        <v>1029</v>
      </c>
      <c r="N158">
        <v>967555800</v>
      </c>
      <c r="O158" t="s">
        <v>303</v>
      </c>
      <c r="P158" s="154">
        <v>13030395</v>
      </c>
      <c r="Q158" t="s">
        <v>80</v>
      </c>
      <c r="R158" t="s">
        <v>589</v>
      </c>
      <c r="S158" t="s">
        <v>1488</v>
      </c>
      <c r="T158" t="s">
        <v>1318</v>
      </c>
      <c r="U158" t="s">
        <v>1489</v>
      </c>
      <c r="V158" t="s">
        <v>1490</v>
      </c>
      <c r="W158" t="s">
        <v>101</v>
      </c>
      <c r="X158" t="s">
        <v>156</v>
      </c>
      <c r="Y158" s="229">
        <v>1512</v>
      </c>
      <c r="Z158" s="176">
        <v>160710.48000000001</v>
      </c>
      <c r="AA158">
        <v>137</v>
      </c>
      <c r="AB158" t="s">
        <v>1491</v>
      </c>
      <c r="AC158" t="s">
        <v>1252</v>
      </c>
      <c r="AD158" s="199">
        <v>1</v>
      </c>
      <c r="AE158" s="199" t="s">
        <v>1292</v>
      </c>
      <c r="AF158" s="179"/>
      <c r="AG158" s="179">
        <v>9.06</v>
      </c>
      <c r="AH158" s="179">
        <v>0</v>
      </c>
      <c r="AI158" s="179">
        <v>78.718000000000004</v>
      </c>
      <c r="AJ158" s="179">
        <v>18.512</v>
      </c>
      <c r="AK158" s="179"/>
      <c r="AL158" s="305">
        <v>5</v>
      </c>
      <c r="AM158" s="306">
        <v>2024</v>
      </c>
      <c r="AN158" s="250" t="s">
        <v>1283</v>
      </c>
      <c r="AP158" t="str">
        <f>IF(BD_Bloqueados[[#This Row],[Analista ]]&lt;&gt;"Ana C",MID(BD_Bloqueados[[#This Row],[ID]],3,5),MID(BD_Bloqueados[[#This Row],[ID]],4,5))</f>
        <v>13724</v>
      </c>
      <c r="AQ158">
        <v>139</v>
      </c>
      <c r="AR158">
        <v>2024</v>
      </c>
      <c r="AS158" s="72">
        <v>45292</v>
      </c>
      <c r="AT158" s="72">
        <v>45430</v>
      </c>
      <c r="AU158">
        <v>5</v>
      </c>
    </row>
    <row r="159" spans="1:47">
      <c r="A159" t="s">
        <v>1492</v>
      </c>
      <c r="B159">
        <v>2</v>
      </c>
      <c r="C159" s="72">
        <v>45428</v>
      </c>
      <c r="D159">
        <v>21</v>
      </c>
      <c r="E159" s="173">
        <v>7.4305555555555555E-2</v>
      </c>
      <c r="F159" t="s">
        <v>136</v>
      </c>
      <c r="G159" t="s">
        <v>27</v>
      </c>
      <c r="H159" t="s">
        <v>189</v>
      </c>
      <c r="I159" t="s">
        <v>259</v>
      </c>
      <c r="J159" t="s">
        <v>595</v>
      </c>
      <c r="K159" t="s">
        <v>1493</v>
      </c>
      <c r="L159" t="s">
        <v>108</v>
      </c>
      <c r="M159" t="s">
        <v>1029</v>
      </c>
      <c r="N159">
        <v>967555800</v>
      </c>
      <c r="O159" t="s">
        <v>217</v>
      </c>
      <c r="P159" s="154">
        <v>13030104</v>
      </c>
      <c r="Q159" t="s">
        <v>185</v>
      </c>
      <c r="R159" t="s">
        <v>600</v>
      </c>
      <c r="S159" t="s">
        <v>1494</v>
      </c>
      <c r="T159" t="s">
        <v>1495</v>
      </c>
      <c r="U159" t="s">
        <v>1496</v>
      </c>
      <c r="V159" t="s">
        <v>1497</v>
      </c>
      <c r="W159" t="s">
        <v>101</v>
      </c>
      <c r="X159" t="s">
        <v>156</v>
      </c>
      <c r="Y159" s="229">
        <v>552</v>
      </c>
      <c r="Z159" s="176">
        <v>420311.39368421049</v>
      </c>
      <c r="AA159">
        <v>137</v>
      </c>
      <c r="AB159" t="s">
        <v>1459</v>
      </c>
      <c r="AC159" t="s">
        <v>1252</v>
      </c>
      <c r="AD159" s="199">
        <v>0.47499999999999998</v>
      </c>
      <c r="AE159" s="199" t="s">
        <v>1292</v>
      </c>
      <c r="AF159" s="179">
        <v>0</v>
      </c>
      <c r="AG159" s="179">
        <v>262.928</v>
      </c>
      <c r="AH159" s="179">
        <v>0</v>
      </c>
      <c r="AI159" s="179">
        <v>76.616</v>
      </c>
      <c r="AJ159" s="179">
        <v>22.137</v>
      </c>
      <c r="AK159" s="179">
        <v>0</v>
      </c>
      <c r="AL159" s="305">
        <v>5</v>
      </c>
      <c r="AM159" s="306">
        <v>2024</v>
      </c>
      <c r="AN159" s="250" t="s">
        <v>1498</v>
      </c>
      <c r="AP159" t="str">
        <f>IF(BD_Bloqueados[[#This Row],[Analista ]]&lt;&gt;"Ana C",MID(BD_Bloqueados[[#This Row],[ID]],3,5),MID(BD_Bloqueados[[#This Row],[ID]],4,5))</f>
        <v>13724</v>
      </c>
      <c r="AQ159">
        <v>138</v>
      </c>
      <c r="AR159">
        <v>2024</v>
      </c>
      <c r="AS159" s="72">
        <v>45292</v>
      </c>
      <c r="AT159" s="72">
        <v>45429</v>
      </c>
      <c r="AU159">
        <v>5</v>
      </c>
    </row>
    <row r="160" spans="1:47">
      <c r="A160" t="s">
        <v>1513</v>
      </c>
      <c r="B160">
        <v>2</v>
      </c>
      <c r="C160" s="72">
        <v>45428</v>
      </c>
      <c r="D160">
        <v>21</v>
      </c>
      <c r="E160" s="173">
        <v>0.16666666666666666</v>
      </c>
      <c r="F160" t="s">
        <v>136</v>
      </c>
      <c r="G160" t="s">
        <v>29</v>
      </c>
      <c r="H160" t="s">
        <v>83</v>
      </c>
      <c r="I160" t="s">
        <v>248</v>
      </c>
      <c r="J160" t="s">
        <v>595</v>
      </c>
      <c r="K160" t="s">
        <v>1514</v>
      </c>
      <c r="L160" t="s">
        <v>77</v>
      </c>
      <c r="M160" t="s">
        <v>681</v>
      </c>
      <c r="N160">
        <v>96506730</v>
      </c>
      <c r="O160" t="s">
        <v>858</v>
      </c>
      <c r="P160" s="154">
        <v>10004359</v>
      </c>
      <c r="Q160" t="s">
        <v>206</v>
      </c>
      <c r="R160" t="s">
        <v>627</v>
      </c>
      <c r="S160" t="s">
        <v>1515</v>
      </c>
      <c r="T160" t="s">
        <v>1516</v>
      </c>
      <c r="U160" t="s">
        <v>1517</v>
      </c>
      <c r="W160" t="s">
        <v>101</v>
      </c>
      <c r="X160" t="s">
        <v>1518</v>
      </c>
      <c r="Y160" s="229">
        <v>25</v>
      </c>
      <c r="Z160" s="176"/>
      <c r="AA160" t="s">
        <v>1519</v>
      </c>
      <c r="AD160" s="199"/>
      <c r="AE160" s="199"/>
      <c r="AF160" s="179"/>
      <c r="AG160" s="179"/>
      <c r="AH160" s="179"/>
      <c r="AI160" s="179"/>
      <c r="AJ160" s="179"/>
      <c r="AK160" s="179"/>
      <c r="AL160" s="305">
        <v>5</v>
      </c>
      <c r="AM160" s="306">
        <v>2024</v>
      </c>
      <c r="AN160" s="250"/>
      <c r="AP160" t="str">
        <f>IF(BD_Bloqueados[[#This Row],[Analista ]]&lt;&gt;"Ana C",MID(BD_Bloqueados[[#This Row],[ID]],3,5),MID(BD_Bloqueados[[#This Row],[ID]],4,5))</f>
        <v>13724</v>
      </c>
      <c r="AQ160">
        <v>138</v>
      </c>
      <c r="AR160">
        <v>2024</v>
      </c>
      <c r="AS160" s="72">
        <v>45292</v>
      </c>
      <c r="AT160" s="72">
        <v>45429</v>
      </c>
      <c r="AU160">
        <v>5</v>
      </c>
    </row>
    <row r="161" spans="1:47">
      <c r="A161" t="s">
        <v>2073</v>
      </c>
      <c r="B161">
        <v>2</v>
      </c>
      <c r="C161" s="72">
        <v>45428</v>
      </c>
      <c r="D161">
        <v>21</v>
      </c>
      <c r="E161" s="173">
        <v>0.4513888888888889</v>
      </c>
      <c r="F161" t="s">
        <v>78</v>
      </c>
      <c r="G161" t="s">
        <v>26</v>
      </c>
      <c r="H161" t="s">
        <v>165</v>
      </c>
      <c r="I161" t="s">
        <v>212</v>
      </c>
      <c r="J161" t="s">
        <v>169</v>
      </c>
      <c r="K161" t="s">
        <v>1487</v>
      </c>
      <c r="L161" t="s">
        <v>108</v>
      </c>
      <c r="M161" t="s">
        <v>1029</v>
      </c>
      <c r="N161">
        <v>967555800</v>
      </c>
      <c r="O161" t="s">
        <v>757</v>
      </c>
      <c r="P161" s="154">
        <v>13030602</v>
      </c>
      <c r="Q161" t="s">
        <v>80</v>
      </c>
      <c r="R161" t="s">
        <v>589</v>
      </c>
      <c r="S161" t="s">
        <v>2074</v>
      </c>
      <c r="T161" t="s">
        <v>2075</v>
      </c>
      <c r="U161" t="s">
        <v>2076</v>
      </c>
      <c r="V161" t="s">
        <v>2077</v>
      </c>
      <c r="W161" t="s">
        <v>101</v>
      </c>
      <c r="X161" t="s">
        <v>156</v>
      </c>
      <c r="Y161" s="229" t="s">
        <v>2078</v>
      </c>
      <c r="Z161" s="176"/>
      <c r="AA161">
        <v>137</v>
      </c>
      <c r="AD161" s="199"/>
      <c r="AE161" s="199"/>
      <c r="AF161" s="179"/>
      <c r="AG161" s="179"/>
      <c r="AH161" s="179"/>
      <c r="AI161" s="179"/>
      <c r="AJ161" s="179"/>
      <c r="AK161" s="179"/>
      <c r="AL161" s="305">
        <v>5</v>
      </c>
      <c r="AM161" s="306">
        <v>2024</v>
      </c>
      <c r="AN161" s="250"/>
      <c r="AP161" t="str">
        <f>IF(BD_Bloqueados[[#This Row],[Analista ]]&lt;&gt;"Ana C",MID(BD_Bloqueados[[#This Row],[ID]],3,5),MID(BD_Bloqueados[[#This Row],[ID]],4,5))</f>
        <v>13724</v>
      </c>
      <c r="AQ161">
        <v>137</v>
      </c>
      <c r="AR161">
        <v>2024</v>
      </c>
      <c r="AS161" s="72">
        <v>45292</v>
      </c>
      <c r="AT161" s="72">
        <v>45428</v>
      </c>
      <c r="AU161">
        <v>5</v>
      </c>
    </row>
    <row r="162" spans="1:47">
      <c r="A162" t="s">
        <v>1499</v>
      </c>
      <c r="B162">
        <v>2</v>
      </c>
      <c r="C162" s="72">
        <v>45427</v>
      </c>
      <c r="D162">
        <v>21</v>
      </c>
      <c r="E162" s="173">
        <v>6.9444444444444434E-2</v>
      </c>
      <c r="F162" t="s">
        <v>136</v>
      </c>
      <c r="G162" t="s">
        <v>29</v>
      </c>
      <c r="H162" t="s">
        <v>166</v>
      </c>
      <c r="I162" t="s">
        <v>248</v>
      </c>
      <c r="J162" t="s">
        <v>595</v>
      </c>
      <c r="K162" t="s">
        <v>1500</v>
      </c>
      <c r="L162" t="s">
        <v>108</v>
      </c>
      <c r="M162" t="s">
        <v>1029</v>
      </c>
      <c r="N162">
        <v>967555800</v>
      </c>
      <c r="O162" t="s">
        <v>251</v>
      </c>
      <c r="P162" s="154">
        <v>13030559</v>
      </c>
      <c r="Q162" t="s">
        <v>185</v>
      </c>
      <c r="R162" t="s">
        <v>600</v>
      </c>
      <c r="S162" t="s">
        <v>1501</v>
      </c>
      <c r="T162" t="s">
        <v>1502</v>
      </c>
      <c r="U162" t="s">
        <v>1503</v>
      </c>
      <c r="V162" t="s">
        <v>1504</v>
      </c>
      <c r="W162" t="s">
        <v>101</v>
      </c>
      <c r="X162" t="s">
        <v>156</v>
      </c>
      <c r="Y162" s="229">
        <v>151.36000000000001</v>
      </c>
      <c r="Z162" s="176">
        <v>48875.199999999997</v>
      </c>
      <c r="AA162">
        <v>136</v>
      </c>
      <c r="AB162" t="s">
        <v>1459</v>
      </c>
      <c r="AC162" t="s">
        <v>1252</v>
      </c>
      <c r="AD162" s="199">
        <v>0.43</v>
      </c>
      <c r="AE162" s="199" t="s">
        <v>1374</v>
      </c>
      <c r="AF162" s="179"/>
      <c r="AG162" s="179">
        <v>48.508000000000003</v>
      </c>
      <c r="AH162" s="179">
        <v>0</v>
      </c>
      <c r="AI162" s="179">
        <v>90.236000000000004</v>
      </c>
      <c r="AJ162" s="179">
        <v>0.106</v>
      </c>
      <c r="AK162" s="179"/>
      <c r="AL162" s="305">
        <v>5</v>
      </c>
      <c r="AM162" s="306">
        <v>2024</v>
      </c>
      <c r="AN162" s="250" t="s">
        <v>1505</v>
      </c>
      <c r="AP162" t="str">
        <f>IF(BD_Bloqueados[[#This Row],[Analista ]]&lt;&gt;"Ana C",MID(BD_Bloqueados[[#This Row],[ID]],3,5),MID(BD_Bloqueados[[#This Row],[ID]],4,5))</f>
        <v>13624</v>
      </c>
      <c r="AQ162">
        <v>137</v>
      </c>
      <c r="AR162">
        <v>2024</v>
      </c>
      <c r="AS162" s="72">
        <v>45292</v>
      </c>
      <c r="AT162" s="72">
        <v>45428</v>
      </c>
      <c r="AU162">
        <v>5</v>
      </c>
    </row>
    <row r="163" spans="1:47">
      <c r="A163" t="s">
        <v>1523</v>
      </c>
      <c r="B163">
        <v>2</v>
      </c>
      <c r="C163" s="72">
        <v>45427</v>
      </c>
      <c r="D163">
        <v>21</v>
      </c>
      <c r="E163" s="173">
        <v>0.46388888888888891</v>
      </c>
      <c r="F163" t="s">
        <v>78</v>
      </c>
      <c r="G163" t="s">
        <v>26</v>
      </c>
      <c r="H163" t="s">
        <v>165</v>
      </c>
      <c r="I163" t="s">
        <v>212</v>
      </c>
      <c r="J163" t="s">
        <v>644</v>
      </c>
      <c r="K163" t="s">
        <v>1524</v>
      </c>
      <c r="L163" t="s">
        <v>108</v>
      </c>
      <c r="M163" t="s">
        <v>1029</v>
      </c>
      <c r="N163">
        <v>967555800</v>
      </c>
      <c r="O163" t="s">
        <v>755</v>
      </c>
      <c r="P163" s="154">
        <v>13030601</v>
      </c>
      <c r="Q163" t="s">
        <v>185</v>
      </c>
      <c r="R163" t="s">
        <v>578</v>
      </c>
      <c r="S163" t="s">
        <v>1525</v>
      </c>
      <c r="T163" t="s">
        <v>1318</v>
      </c>
      <c r="U163" t="s">
        <v>1526</v>
      </c>
      <c r="V163" t="s">
        <v>1527</v>
      </c>
      <c r="W163" t="s">
        <v>101</v>
      </c>
      <c r="X163" t="s">
        <v>1291</v>
      </c>
      <c r="Y163" s="229">
        <v>562.5</v>
      </c>
      <c r="Z163" s="176"/>
      <c r="AA163">
        <v>136</v>
      </c>
      <c r="AD163" s="199"/>
      <c r="AE163" s="199"/>
      <c r="AF163" s="179"/>
      <c r="AG163" s="179"/>
      <c r="AH163" s="179"/>
      <c r="AI163" s="179"/>
      <c r="AJ163" s="179"/>
      <c r="AK163" s="179"/>
      <c r="AL163" s="305">
        <v>5</v>
      </c>
      <c r="AM163" s="306">
        <v>2024</v>
      </c>
      <c r="AN163" s="250"/>
      <c r="AP163" t="str">
        <f>IF(BD_Bloqueados[[#This Row],[Analista ]]&lt;&gt;"Ana C",MID(BD_Bloqueados[[#This Row],[ID]],3,5),MID(BD_Bloqueados[[#This Row],[ID]],4,5))</f>
        <v>13624</v>
      </c>
      <c r="AQ163">
        <v>137</v>
      </c>
      <c r="AR163">
        <v>2024</v>
      </c>
      <c r="AS163" s="72">
        <v>45292</v>
      </c>
      <c r="AT163" s="72">
        <v>45428</v>
      </c>
      <c r="AU163">
        <v>5</v>
      </c>
    </row>
    <row r="164" spans="1:47">
      <c r="A164" t="s">
        <v>2026</v>
      </c>
      <c r="B164">
        <v>2</v>
      </c>
      <c r="C164" s="72">
        <v>45426</v>
      </c>
      <c r="D164">
        <v>21</v>
      </c>
      <c r="E164" s="173">
        <v>0.44791666666666669</v>
      </c>
      <c r="F164" t="s">
        <v>78</v>
      </c>
      <c r="G164" t="s">
        <v>23</v>
      </c>
      <c r="H164" t="s">
        <v>164</v>
      </c>
      <c r="I164" t="s">
        <v>212</v>
      </c>
      <c r="J164" t="s">
        <v>644</v>
      </c>
      <c r="K164" t="s">
        <v>2027</v>
      </c>
      <c r="L164" t="s">
        <v>108</v>
      </c>
      <c r="M164" t="s">
        <v>1029</v>
      </c>
      <c r="N164">
        <v>967555800</v>
      </c>
      <c r="O164" t="s">
        <v>285</v>
      </c>
      <c r="P164" s="154">
        <v>13030597</v>
      </c>
      <c r="Q164" t="s">
        <v>206</v>
      </c>
      <c r="R164" t="s">
        <v>578</v>
      </c>
      <c r="S164" t="s">
        <v>2028</v>
      </c>
      <c r="T164" t="s">
        <v>2029</v>
      </c>
      <c r="U164" t="s">
        <v>2030</v>
      </c>
      <c r="V164" t="s">
        <v>2031</v>
      </c>
      <c r="W164" t="s">
        <v>101</v>
      </c>
      <c r="X164" t="s">
        <v>129</v>
      </c>
      <c r="Y164" s="229">
        <v>1458</v>
      </c>
      <c r="Z164" s="176">
        <v>956660.86800000013</v>
      </c>
      <c r="AA164">
        <v>135</v>
      </c>
      <c r="AB164" t="s">
        <v>1407</v>
      </c>
      <c r="AC164" t="s">
        <v>1291</v>
      </c>
      <c r="AD164" s="199">
        <v>1</v>
      </c>
      <c r="AE164" s="199" t="s">
        <v>1292</v>
      </c>
      <c r="AF164" s="179"/>
      <c r="AG164" s="179">
        <v>9.7759999999999998</v>
      </c>
      <c r="AH164" s="179">
        <v>486.08600000000001</v>
      </c>
      <c r="AI164" s="179">
        <v>135.702</v>
      </c>
      <c r="AJ164" s="179">
        <v>24.582000000000001</v>
      </c>
      <c r="AK164" s="179"/>
      <c r="AL164" s="305">
        <v>5</v>
      </c>
      <c r="AM164" s="306">
        <v>2024</v>
      </c>
      <c r="AN164" s="250"/>
      <c r="AP164" t="str">
        <f>IF(BD_Bloqueados[[#This Row],[Analista ]]&lt;&gt;"Ana C",MID(BD_Bloqueados[[#This Row],[ID]],3,5),MID(BD_Bloqueados[[#This Row],[ID]],4,5))</f>
        <v>13524</v>
      </c>
      <c r="AQ164">
        <v>136</v>
      </c>
      <c r="AR164">
        <v>2024</v>
      </c>
      <c r="AS164" s="72">
        <v>45292</v>
      </c>
      <c r="AT164" s="72">
        <v>45427</v>
      </c>
      <c r="AU164">
        <v>5</v>
      </c>
    </row>
    <row r="165" spans="1:47">
      <c r="A165" t="s">
        <v>1506</v>
      </c>
      <c r="B165">
        <v>2</v>
      </c>
      <c r="C165" s="72">
        <v>45425</v>
      </c>
      <c r="D165">
        <v>21</v>
      </c>
      <c r="E165" s="173">
        <v>0.3923611111111111</v>
      </c>
      <c r="F165" t="s">
        <v>78</v>
      </c>
      <c r="G165" t="s">
        <v>28</v>
      </c>
      <c r="H165" t="s">
        <v>139</v>
      </c>
      <c r="I165" t="s">
        <v>635</v>
      </c>
      <c r="J165" t="s">
        <v>588</v>
      </c>
      <c r="K165" t="s">
        <v>1507</v>
      </c>
      <c r="L165" t="s">
        <v>108</v>
      </c>
      <c r="M165" t="s">
        <v>1029</v>
      </c>
      <c r="N165">
        <v>967555800</v>
      </c>
      <c r="O165" t="s">
        <v>321</v>
      </c>
      <c r="P165" s="154">
        <v>13000464</v>
      </c>
      <c r="Q165" t="s">
        <v>138</v>
      </c>
      <c r="R165" t="s">
        <v>589</v>
      </c>
      <c r="S165" t="s">
        <v>1508</v>
      </c>
      <c r="T165" t="s">
        <v>1509</v>
      </c>
      <c r="U165" t="s">
        <v>1510</v>
      </c>
      <c r="V165" t="s">
        <v>1511</v>
      </c>
      <c r="W165" t="s">
        <v>101</v>
      </c>
      <c r="X165" t="s">
        <v>102</v>
      </c>
      <c r="Y165" s="229">
        <v>36.96</v>
      </c>
      <c r="Z165" s="176">
        <v>0</v>
      </c>
      <c r="AA165">
        <v>134</v>
      </c>
      <c r="AB165" t="s">
        <v>1512</v>
      </c>
      <c r="AC165" t="s">
        <v>1252</v>
      </c>
      <c r="AD165" s="199"/>
      <c r="AE165" s="199"/>
      <c r="AF165" s="179"/>
      <c r="AG165" s="179"/>
      <c r="AH165" s="179"/>
      <c r="AI165" s="179"/>
      <c r="AJ165" s="179"/>
      <c r="AK165" s="179"/>
      <c r="AL165" s="305">
        <v>5</v>
      </c>
      <c r="AM165" s="306">
        <v>2024</v>
      </c>
      <c r="AN165" s="250" t="s">
        <v>1283</v>
      </c>
      <c r="AP165" t="str">
        <f>IF(BD_Bloqueados[[#This Row],[Analista ]]&lt;&gt;"Ana C",MID(BD_Bloqueados[[#This Row],[ID]],3,5),MID(BD_Bloqueados[[#This Row],[ID]],4,5))</f>
        <v>13424</v>
      </c>
      <c r="AQ165">
        <v>136</v>
      </c>
      <c r="AR165">
        <v>2024</v>
      </c>
      <c r="AS165" s="72">
        <v>45292</v>
      </c>
      <c r="AT165" s="72">
        <v>45427</v>
      </c>
      <c r="AU165">
        <v>5</v>
      </c>
    </row>
    <row r="166" spans="1:47">
      <c r="A166" t="s">
        <v>1520</v>
      </c>
      <c r="B166">
        <v>2</v>
      </c>
      <c r="C166" s="72">
        <v>45425</v>
      </c>
      <c r="D166">
        <v>21</v>
      </c>
      <c r="E166" s="173">
        <v>0.3923611111111111</v>
      </c>
      <c r="F166" t="s">
        <v>78</v>
      </c>
      <c r="G166" t="s">
        <v>28</v>
      </c>
      <c r="H166" t="s">
        <v>210</v>
      </c>
      <c r="I166" t="s">
        <v>635</v>
      </c>
      <c r="J166" t="s">
        <v>588</v>
      </c>
      <c r="K166" t="s">
        <v>1507</v>
      </c>
      <c r="L166" t="s">
        <v>108</v>
      </c>
      <c r="M166" t="s">
        <v>1029</v>
      </c>
      <c r="N166">
        <v>967555800</v>
      </c>
      <c r="O166" t="s">
        <v>321</v>
      </c>
      <c r="P166" s="154">
        <v>13000464</v>
      </c>
      <c r="Q166" t="s">
        <v>80</v>
      </c>
      <c r="R166" t="s">
        <v>589</v>
      </c>
      <c r="S166" t="s">
        <v>1521</v>
      </c>
      <c r="T166" t="s">
        <v>1509</v>
      </c>
      <c r="U166" t="s">
        <v>1510</v>
      </c>
      <c r="V166" t="s">
        <v>1522</v>
      </c>
      <c r="W166" t="s">
        <v>101</v>
      </c>
      <c r="X166" t="s">
        <v>102</v>
      </c>
      <c r="Y166" s="229">
        <v>36.96</v>
      </c>
      <c r="Z166" s="176">
        <v>0</v>
      </c>
      <c r="AA166">
        <v>134</v>
      </c>
      <c r="AB166" t="s">
        <v>1491</v>
      </c>
      <c r="AC166" t="s">
        <v>1252</v>
      </c>
      <c r="AD166" s="199"/>
      <c r="AE166" s="199"/>
      <c r="AF166" s="179"/>
      <c r="AG166" s="179"/>
      <c r="AH166" s="179"/>
      <c r="AI166" s="179"/>
      <c r="AJ166" s="179"/>
      <c r="AK166" s="179"/>
      <c r="AL166" s="305">
        <v>5</v>
      </c>
      <c r="AM166" s="306">
        <v>2024</v>
      </c>
      <c r="AN166" s="250" t="s">
        <v>1283</v>
      </c>
      <c r="AP166" t="str">
        <f>IF(BD_Bloqueados[[#This Row],[Analista ]]&lt;&gt;"Ana C",MID(BD_Bloqueados[[#This Row],[ID]],3,5),MID(BD_Bloqueados[[#This Row],[ID]],4,5))</f>
        <v>13424</v>
      </c>
      <c r="AQ166">
        <v>134</v>
      </c>
      <c r="AR166">
        <v>2024</v>
      </c>
      <c r="AS166" s="72">
        <v>45292</v>
      </c>
      <c r="AT166" s="72">
        <v>45425</v>
      </c>
      <c r="AU166">
        <v>5</v>
      </c>
    </row>
    <row r="167" spans="1:47">
      <c r="A167" t="s">
        <v>1539</v>
      </c>
      <c r="B167">
        <v>2</v>
      </c>
      <c r="C167" s="72">
        <v>45570</v>
      </c>
      <c r="D167">
        <v>20</v>
      </c>
      <c r="E167" s="173">
        <v>0.44722222222222224</v>
      </c>
      <c r="F167" t="s">
        <v>78</v>
      </c>
      <c r="G167" t="s">
        <v>28</v>
      </c>
      <c r="H167" t="s">
        <v>165</v>
      </c>
      <c r="I167" t="s">
        <v>87</v>
      </c>
      <c r="J167" t="s">
        <v>595</v>
      </c>
      <c r="K167" t="s">
        <v>1077</v>
      </c>
      <c r="L167" t="s">
        <v>108</v>
      </c>
      <c r="M167" t="s">
        <v>1029</v>
      </c>
      <c r="N167">
        <v>967555800</v>
      </c>
      <c r="O167" t="s">
        <v>324</v>
      </c>
      <c r="P167" s="154">
        <v>13000469</v>
      </c>
      <c r="Q167" t="s">
        <v>206</v>
      </c>
      <c r="R167" t="s">
        <v>584</v>
      </c>
      <c r="S167" t="s">
        <v>1540</v>
      </c>
      <c r="T167" t="s">
        <v>1541</v>
      </c>
      <c r="U167" t="s">
        <v>1542</v>
      </c>
      <c r="V167" t="s">
        <v>1543</v>
      </c>
      <c r="W167" t="s">
        <v>101</v>
      </c>
      <c r="X167" t="s">
        <v>129</v>
      </c>
      <c r="Y167" s="229">
        <v>173.8</v>
      </c>
      <c r="Z167" s="176">
        <v>606757.15257142868</v>
      </c>
      <c r="AA167">
        <v>129</v>
      </c>
      <c r="AB167" t="s">
        <v>1407</v>
      </c>
      <c r="AC167" t="s">
        <v>39</v>
      </c>
      <c r="AD167" s="199">
        <v>0.35</v>
      </c>
      <c r="AE167" s="199" t="s">
        <v>1374</v>
      </c>
      <c r="AF167" s="179"/>
      <c r="AG167" s="179">
        <v>134.86500000000001</v>
      </c>
      <c r="AH167" s="179">
        <v>967.55</v>
      </c>
      <c r="AI167" s="179">
        <v>108.843</v>
      </c>
      <c r="AJ167" s="179">
        <v>10.635</v>
      </c>
      <c r="AK167" s="179"/>
      <c r="AL167" s="305">
        <v>5</v>
      </c>
      <c r="AM167" s="306">
        <v>2024</v>
      </c>
      <c r="AN167" s="250"/>
      <c r="AP167" t="str">
        <f>IF(BD_Bloqueados[[#This Row],[Analista ]]&lt;&gt;"Ana C",MID(BD_Bloqueados[[#This Row],[ID]],3,5),MID(BD_Bloqueados[[#This Row],[ID]],4,5))</f>
        <v>12924</v>
      </c>
      <c r="AQ167">
        <v>134</v>
      </c>
      <c r="AR167">
        <v>2024</v>
      </c>
      <c r="AS167" s="72">
        <v>45292</v>
      </c>
      <c r="AT167" s="72">
        <v>45425</v>
      </c>
      <c r="AU167">
        <v>5</v>
      </c>
    </row>
    <row r="168" spans="1:47">
      <c r="A168" t="s">
        <v>1557</v>
      </c>
      <c r="B168">
        <v>2</v>
      </c>
      <c r="C168" s="72">
        <v>45540</v>
      </c>
      <c r="D168">
        <v>20</v>
      </c>
      <c r="E168" s="173">
        <v>0.53819444444444442</v>
      </c>
      <c r="F168" t="s">
        <v>78</v>
      </c>
      <c r="G168" t="s">
        <v>28</v>
      </c>
      <c r="H168" t="s">
        <v>166</v>
      </c>
      <c r="I168" t="s">
        <v>87</v>
      </c>
      <c r="J168" t="s">
        <v>595</v>
      </c>
      <c r="K168" t="s">
        <v>1077</v>
      </c>
      <c r="L168" t="s">
        <v>108</v>
      </c>
      <c r="M168" t="s">
        <v>1029</v>
      </c>
      <c r="N168">
        <v>967555800</v>
      </c>
      <c r="O168" t="s">
        <v>324</v>
      </c>
      <c r="P168" s="154">
        <v>13000469</v>
      </c>
      <c r="Q168" t="s">
        <v>227</v>
      </c>
      <c r="R168" t="s">
        <v>620</v>
      </c>
      <c r="S168" t="s">
        <v>1558</v>
      </c>
      <c r="T168" t="s">
        <v>1559</v>
      </c>
      <c r="U168" t="s">
        <v>1560</v>
      </c>
      <c r="V168" t="s">
        <v>1561</v>
      </c>
      <c r="W168" t="s">
        <v>101</v>
      </c>
      <c r="X168" t="s">
        <v>1291</v>
      </c>
      <c r="Y168" s="229"/>
      <c r="Z168" s="176"/>
      <c r="AA168">
        <v>129</v>
      </c>
      <c r="AD168" s="199"/>
      <c r="AE168" s="199"/>
      <c r="AF168" s="179"/>
      <c r="AG168" s="179"/>
      <c r="AH168" s="179"/>
      <c r="AI168" s="179"/>
      <c r="AJ168" s="179"/>
      <c r="AK168" s="179"/>
      <c r="AL168" s="305">
        <v>5</v>
      </c>
      <c r="AM168" s="306">
        <v>2024</v>
      </c>
      <c r="AN168" s="250"/>
      <c r="AP168" t="str">
        <f>IF(BD_Bloqueados[[#This Row],[Analista ]]&lt;&gt;"Ana C",MID(BD_Bloqueados[[#This Row],[ID]],3,5),MID(BD_Bloqueados[[#This Row],[ID]],4,5))</f>
        <v>12924</v>
      </c>
      <c r="AQ168">
        <v>335</v>
      </c>
      <c r="AR168">
        <v>2022</v>
      </c>
      <c r="AS168" s="72">
        <v>44562</v>
      </c>
      <c r="AT168" s="72">
        <v>44896</v>
      </c>
      <c r="AU168">
        <v>12</v>
      </c>
    </row>
    <row r="169" spans="1:47">
      <c r="A169" t="s">
        <v>1551</v>
      </c>
      <c r="B169">
        <v>2</v>
      </c>
      <c r="C169" s="72">
        <v>45540</v>
      </c>
      <c r="D169">
        <v>20</v>
      </c>
      <c r="E169" s="173">
        <v>0.21527777777777779</v>
      </c>
      <c r="F169" t="s">
        <v>136</v>
      </c>
      <c r="G169" t="s">
        <v>28</v>
      </c>
      <c r="H169" t="s">
        <v>165</v>
      </c>
      <c r="I169" t="s">
        <v>645</v>
      </c>
      <c r="J169" t="s">
        <v>633</v>
      </c>
      <c r="K169" t="s">
        <v>1552</v>
      </c>
      <c r="L169" t="s">
        <v>108</v>
      </c>
      <c r="M169" t="s">
        <v>1029</v>
      </c>
      <c r="N169">
        <v>967555800</v>
      </c>
      <c r="O169" t="s">
        <v>120</v>
      </c>
      <c r="P169" s="154">
        <v>13000012</v>
      </c>
      <c r="Q169" t="s">
        <v>206</v>
      </c>
      <c r="R169" t="s">
        <v>584</v>
      </c>
      <c r="S169" t="s">
        <v>1553</v>
      </c>
      <c r="T169" t="s">
        <v>1554</v>
      </c>
      <c r="U169" t="s">
        <v>1555</v>
      </c>
      <c r="V169" t="s">
        <v>1556</v>
      </c>
      <c r="W169" t="s">
        <v>101</v>
      </c>
      <c r="X169" t="s">
        <v>1291</v>
      </c>
      <c r="Y169" s="229"/>
      <c r="Z169" s="176"/>
      <c r="AA169">
        <v>130</v>
      </c>
      <c r="AD169" s="199"/>
      <c r="AE169" s="199"/>
      <c r="AF169" s="179"/>
      <c r="AG169" s="179"/>
      <c r="AH169" s="179"/>
      <c r="AI169" s="179"/>
      <c r="AJ169" s="179"/>
      <c r="AK169" s="179"/>
      <c r="AL169" s="305">
        <v>5</v>
      </c>
      <c r="AM169" s="306">
        <v>2024</v>
      </c>
      <c r="AN169" s="250"/>
      <c r="AP169" t="str">
        <f>IF(BD_Bloqueados[[#This Row],[Analista ]]&lt;&gt;"Ana C",MID(BD_Bloqueados[[#This Row],[ID]],3,5),MID(BD_Bloqueados[[#This Row],[ID]],4,5))</f>
        <v>13024</v>
      </c>
      <c r="AQ169">
        <v>335</v>
      </c>
      <c r="AR169">
        <v>2022</v>
      </c>
      <c r="AS169" s="72">
        <v>44562</v>
      </c>
      <c r="AT169" s="72">
        <v>44896</v>
      </c>
      <c r="AU169">
        <v>12</v>
      </c>
    </row>
    <row r="170" spans="1:47">
      <c r="A170" t="s">
        <v>1562</v>
      </c>
      <c r="B170">
        <v>2</v>
      </c>
      <c r="C170" s="72">
        <v>45540</v>
      </c>
      <c r="D170">
        <v>20</v>
      </c>
      <c r="E170" s="173">
        <v>0.22222222222222221</v>
      </c>
      <c r="F170" t="s">
        <v>136</v>
      </c>
      <c r="G170" t="s">
        <v>28</v>
      </c>
      <c r="H170" t="s">
        <v>81</v>
      </c>
      <c r="I170" t="s">
        <v>645</v>
      </c>
      <c r="J170" t="s">
        <v>633</v>
      </c>
      <c r="K170" t="s">
        <v>1563</v>
      </c>
      <c r="L170" t="s">
        <v>77</v>
      </c>
      <c r="M170" t="s">
        <v>643</v>
      </c>
      <c r="N170">
        <v>96998510</v>
      </c>
      <c r="O170" t="s">
        <v>480</v>
      </c>
      <c r="P170" s="154">
        <v>10000445</v>
      </c>
      <c r="Q170" t="s">
        <v>138</v>
      </c>
      <c r="R170" t="s">
        <v>110</v>
      </c>
      <c r="S170" t="s">
        <v>1564</v>
      </c>
      <c r="T170" t="s">
        <v>1565</v>
      </c>
      <c r="U170" t="s">
        <v>1566</v>
      </c>
      <c r="V170" t="s">
        <v>1567</v>
      </c>
      <c r="W170" t="s">
        <v>101</v>
      </c>
      <c r="X170" t="s">
        <v>129</v>
      </c>
      <c r="Y170" s="229">
        <v>100</v>
      </c>
      <c r="Z170" s="176"/>
      <c r="AA170">
        <v>220224</v>
      </c>
      <c r="AD170" s="199"/>
      <c r="AE170" s="199"/>
      <c r="AF170" s="179"/>
      <c r="AG170" s="179"/>
      <c r="AH170" s="179"/>
      <c r="AI170" s="179"/>
      <c r="AJ170" s="179"/>
      <c r="AK170" s="179"/>
      <c r="AL170" s="305">
        <v>5</v>
      </c>
      <c r="AM170" s="306">
        <v>2024</v>
      </c>
      <c r="AN170" s="250"/>
      <c r="AP170" t="str">
        <f>IF(BD_Bloqueados[[#This Row],[Analista ]]&lt;&gt;"Ana C",MID(BD_Bloqueados[[#This Row],[ID]],3,5),MID(BD_Bloqueados[[#This Row],[ID]],4,5))</f>
        <v>13024</v>
      </c>
      <c r="AQ170">
        <v>130</v>
      </c>
      <c r="AR170">
        <v>2024</v>
      </c>
      <c r="AS170" s="72">
        <v>45292</v>
      </c>
      <c r="AT170" s="72">
        <v>45421</v>
      </c>
      <c r="AU170">
        <v>5</v>
      </c>
    </row>
    <row r="171" spans="1:47">
      <c r="A171" t="s">
        <v>1568</v>
      </c>
      <c r="B171">
        <v>2</v>
      </c>
      <c r="C171" s="72">
        <v>45540</v>
      </c>
      <c r="D171">
        <v>20</v>
      </c>
      <c r="E171" s="173">
        <v>0.54027777777777775</v>
      </c>
      <c r="F171" t="s">
        <v>78</v>
      </c>
      <c r="G171" t="s">
        <v>28</v>
      </c>
      <c r="H171" t="s">
        <v>81</v>
      </c>
      <c r="I171" t="s">
        <v>629</v>
      </c>
      <c r="J171" t="s">
        <v>595</v>
      </c>
      <c r="K171" t="s">
        <v>1569</v>
      </c>
      <c r="L171" t="s">
        <v>77</v>
      </c>
      <c r="M171" t="s">
        <v>643</v>
      </c>
      <c r="N171">
        <v>96998510</v>
      </c>
      <c r="O171" t="s">
        <v>480</v>
      </c>
      <c r="P171" s="154">
        <v>10000445</v>
      </c>
      <c r="Q171" t="s">
        <v>206</v>
      </c>
      <c r="R171" t="s">
        <v>579</v>
      </c>
      <c r="S171" t="s">
        <v>1570</v>
      </c>
      <c r="T171" t="s">
        <v>1571</v>
      </c>
      <c r="U171" t="s">
        <v>1572</v>
      </c>
      <c r="V171" t="s">
        <v>1573</v>
      </c>
      <c r="W171" t="s">
        <v>101</v>
      </c>
      <c r="X171" t="s">
        <v>1291</v>
      </c>
      <c r="Y171" s="229">
        <v>4080</v>
      </c>
      <c r="Z171" s="176"/>
      <c r="AA171" t="s">
        <v>1574</v>
      </c>
      <c r="AD171" s="199"/>
      <c r="AE171" s="199"/>
      <c r="AF171" s="179"/>
      <c r="AG171" s="179"/>
      <c r="AH171" s="179"/>
      <c r="AI171" s="179"/>
      <c r="AJ171" s="179"/>
      <c r="AK171" s="179"/>
      <c r="AL171" s="305">
        <v>5</v>
      </c>
      <c r="AM171" s="306">
        <v>2024</v>
      </c>
      <c r="AN171" s="250"/>
      <c r="AP171" t="str">
        <f>IF(BD_Bloqueados[[#This Row],[Analista ]]&lt;&gt;"Ana C",MID(BD_Bloqueados[[#This Row],[ID]],3,5),MID(BD_Bloqueados[[#This Row],[ID]],4,5))</f>
        <v>13024</v>
      </c>
      <c r="AQ171">
        <v>129</v>
      </c>
      <c r="AR171">
        <v>2024</v>
      </c>
      <c r="AS171" s="72">
        <v>45292</v>
      </c>
      <c r="AT171" s="72">
        <v>45420</v>
      </c>
      <c r="AU171">
        <v>5</v>
      </c>
    </row>
    <row r="172" spans="1:47">
      <c r="A172" t="s">
        <v>2616</v>
      </c>
      <c r="B172">
        <v>2</v>
      </c>
      <c r="C172" s="72">
        <v>45540</v>
      </c>
      <c r="D172">
        <v>20</v>
      </c>
      <c r="E172" s="173">
        <v>0.40972222222222221</v>
      </c>
      <c r="F172" t="s">
        <v>78</v>
      </c>
      <c r="G172" t="s">
        <v>27</v>
      </c>
      <c r="H172" t="s">
        <v>189</v>
      </c>
      <c r="I172" t="s">
        <v>143</v>
      </c>
      <c r="J172" t="s">
        <v>618</v>
      </c>
      <c r="K172" t="s">
        <v>1232</v>
      </c>
      <c r="L172" t="s">
        <v>108</v>
      </c>
      <c r="M172" t="s">
        <v>1029</v>
      </c>
      <c r="N172">
        <v>967555800</v>
      </c>
      <c r="O172" t="s">
        <v>148</v>
      </c>
      <c r="P172" s="154">
        <v>13030495</v>
      </c>
      <c r="Q172" t="s">
        <v>185</v>
      </c>
      <c r="R172" t="s">
        <v>579</v>
      </c>
      <c r="S172" t="s">
        <v>2617</v>
      </c>
      <c r="T172" t="s">
        <v>2618</v>
      </c>
      <c r="U172" t="s">
        <v>2619</v>
      </c>
      <c r="V172" t="s">
        <v>2620</v>
      </c>
      <c r="W172" t="s">
        <v>101</v>
      </c>
      <c r="X172" t="s">
        <v>156</v>
      </c>
      <c r="Y172" s="229">
        <v>9.6</v>
      </c>
      <c r="Z172" s="176">
        <v>27229.581473684211</v>
      </c>
      <c r="AA172">
        <v>130</v>
      </c>
      <c r="AB172" t="s">
        <v>1400</v>
      </c>
      <c r="AC172" t="s">
        <v>1252</v>
      </c>
      <c r="AD172" s="199">
        <v>0.47499999999999998</v>
      </c>
      <c r="AE172" s="199" t="s">
        <v>1292</v>
      </c>
      <c r="AF172" s="179">
        <v>850.28800000000001</v>
      </c>
      <c r="AG172" s="179">
        <v>267.09699999999998</v>
      </c>
      <c r="AH172" s="179">
        <v>149.124</v>
      </c>
      <c r="AI172" s="179">
        <v>68.084999999999994</v>
      </c>
      <c r="AJ172" s="179">
        <v>12.702999999999999</v>
      </c>
      <c r="AK172" s="179"/>
      <c r="AL172" s="306">
        <v>5</v>
      </c>
      <c r="AM172" s="306">
        <v>2024</v>
      </c>
      <c r="AN172" s="250" t="s">
        <v>2621</v>
      </c>
      <c r="AP172" t="str">
        <f>IF(BD_Bloqueados[[#This Row],[Analista ]]&lt;&gt;"Ana C",MID(BD_Bloqueados[[#This Row],[ID]],3,5),MID(BD_Bloqueados[[#This Row],[ID]],4,5))</f>
        <v>13024</v>
      </c>
      <c r="AQ172">
        <v>130</v>
      </c>
      <c r="AR172">
        <v>2024</v>
      </c>
      <c r="AS172" s="72">
        <v>45292</v>
      </c>
      <c r="AT172" s="72">
        <v>45421</v>
      </c>
      <c r="AU172">
        <v>5</v>
      </c>
    </row>
    <row r="173" spans="1:47">
      <c r="A173" t="s">
        <v>1575</v>
      </c>
      <c r="B173">
        <v>2</v>
      </c>
      <c r="C173" s="72">
        <v>45509</v>
      </c>
      <c r="D173">
        <v>20</v>
      </c>
      <c r="E173" s="173">
        <v>0.72916666666666663</v>
      </c>
      <c r="F173" t="s">
        <v>109</v>
      </c>
      <c r="G173" t="s">
        <v>24</v>
      </c>
      <c r="H173" t="s">
        <v>188</v>
      </c>
      <c r="I173" t="s">
        <v>635</v>
      </c>
      <c r="J173" t="s">
        <v>644</v>
      </c>
      <c r="K173" t="s">
        <v>1576</v>
      </c>
      <c r="L173" t="s">
        <v>108</v>
      </c>
      <c r="M173" t="s">
        <v>1029</v>
      </c>
      <c r="N173">
        <v>967555800</v>
      </c>
      <c r="O173" t="s">
        <v>303</v>
      </c>
      <c r="P173" s="154">
        <v>13030395</v>
      </c>
      <c r="Q173" t="s">
        <v>80</v>
      </c>
      <c r="R173" t="s">
        <v>589</v>
      </c>
      <c r="S173" t="s">
        <v>1577</v>
      </c>
      <c r="T173" t="s">
        <v>1578</v>
      </c>
      <c r="U173" t="s">
        <v>1579</v>
      </c>
      <c r="V173" t="s">
        <v>1580</v>
      </c>
      <c r="W173" t="s">
        <v>101</v>
      </c>
      <c r="X173" t="s">
        <v>156</v>
      </c>
      <c r="Y173" s="229">
        <v>1512</v>
      </c>
      <c r="Z173" s="176">
        <v>0</v>
      </c>
      <c r="AA173">
        <v>127</v>
      </c>
      <c r="AB173" t="s">
        <v>1491</v>
      </c>
      <c r="AC173" t="s">
        <v>1252</v>
      </c>
      <c r="AD173" s="199"/>
      <c r="AE173" s="199"/>
      <c r="AF173" s="179"/>
      <c r="AG173" s="179"/>
      <c r="AH173" s="179"/>
      <c r="AI173" s="179"/>
      <c r="AJ173" s="179"/>
      <c r="AK173" s="179"/>
      <c r="AL173" s="305">
        <v>5</v>
      </c>
      <c r="AM173" s="306">
        <v>2024</v>
      </c>
      <c r="AN173" s="250" t="s">
        <v>1283</v>
      </c>
      <c r="AP173" t="str">
        <f>IF(BD_Bloqueados[[#This Row],[Analista ]]&lt;&gt;"Ana C",MID(BD_Bloqueados[[#This Row],[ID]],3,5),MID(BD_Bloqueados[[#This Row],[ID]],4,5))</f>
        <v>12924</v>
      </c>
      <c r="AQ173">
        <v>130</v>
      </c>
      <c r="AR173">
        <v>2024</v>
      </c>
      <c r="AS173" s="72">
        <v>45292</v>
      </c>
      <c r="AT173" s="72">
        <v>45421</v>
      </c>
      <c r="AU173">
        <v>5</v>
      </c>
    </row>
    <row r="174" spans="1:47">
      <c r="A174" t="s">
        <v>1544</v>
      </c>
      <c r="B174">
        <v>2</v>
      </c>
      <c r="C174" s="72">
        <v>45448</v>
      </c>
      <c r="D174">
        <v>20</v>
      </c>
      <c r="E174" s="173">
        <v>0.40972222222222221</v>
      </c>
      <c r="F174" t="s">
        <v>78</v>
      </c>
      <c r="G174" t="s">
        <v>28</v>
      </c>
      <c r="H174" t="s">
        <v>166</v>
      </c>
      <c r="I174" t="s">
        <v>87</v>
      </c>
      <c r="J174" t="s">
        <v>595</v>
      </c>
      <c r="K174" t="s">
        <v>1545</v>
      </c>
      <c r="L174" t="s">
        <v>108</v>
      </c>
      <c r="M174" t="s">
        <v>1029</v>
      </c>
      <c r="N174">
        <v>967555800</v>
      </c>
      <c r="O174" t="s">
        <v>91</v>
      </c>
      <c r="P174" s="154">
        <v>13000011</v>
      </c>
      <c r="Q174" t="s">
        <v>206</v>
      </c>
      <c r="R174" t="s">
        <v>584</v>
      </c>
      <c r="S174" t="s">
        <v>1546</v>
      </c>
      <c r="T174" t="s">
        <v>1547</v>
      </c>
      <c r="U174" t="s">
        <v>1548</v>
      </c>
      <c r="V174" t="s">
        <v>1549</v>
      </c>
      <c r="W174" t="s">
        <v>101</v>
      </c>
      <c r="X174" t="s">
        <v>156</v>
      </c>
      <c r="Y174" s="229">
        <v>174.84</v>
      </c>
      <c r="Z174" s="176">
        <v>89907.191999999995</v>
      </c>
      <c r="AA174">
        <v>108</v>
      </c>
      <c r="AB174" t="s">
        <v>1550</v>
      </c>
      <c r="AC174" t="s">
        <v>1349</v>
      </c>
      <c r="AD174" s="199">
        <v>0.23499999999999999</v>
      </c>
      <c r="AE174" s="199" t="s">
        <v>1374</v>
      </c>
      <c r="AF174" s="179">
        <v>0</v>
      </c>
      <c r="AG174" s="179">
        <v>29.312000000000001</v>
      </c>
      <c r="AH174" s="179"/>
      <c r="AI174" s="179">
        <v>79.655000000000001</v>
      </c>
      <c r="AJ174" s="179">
        <v>11.875999999999999</v>
      </c>
      <c r="AK174" s="179">
        <v>0</v>
      </c>
      <c r="AL174" s="305">
        <v>5</v>
      </c>
      <c r="AM174" s="306">
        <v>2024</v>
      </c>
      <c r="AN174" s="250"/>
      <c r="AP174" t="str">
        <f>IF(BD_Bloqueados[[#This Row],[Analista ]]&lt;&gt;"Ana C",MID(BD_Bloqueados[[#This Row],[ID]],3,5),MID(BD_Bloqueados[[#This Row],[ID]],4,5))</f>
        <v>12724</v>
      </c>
      <c r="AQ174">
        <v>129</v>
      </c>
      <c r="AR174">
        <v>2024</v>
      </c>
      <c r="AS174" s="72">
        <v>45292</v>
      </c>
      <c r="AT174" s="72">
        <v>45420</v>
      </c>
      <c r="AU174">
        <v>5</v>
      </c>
    </row>
    <row r="175" spans="1:47">
      <c r="A175" t="s">
        <v>1581</v>
      </c>
      <c r="B175">
        <v>2</v>
      </c>
      <c r="C175" s="72">
        <v>45448</v>
      </c>
      <c r="D175">
        <v>20</v>
      </c>
      <c r="E175" s="173">
        <v>0.57291666666666663</v>
      </c>
      <c r="F175" t="s">
        <v>109</v>
      </c>
      <c r="G175" t="s">
        <v>23</v>
      </c>
      <c r="H175" t="s">
        <v>139</v>
      </c>
      <c r="I175" t="s">
        <v>635</v>
      </c>
      <c r="J175" t="s">
        <v>644</v>
      </c>
      <c r="K175" t="s">
        <v>1582</v>
      </c>
      <c r="L175" t="s">
        <v>108</v>
      </c>
      <c r="M175" t="s">
        <v>1029</v>
      </c>
      <c r="N175">
        <v>967555800</v>
      </c>
      <c r="O175" t="s">
        <v>285</v>
      </c>
      <c r="P175" s="154">
        <v>13030597</v>
      </c>
      <c r="Q175" t="s">
        <v>138</v>
      </c>
      <c r="R175" t="s">
        <v>79</v>
      </c>
      <c r="S175" t="s">
        <v>1583</v>
      </c>
      <c r="T175" t="s">
        <v>1584</v>
      </c>
      <c r="U175" t="s">
        <v>1585</v>
      </c>
      <c r="V175" t="s">
        <v>1586</v>
      </c>
      <c r="W175" t="s">
        <v>101</v>
      </c>
      <c r="X175" t="s">
        <v>102</v>
      </c>
      <c r="Y175" s="229">
        <v>1440</v>
      </c>
      <c r="Z175" s="176">
        <v>0</v>
      </c>
      <c r="AA175">
        <v>127</v>
      </c>
      <c r="AB175" t="s">
        <v>1356</v>
      </c>
      <c r="AC175" t="s">
        <v>1252</v>
      </c>
      <c r="AD175" s="199"/>
      <c r="AE175" s="199"/>
      <c r="AF175" s="179"/>
      <c r="AG175" s="179"/>
      <c r="AH175" s="179"/>
      <c r="AI175" s="179"/>
      <c r="AJ175" s="179"/>
      <c r="AK175" s="179"/>
      <c r="AL175" s="305">
        <v>5</v>
      </c>
      <c r="AM175" s="306">
        <v>2024</v>
      </c>
      <c r="AN175" s="250" t="s">
        <v>1587</v>
      </c>
      <c r="AP175" t="str">
        <f>IF(BD_Bloqueados[[#This Row],[Analista ]]&lt;&gt;"Ana C",MID(BD_Bloqueados[[#This Row],[ID]],3,5),MID(BD_Bloqueados[[#This Row],[ID]],4,5))</f>
        <v>12724</v>
      </c>
      <c r="AQ175">
        <v>187</v>
      </c>
      <c r="AR175">
        <v>2024</v>
      </c>
      <c r="AS175" s="72">
        <v>45292</v>
      </c>
      <c r="AT175" s="72">
        <v>45478</v>
      </c>
      <c r="AU175">
        <v>7</v>
      </c>
    </row>
    <row r="176" spans="1:47">
      <c r="A176" t="s">
        <v>1600</v>
      </c>
      <c r="B176">
        <v>2</v>
      </c>
      <c r="C176" s="72">
        <v>45448</v>
      </c>
      <c r="D176">
        <v>20</v>
      </c>
      <c r="E176" s="173">
        <v>0.53125</v>
      </c>
      <c r="F176" t="s">
        <v>78</v>
      </c>
      <c r="G176" t="s">
        <v>28</v>
      </c>
      <c r="H176" t="s">
        <v>166</v>
      </c>
      <c r="I176" t="s">
        <v>87</v>
      </c>
      <c r="J176" t="s">
        <v>595</v>
      </c>
      <c r="K176" t="s">
        <v>1545</v>
      </c>
      <c r="L176" t="s">
        <v>108</v>
      </c>
      <c r="M176" t="s">
        <v>1029</v>
      </c>
      <c r="N176">
        <v>967555800</v>
      </c>
      <c r="O176" t="s">
        <v>91</v>
      </c>
      <c r="P176" s="154">
        <v>13000011</v>
      </c>
      <c r="Q176" t="s">
        <v>206</v>
      </c>
      <c r="R176" t="s">
        <v>584</v>
      </c>
      <c r="S176" t="s">
        <v>1601</v>
      </c>
      <c r="T176" t="s">
        <v>1602</v>
      </c>
      <c r="U176" t="s">
        <v>1603</v>
      </c>
      <c r="V176" t="s">
        <v>1604</v>
      </c>
      <c r="W176" t="s">
        <v>101</v>
      </c>
      <c r="X176" t="s">
        <v>1291</v>
      </c>
      <c r="Y176" s="229">
        <v>394.99700000000001</v>
      </c>
      <c r="Z176" s="176"/>
      <c r="AA176">
        <v>108</v>
      </c>
      <c r="AD176" s="199"/>
      <c r="AE176" s="199"/>
      <c r="AF176" s="179"/>
      <c r="AG176" s="179"/>
      <c r="AH176" s="179"/>
      <c r="AI176" s="179"/>
      <c r="AJ176" s="179"/>
      <c r="AK176" s="179"/>
      <c r="AL176" s="305">
        <v>5</v>
      </c>
      <c r="AM176" s="306">
        <v>2024</v>
      </c>
      <c r="AN176" s="250"/>
      <c r="AP176" t="str">
        <f>IF(BD_Bloqueados[[#This Row],[Analista ]]&lt;&gt;"Ana C",MID(BD_Bloqueados[[#This Row],[ID]],3,5),MID(BD_Bloqueados[[#This Row],[ID]],4,5))</f>
        <v>12724</v>
      </c>
      <c r="AQ176">
        <v>187</v>
      </c>
      <c r="AR176">
        <v>2024</v>
      </c>
      <c r="AS176" s="72">
        <v>45292</v>
      </c>
      <c r="AT176" s="72">
        <v>45478</v>
      </c>
      <c r="AU176">
        <v>7</v>
      </c>
    </row>
    <row r="177" spans="1:47">
      <c r="A177" t="s">
        <v>2104</v>
      </c>
      <c r="B177">
        <v>2</v>
      </c>
      <c r="C177" s="72">
        <v>45356</v>
      </c>
      <c r="D177">
        <v>19</v>
      </c>
      <c r="E177" s="173">
        <v>0.57638888888888884</v>
      </c>
      <c r="F177" t="s">
        <v>109</v>
      </c>
      <c r="G177" t="s">
        <v>33</v>
      </c>
      <c r="H177" t="s">
        <v>33</v>
      </c>
      <c r="I177" t="s">
        <v>143</v>
      </c>
      <c r="J177" t="s">
        <v>577</v>
      </c>
      <c r="K177" t="s">
        <v>2105</v>
      </c>
      <c r="L177" t="s">
        <v>108</v>
      </c>
      <c r="M177" t="s">
        <v>1029</v>
      </c>
      <c r="N177">
        <v>967555800</v>
      </c>
      <c r="O177" t="s">
        <v>755</v>
      </c>
      <c r="P177" s="154">
        <v>13030601</v>
      </c>
      <c r="Q177" t="s">
        <v>138</v>
      </c>
      <c r="R177" t="s">
        <v>585</v>
      </c>
      <c r="S177" t="s">
        <v>2106</v>
      </c>
      <c r="T177" t="s">
        <v>2107</v>
      </c>
      <c r="U177" t="s">
        <v>1245</v>
      </c>
      <c r="W177" t="s">
        <v>101</v>
      </c>
      <c r="X177" t="s">
        <v>129</v>
      </c>
      <c r="Y177" s="229">
        <v>187.5</v>
      </c>
      <c r="Z177" s="176">
        <v>106459.3125</v>
      </c>
      <c r="AA177">
        <v>103</v>
      </c>
      <c r="AD177" s="199">
        <v>1</v>
      </c>
      <c r="AE177" s="199" t="s">
        <v>1292</v>
      </c>
      <c r="AF177" s="179">
        <v>0</v>
      </c>
      <c r="AG177" s="179">
        <v>9.2249999999999996</v>
      </c>
      <c r="AH177" s="179">
        <v>496.06700000000001</v>
      </c>
      <c r="AI177" s="179">
        <v>62.491</v>
      </c>
      <c r="AJ177" s="179">
        <v>0</v>
      </c>
      <c r="AK177" s="179">
        <v>0</v>
      </c>
      <c r="AL177" s="305">
        <v>5</v>
      </c>
      <c r="AM177" s="306">
        <v>2024</v>
      </c>
      <c r="AN177" s="250"/>
      <c r="AP177" t="str">
        <f>IF(BD_Bloqueados[[#This Row],[Analista ]]&lt;&gt;"Ana C",MID(BD_Bloqueados[[#This Row],[ID]],3,5),MID(BD_Bloqueados[[#This Row],[ID]],4,5))</f>
        <v>12424</v>
      </c>
      <c r="AQ177">
        <v>187</v>
      </c>
      <c r="AR177">
        <v>2024</v>
      </c>
      <c r="AS177" s="72">
        <v>45292</v>
      </c>
      <c r="AT177" s="72">
        <v>45478</v>
      </c>
      <c r="AU177">
        <v>7</v>
      </c>
    </row>
    <row r="178" spans="1:47">
      <c r="A178" t="s">
        <v>2112</v>
      </c>
      <c r="B178">
        <v>2</v>
      </c>
      <c r="C178" s="72">
        <v>45356</v>
      </c>
      <c r="D178">
        <v>19</v>
      </c>
      <c r="E178" s="173">
        <v>0.97916666666666663</v>
      </c>
      <c r="F178" t="s">
        <v>136</v>
      </c>
      <c r="G178" t="s">
        <v>28</v>
      </c>
      <c r="H178" t="s">
        <v>165</v>
      </c>
      <c r="I178" t="s">
        <v>259</v>
      </c>
      <c r="J178" t="s">
        <v>588</v>
      </c>
      <c r="K178" t="s">
        <v>1624</v>
      </c>
      <c r="L178" t="s">
        <v>108</v>
      </c>
      <c r="M178" t="s">
        <v>1029</v>
      </c>
      <c r="N178">
        <v>967555800</v>
      </c>
      <c r="O178" t="s">
        <v>362</v>
      </c>
      <c r="P178" s="154">
        <v>12001369</v>
      </c>
      <c r="Q178" t="s">
        <v>138</v>
      </c>
      <c r="R178" t="s">
        <v>589</v>
      </c>
      <c r="S178" t="s">
        <v>2113</v>
      </c>
      <c r="T178" t="s">
        <v>2114</v>
      </c>
      <c r="U178" t="s">
        <v>2115</v>
      </c>
      <c r="V178" t="s">
        <v>2116</v>
      </c>
      <c r="W178" t="s">
        <v>101</v>
      </c>
      <c r="X178" t="s">
        <v>102</v>
      </c>
      <c r="Y178" s="229">
        <v>395</v>
      </c>
      <c r="Z178" s="176">
        <v>0</v>
      </c>
      <c r="AA178">
        <v>123</v>
      </c>
      <c r="AD178" s="199"/>
      <c r="AE178" s="199"/>
      <c r="AF178" s="179"/>
      <c r="AG178" s="179"/>
      <c r="AH178" s="179"/>
      <c r="AI178" s="179"/>
      <c r="AJ178" s="179"/>
      <c r="AK178" s="179"/>
      <c r="AL178" s="305">
        <v>5</v>
      </c>
      <c r="AM178" s="306">
        <v>2024</v>
      </c>
      <c r="AN178" s="250"/>
      <c r="AP178" t="str">
        <f>IF(BD_Bloqueados[[#This Row],[Analista ]]&lt;&gt;"Ana C",MID(BD_Bloqueados[[#This Row],[ID]],3,5),MID(BD_Bloqueados[[#This Row],[ID]],4,5))</f>
        <v>12424</v>
      </c>
      <c r="AQ178">
        <v>96</v>
      </c>
      <c r="AR178">
        <v>2024</v>
      </c>
      <c r="AS178" s="72">
        <v>45292</v>
      </c>
      <c r="AT178" s="72">
        <v>45387</v>
      </c>
      <c r="AU178">
        <v>4</v>
      </c>
    </row>
    <row r="179" spans="1:47">
      <c r="A179" t="s">
        <v>1618</v>
      </c>
      <c r="B179">
        <v>2</v>
      </c>
      <c r="C179" s="72">
        <v>45356</v>
      </c>
      <c r="D179">
        <v>19</v>
      </c>
      <c r="E179" s="173">
        <v>0.8125</v>
      </c>
      <c r="F179" t="s">
        <v>109</v>
      </c>
      <c r="G179" t="s">
        <v>27</v>
      </c>
      <c r="H179" t="s">
        <v>209</v>
      </c>
      <c r="I179" t="s">
        <v>248</v>
      </c>
      <c r="J179" t="s">
        <v>618</v>
      </c>
      <c r="K179" t="s">
        <v>1619</v>
      </c>
      <c r="L179" t="s">
        <v>108</v>
      </c>
      <c r="M179" t="s">
        <v>1029</v>
      </c>
      <c r="N179">
        <v>967555800</v>
      </c>
      <c r="O179" t="s">
        <v>99</v>
      </c>
      <c r="P179" s="154">
        <v>13001756</v>
      </c>
      <c r="Q179" t="s">
        <v>185</v>
      </c>
      <c r="R179" t="s">
        <v>579</v>
      </c>
      <c r="S179" t="s">
        <v>1620</v>
      </c>
      <c r="T179" t="s">
        <v>1397</v>
      </c>
      <c r="U179" t="s">
        <v>1621</v>
      </c>
      <c r="V179" t="s">
        <v>1622</v>
      </c>
      <c r="W179" t="s">
        <v>101</v>
      </c>
      <c r="X179" t="s">
        <v>156</v>
      </c>
      <c r="Y179" s="229">
        <v>648</v>
      </c>
      <c r="Z179" s="176"/>
      <c r="AA179">
        <v>123</v>
      </c>
      <c r="AD179" s="199"/>
      <c r="AE179" s="199"/>
      <c r="AF179" s="179"/>
      <c r="AG179" s="179"/>
      <c r="AH179" s="179"/>
      <c r="AI179" s="179"/>
      <c r="AJ179" s="179"/>
      <c r="AK179" s="179"/>
      <c r="AL179" s="305">
        <v>5</v>
      </c>
      <c r="AM179" s="306">
        <v>2024</v>
      </c>
      <c r="AN179" s="250"/>
      <c r="AP179" t="str">
        <f>IF(BD_Bloqueados[[#This Row],[Analista ]]&lt;&gt;"Ana C",MID(BD_Bloqueados[[#This Row],[ID]],3,5),MID(BD_Bloqueados[[#This Row],[ID]],4,5))</f>
        <v>12424</v>
      </c>
      <c r="AQ179">
        <v>65</v>
      </c>
      <c r="AR179">
        <v>2024</v>
      </c>
      <c r="AS179" s="72">
        <v>45292</v>
      </c>
      <c r="AT179" s="72">
        <v>45356</v>
      </c>
      <c r="AU179">
        <v>3</v>
      </c>
    </row>
    <row r="180" spans="1:47">
      <c r="A180" t="s">
        <v>1640</v>
      </c>
      <c r="B180">
        <v>2</v>
      </c>
      <c r="C180" s="72">
        <v>45356</v>
      </c>
      <c r="D180">
        <v>19</v>
      </c>
      <c r="E180" s="173">
        <v>0.93541666666666667</v>
      </c>
      <c r="F180" t="s">
        <v>136</v>
      </c>
      <c r="G180" t="s">
        <v>27</v>
      </c>
      <c r="H180" t="s">
        <v>209</v>
      </c>
      <c r="I180" t="s">
        <v>635</v>
      </c>
      <c r="J180" t="s">
        <v>588</v>
      </c>
      <c r="K180" t="s">
        <v>1059</v>
      </c>
      <c r="L180" t="s">
        <v>108</v>
      </c>
      <c r="M180" t="s">
        <v>1029</v>
      </c>
      <c r="N180">
        <v>967555800</v>
      </c>
      <c r="O180" t="s">
        <v>99</v>
      </c>
      <c r="P180" s="154">
        <v>13001756</v>
      </c>
      <c r="Q180" t="s">
        <v>185</v>
      </c>
      <c r="R180" t="s">
        <v>579</v>
      </c>
      <c r="S180" t="s">
        <v>1641</v>
      </c>
      <c r="T180" t="s">
        <v>1433</v>
      </c>
      <c r="U180" t="s">
        <v>1642</v>
      </c>
      <c r="V180" t="s">
        <v>1643</v>
      </c>
      <c r="W180" t="s">
        <v>101</v>
      </c>
      <c r="X180" t="s">
        <v>1644</v>
      </c>
      <c r="Y180" s="229"/>
      <c r="Z180" s="176"/>
      <c r="AA180">
        <v>123</v>
      </c>
      <c r="AD180" s="199"/>
      <c r="AE180" s="199"/>
      <c r="AF180" s="179"/>
      <c r="AG180" s="179"/>
      <c r="AH180" s="179"/>
      <c r="AI180" s="179"/>
      <c r="AJ180" s="179"/>
      <c r="AK180" s="179"/>
      <c r="AL180" s="305">
        <v>5</v>
      </c>
      <c r="AM180" s="306">
        <v>2024</v>
      </c>
      <c r="AN180" s="250"/>
      <c r="AP180" t="str">
        <f>IF(BD_Bloqueados[[#This Row],[Analista ]]&lt;&gt;"Ana C",MID(BD_Bloqueados[[#This Row],[ID]],3,5),MID(BD_Bloqueados[[#This Row],[ID]],4,5))</f>
        <v>12424</v>
      </c>
      <c r="AQ180">
        <v>124</v>
      </c>
      <c r="AR180">
        <v>2024</v>
      </c>
      <c r="AS180" s="72">
        <v>45292</v>
      </c>
      <c r="AT180" s="72">
        <v>45415</v>
      </c>
      <c r="AU180">
        <v>5</v>
      </c>
    </row>
    <row r="181" spans="1:47">
      <c r="A181" t="s">
        <v>1623</v>
      </c>
      <c r="B181">
        <v>2</v>
      </c>
      <c r="C181" s="72">
        <v>45412</v>
      </c>
      <c r="D181">
        <v>19</v>
      </c>
      <c r="E181" s="173">
        <v>0.19097222222222221</v>
      </c>
      <c r="F181" t="s">
        <v>136</v>
      </c>
      <c r="G181" t="s">
        <v>28</v>
      </c>
      <c r="H181" t="s">
        <v>165</v>
      </c>
      <c r="I181" t="s">
        <v>259</v>
      </c>
      <c r="J181" t="s">
        <v>588</v>
      </c>
      <c r="K181" t="s">
        <v>1624</v>
      </c>
      <c r="L181" t="s">
        <v>108</v>
      </c>
      <c r="M181" t="s">
        <v>1029</v>
      </c>
      <c r="N181">
        <v>967555800</v>
      </c>
      <c r="O181" t="s">
        <v>120</v>
      </c>
      <c r="P181" s="154">
        <v>13000012</v>
      </c>
      <c r="Q181" t="s">
        <v>206</v>
      </c>
      <c r="R181" t="s">
        <v>584</v>
      </c>
      <c r="S181" t="s">
        <v>1625</v>
      </c>
      <c r="T181" t="s">
        <v>1626</v>
      </c>
      <c r="U181" t="s">
        <v>1627</v>
      </c>
      <c r="V181" t="s">
        <v>1628</v>
      </c>
      <c r="W181" t="s">
        <v>101</v>
      </c>
      <c r="X181" t="s">
        <v>156</v>
      </c>
      <c r="Y181" s="229">
        <v>17.100000000000001</v>
      </c>
      <c r="Z181" s="176">
        <v>1.86147</v>
      </c>
      <c r="AA181">
        <v>121</v>
      </c>
      <c r="AB181" t="s">
        <v>1407</v>
      </c>
      <c r="AC181" t="s">
        <v>1629</v>
      </c>
      <c r="AD181" s="199">
        <v>190</v>
      </c>
      <c r="AE181" s="199" t="s">
        <v>1374</v>
      </c>
      <c r="AF181" s="179">
        <v>0</v>
      </c>
      <c r="AG181" s="179">
        <v>18.041</v>
      </c>
      <c r="AH181" s="179">
        <v>0</v>
      </c>
      <c r="AI181" s="179">
        <v>2.6419999999999999</v>
      </c>
      <c r="AJ181" s="179">
        <v>0</v>
      </c>
      <c r="AK181" s="179">
        <v>0</v>
      </c>
      <c r="AL181" s="305">
        <v>4</v>
      </c>
      <c r="AM181" s="306">
        <v>2024</v>
      </c>
      <c r="AN181" s="250"/>
      <c r="AP181" t="str">
        <f>IF(BD_Bloqueados[[#This Row],[Analista ]]&lt;&gt;"Ana C",MID(BD_Bloqueados[[#This Row],[ID]],3,5),MID(BD_Bloqueados[[#This Row],[ID]],4,5))</f>
        <v>12124</v>
      </c>
      <c r="AQ181">
        <v>65</v>
      </c>
      <c r="AR181">
        <v>2024</v>
      </c>
      <c r="AS181" s="72">
        <v>45292</v>
      </c>
      <c r="AT181" s="72">
        <v>45356</v>
      </c>
      <c r="AU181">
        <v>3</v>
      </c>
    </row>
    <row r="182" spans="1:47">
      <c r="A182" t="s">
        <v>1636</v>
      </c>
      <c r="B182">
        <v>2</v>
      </c>
      <c r="C182" s="72">
        <v>45412</v>
      </c>
      <c r="D182">
        <v>19</v>
      </c>
      <c r="E182" s="173">
        <v>0.99305555555555558</v>
      </c>
      <c r="F182" t="s">
        <v>136</v>
      </c>
      <c r="G182" t="s">
        <v>27</v>
      </c>
      <c r="H182" t="s">
        <v>209</v>
      </c>
      <c r="I182" t="s">
        <v>635</v>
      </c>
      <c r="J182" t="s">
        <v>588</v>
      </c>
      <c r="K182" t="s">
        <v>1059</v>
      </c>
      <c r="L182" t="s">
        <v>108</v>
      </c>
      <c r="M182" t="s">
        <v>1029</v>
      </c>
      <c r="N182">
        <v>967555800</v>
      </c>
      <c r="O182" t="s">
        <v>99</v>
      </c>
      <c r="P182" s="154">
        <v>13001756</v>
      </c>
      <c r="Q182" t="s">
        <v>185</v>
      </c>
      <c r="R182" t="s">
        <v>579</v>
      </c>
      <c r="S182" t="s">
        <v>1637</v>
      </c>
      <c r="T182" t="s">
        <v>1366</v>
      </c>
      <c r="U182" t="s">
        <v>1638</v>
      </c>
      <c r="V182" t="s">
        <v>1639</v>
      </c>
      <c r="W182" t="s">
        <v>101</v>
      </c>
      <c r="X182" t="s">
        <v>156</v>
      </c>
      <c r="Y182" s="229">
        <v>105</v>
      </c>
      <c r="Z182" s="176">
        <v>36540</v>
      </c>
      <c r="AA182">
        <v>120</v>
      </c>
      <c r="AB182" t="s">
        <v>1400</v>
      </c>
      <c r="AC182" t="s">
        <v>1291</v>
      </c>
      <c r="AD182" s="199">
        <v>1</v>
      </c>
      <c r="AE182" s="199" t="s">
        <v>1292</v>
      </c>
      <c r="AF182" s="179">
        <v>16.399999999999999</v>
      </c>
      <c r="AG182" s="179">
        <v>118.8</v>
      </c>
      <c r="AH182" s="179">
        <v>0</v>
      </c>
      <c r="AI182" s="179">
        <v>211</v>
      </c>
      <c r="AJ182" s="179">
        <v>1.8</v>
      </c>
      <c r="AK182" s="179">
        <v>0</v>
      </c>
      <c r="AL182" s="305">
        <v>4</v>
      </c>
      <c r="AM182" s="306">
        <v>2024</v>
      </c>
      <c r="AN182" s="250"/>
      <c r="AP182" t="str">
        <f>IF(BD_Bloqueados[[#This Row],[Analista ]]&lt;&gt;"Ana C",MID(BD_Bloqueados[[#This Row],[ID]],3,5),MID(BD_Bloqueados[[#This Row],[ID]],4,5))</f>
        <v>12124</v>
      </c>
      <c r="AQ182">
        <v>124</v>
      </c>
      <c r="AR182">
        <v>2024</v>
      </c>
      <c r="AS182" s="72">
        <v>45292</v>
      </c>
      <c r="AT182" s="72">
        <v>45415</v>
      </c>
      <c r="AU182">
        <v>5</v>
      </c>
    </row>
    <row r="183" spans="1:47">
      <c r="A183" t="s">
        <v>1650</v>
      </c>
      <c r="B183">
        <v>2</v>
      </c>
      <c r="C183" s="72">
        <v>45412</v>
      </c>
      <c r="D183">
        <v>19</v>
      </c>
      <c r="E183" s="173">
        <v>0.1875</v>
      </c>
      <c r="F183" t="s">
        <v>136</v>
      </c>
      <c r="G183" t="s">
        <v>31</v>
      </c>
      <c r="H183" t="s">
        <v>84</v>
      </c>
      <c r="I183" t="s">
        <v>615</v>
      </c>
      <c r="J183" t="s">
        <v>169</v>
      </c>
      <c r="K183" t="s">
        <v>1487</v>
      </c>
      <c r="L183" t="s">
        <v>108</v>
      </c>
      <c r="M183" t="s">
        <v>1029</v>
      </c>
      <c r="N183">
        <v>967555800</v>
      </c>
      <c r="O183" t="s">
        <v>97</v>
      </c>
      <c r="P183" s="154">
        <v>13030492</v>
      </c>
      <c r="Q183" t="s">
        <v>185</v>
      </c>
      <c r="R183" t="s">
        <v>578</v>
      </c>
      <c r="S183" t="s">
        <v>1651</v>
      </c>
      <c r="T183" t="s">
        <v>1652</v>
      </c>
      <c r="U183" t="s">
        <v>1653</v>
      </c>
      <c r="V183" t="s">
        <v>1654</v>
      </c>
      <c r="W183" t="s">
        <v>101</v>
      </c>
      <c r="X183" t="s">
        <v>129</v>
      </c>
      <c r="Y183" s="229">
        <v>189</v>
      </c>
      <c r="Z183" s="176">
        <v>0</v>
      </c>
      <c r="AA183" t="s">
        <v>1655</v>
      </c>
      <c r="AD183" s="199"/>
      <c r="AE183" s="199"/>
      <c r="AF183" s="179"/>
      <c r="AG183" s="179"/>
      <c r="AH183" s="179"/>
      <c r="AI183" s="179"/>
      <c r="AJ183" s="179"/>
      <c r="AK183" s="179"/>
      <c r="AL183" s="305">
        <v>4</v>
      </c>
      <c r="AM183" s="306">
        <v>2024</v>
      </c>
      <c r="AN183" s="250"/>
      <c r="AP183" t="str">
        <f>IF(BD_Bloqueados[[#This Row],[Analista ]]&lt;&gt;"Ana C",MID(BD_Bloqueados[[#This Row],[ID]],3,5),MID(BD_Bloqueados[[#This Row],[ID]],4,5))</f>
        <v>12124</v>
      </c>
      <c r="AQ183">
        <v>121</v>
      </c>
      <c r="AR183">
        <v>2024</v>
      </c>
      <c r="AS183" s="72">
        <v>45292</v>
      </c>
      <c r="AT183" s="72">
        <v>45412</v>
      </c>
      <c r="AU183">
        <v>4</v>
      </c>
    </row>
    <row r="184" spans="1:47">
      <c r="A184" t="s">
        <v>1670</v>
      </c>
      <c r="B184">
        <v>2</v>
      </c>
      <c r="C184" s="72">
        <v>45412</v>
      </c>
      <c r="D184">
        <v>19</v>
      </c>
      <c r="E184" s="173">
        <v>0.15138888888888888</v>
      </c>
      <c r="F184" t="s">
        <v>136</v>
      </c>
      <c r="G184" t="s">
        <v>28</v>
      </c>
      <c r="H184" t="s">
        <v>165</v>
      </c>
      <c r="I184" t="s">
        <v>259</v>
      </c>
      <c r="J184" t="s">
        <v>588</v>
      </c>
      <c r="K184" t="s">
        <v>1671</v>
      </c>
      <c r="L184" t="s">
        <v>108</v>
      </c>
      <c r="M184" t="s">
        <v>1029</v>
      </c>
      <c r="N184">
        <v>967555800</v>
      </c>
      <c r="O184" t="s">
        <v>344</v>
      </c>
      <c r="P184" s="154">
        <v>12000407</v>
      </c>
      <c r="Q184" t="s">
        <v>206</v>
      </c>
      <c r="R184" t="s">
        <v>584</v>
      </c>
      <c r="S184" t="s">
        <v>1672</v>
      </c>
      <c r="T184" t="s">
        <v>1626</v>
      </c>
      <c r="U184" t="s">
        <v>1627</v>
      </c>
      <c r="V184" t="s">
        <v>1628</v>
      </c>
      <c r="W184" t="s">
        <v>101</v>
      </c>
      <c r="X184" t="s">
        <v>1673</v>
      </c>
      <c r="Y184" s="231"/>
      <c r="Z184" s="176">
        <v>0</v>
      </c>
      <c r="AA184">
        <v>116</v>
      </c>
      <c r="AD184" s="199"/>
      <c r="AE184" s="199"/>
      <c r="AF184" s="179"/>
      <c r="AG184" s="179"/>
      <c r="AH184" s="179"/>
      <c r="AI184" s="179"/>
      <c r="AJ184" s="179"/>
      <c r="AK184" s="179"/>
      <c r="AL184" s="305">
        <v>4</v>
      </c>
      <c r="AM184" s="306">
        <v>2024</v>
      </c>
      <c r="AN184" s="250"/>
      <c r="AP184" t="str">
        <f>IF(BD_Bloqueados[[#This Row],[Analista ]]&lt;&gt;"Ana C",MID(BD_Bloqueados[[#This Row],[ID]],3,5),MID(BD_Bloqueados[[#This Row],[ID]],4,5))</f>
        <v>12124</v>
      </c>
      <c r="AQ184">
        <v>121</v>
      </c>
      <c r="AR184">
        <v>2024</v>
      </c>
      <c r="AS184" s="72">
        <v>45292</v>
      </c>
      <c r="AT184" s="72">
        <v>45412</v>
      </c>
      <c r="AU184">
        <v>4</v>
      </c>
    </row>
    <row r="185" spans="1:47">
      <c r="A185" t="s">
        <v>1656</v>
      </c>
      <c r="B185">
        <v>2</v>
      </c>
      <c r="C185" s="72">
        <v>45407</v>
      </c>
      <c r="D185">
        <v>18</v>
      </c>
      <c r="E185" s="173">
        <v>0.5180555555555556</v>
      </c>
      <c r="F185" t="s">
        <v>78</v>
      </c>
      <c r="G185" t="s">
        <v>29</v>
      </c>
      <c r="H185" t="s">
        <v>166</v>
      </c>
      <c r="I185" t="s">
        <v>635</v>
      </c>
      <c r="J185" t="s">
        <v>612</v>
      </c>
      <c r="K185" t="s">
        <v>1657</v>
      </c>
      <c r="L185" t="s">
        <v>108</v>
      </c>
      <c r="M185" t="s">
        <v>1029</v>
      </c>
      <c r="N185">
        <v>967555800</v>
      </c>
      <c r="O185" t="s">
        <v>235</v>
      </c>
      <c r="P185" s="154">
        <v>13030557</v>
      </c>
      <c r="Q185" t="s">
        <v>185</v>
      </c>
      <c r="R185" t="s">
        <v>596</v>
      </c>
      <c r="S185" t="s">
        <v>1658</v>
      </c>
      <c r="T185" t="s">
        <v>1659</v>
      </c>
      <c r="U185" t="s">
        <v>1660</v>
      </c>
      <c r="V185" t="s">
        <v>1661</v>
      </c>
      <c r="W185" t="s">
        <v>101</v>
      </c>
      <c r="X185" t="s">
        <v>102</v>
      </c>
      <c r="Y185" s="229">
        <v>1850</v>
      </c>
      <c r="Z185" s="176">
        <v>0</v>
      </c>
      <c r="AA185">
        <v>116</v>
      </c>
      <c r="AB185" t="s">
        <v>1441</v>
      </c>
      <c r="AC185" t="s">
        <v>1252</v>
      </c>
      <c r="AD185" s="199">
        <v>0.45</v>
      </c>
      <c r="AE185" s="199" t="s">
        <v>1662</v>
      </c>
      <c r="AF185" s="179">
        <v>0</v>
      </c>
      <c r="AG185" s="179">
        <v>0</v>
      </c>
      <c r="AH185" s="179">
        <v>0</v>
      </c>
      <c r="AI185" s="179">
        <v>0</v>
      </c>
      <c r="AJ185" s="179">
        <v>0</v>
      </c>
      <c r="AK185" s="179">
        <v>0</v>
      </c>
      <c r="AL185" s="305">
        <v>4</v>
      </c>
      <c r="AM185" s="306">
        <v>2024</v>
      </c>
      <c r="AN185" s="250" t="s">
        <v>1283</v>
      </c>
      <c r="AP185" t="str">
        <f>IF(BD_Bloqueados[[#This Row],[Analista ]]&lt;&gt;"Ana C",MID(BD_Bloqueados[[#This Row],[ID]],3,5),MID(BD_Bloqueados[[#This Row],[ID]],4,5))</f>
        <v>11624</v>
      </c>
      <c r="AQ185">
        <v>121</v>
      </c>
      <c r="AR185">
        <v>2024</v>
      </c>
      <c r="AS185" s="72">
        <v>45292</v>
      </c>
      <c r="AT185" s="72">
        <v>45412</v>
      </c>
      <c r="AU185">
        <v>4</v>
      </c>
    </row>
    <row r="186" spans="1:47">
      <c r="A186" t="s">
        <v>1663</v>
      </c>
      <c r="B186">
        <v>2</v>
      </c>
      <c r="C186" s="72">
        <v>45406</v>
      </c>
      <c r="D186">
        <v>18</v>
      </c>
      <c r="E186" s="173">
        <v>0.3888888888888889</v>
      </c>
      <c r="F186" t="s">
        <v>78</v>
      </c>
      <c r="G186" t="s">
        <v>29</v>
      </c>
      <c r="H186" t="s">
        <v>211</v>
      </c>
      <c r="I186" t="s">
        <v>635</v>
      </c>
      <c r="J186" t="s">
        <v>618</v>
      </c>
      <c r="K186" t="s">
        <v>1664</v>
      </c>
      <c r="L186" t="s">
        <v>108</v>
      </c>
      <c r="M186" t="s">
        <v>1029</v>
      </c>
      <c r="N186">
        <v>967555800</v>
      </c>
      <c r="O186" t="s">
        <v>251</v>
      </c>
      <c r="P186" s="154">
        <v>13030559</v>
      </c>
      <c r="Q186" t="s">
        <v>80</v>
      </c>
      <c r="R186" t="s">
        <v>589</v>
      </c>
      <c r="S186" t="s">
        <v>1665</v>
      </c>
      <c r="T186" t="s">
        <v>1666</v>
      </c>
      <c r="U186" t="s">
        <v>1667</v>
      </c>
      <c r="V186" t="s">
        <v>1668</v>
      </c>
      <c r="W186" t="s">
        <v>101</v>
      </c>
      <c r="X186" t="s">
        <v>156</v>
      </c>
      <c r="Y186" s="229">
        <v>830</v>
      </c>
      <c r="Z186" s="176">
        <v>166435.2888888889</v>
      </c>
      <c r="AA186">
        <v>115</v>
      </c>
      <c r="AB186" t="s">
        <v>1669</v>
      </c>
      <c r="AC186" t="s">
        <v>1349</v>
      </c>
      <c r="AD186" s="199">
        <v>0.45</v>
      </c>
      <c r="AE186" s="199" t="s">
        <v>1374</v>
      </c>
      <c r="AF186" s="179">
        <v>0</v>
      </c>
      <c r="AG186" s="179">
        <v>0</v>
      </c>
      <c r="AH186" s="179">
        <v>0</v>
      </c>
      <c r="AI186" s="179">
        <v>90.236000000000004</v>
      </c>
      <c r="AJ186" s="179">
        <v>0</v>
      </c>
      <c r="AK186" s="179">
        <v>0</v>
      </c>
      <c r="AL186" s="305">
        <v>4</v>
      </c>
      <c r="AM186" s="306">
        <v>2024</v>
      </c>
      <c r="AN186" s="250"/>
      <c r="AP186" t="str">
        <f>IF(BD_Bloqueados[[#This Row],[Analista ]]&lt;&gt;"Ana C",MID(BD_Bloqueados[[#This Row],[ID]],3,5),MID(BD_Bloqueados[[#This Row],[ID]],4,5))</f>
        <v>11524</v>
      </c>
      <c r="AQ186">
        <v>121</v>
      </c>
      <c r="AR186">
        <v>2024</v>
      </c>
      <c r="AS186" s="72">
        <v>45292</v>
      </c>
      <c r="AT186" s="72">
        <v>45412</v>
      </c>
      <c r="AU186">
        <v>4</v>
      </c>
    </row>
    <row r="187" spans="1:47">
      <c r="A187" t="s">
        <v>1687</v>
      </c>
      <c r="B187">
        <v>2</v>
      </c>
      <c r="C187" s="72">
        <v>45406</v>
      </c>
      <c r="D187">
        <v>18</v>
      </c>
      <c r="E187" s="173">
        <v>0.24305555555555555</v>
      </c>
      <c r="F187" t="s">
        <v>136</v>
      </c>
      <c r="G187" t="s">
        <v>29</v>
      </c>
      <c r="H187" t="s">
        <v>165</v>
      </c>
      <c r="I187" t="s">
        <v>248</v>
      </c>
      <c r="J187" t="s">
        <v>595</v>
      </c>
      <c r="K187" t="s">
        <v>1514</v>
      </c>
      <c r="L187" t="s">
        <v>108</v>
      </c>
      <c r="M187" t="s">
        <v>1029</v>
      </c>
      <c r="N187">
        <v>967555800</v>
      </c>
      <c r="O187" t="s">
        <v>235</v>
      </c>
      <c r="P187" s="154">
        <v>13030557</v>
      </c>
      <c r="Q187" t="s">
        <v>80</v>
      </c>
      <c r="R187" t="s">
        <v>608</v>
      </c>
      <c r="S187" t="s">
        <v>1688</v>
      </c>
      <c r="T187" t="s">
        <v>1397</v>
      </c>
      <c r="U187" t="s">
        <v>1689</v>
      </c>
      <c r="W187" t="s">
        <v>101</v>
      </c>
      <c r="X187" t="s">
        <v>156</v>
      </c>
      <c r="Y187" s="229">
        <v>9026.56</v>
      </c>
      <c r="Z187" s="176">
        <v>2828121.543111111</v>
      </c>
      <c r="AA187">
        <v>113</v>
      </c>
      <c r="AB187" t="s">
        <v>1685</v>
      </c>
      <c r="AC187" t="s">
        <v>1686</v>
      </c>
      <c r="AD187" s="199">
        <v>0.45</v>
      </c>
      <c r="AE187" s="199" t="s">
        <v>1374</v>
      </c>
      <c r="AF187" s="179">
        <v>0</v>
      </c>
      <c r="AG187" s="179">
        <v>29.553999999999998</v>
      </c>
      <c r="AH187" s="179">
        <v>0</v>
      </c>
      <c r="AI187" s="179">
        <v>90.236000000000004</v>
      </c>
      <c r="AJ187" s="179">
        <v>21.2</v>
      </c>
      <c r="AK187" s="179">
        <v>0</v>
      </c>
      <c r="AL187" s="305">
        <v>4</v>
      </c>
      <c r="AM187" s="306">
        <v>2024</v>
      </c>
      <c r="AN187" s="250"/>
      <c r="AP187" t="str">
        <f>IF(BD_Bloqueados[[#This Row],[Analista ]]&lt;&gt;"Ana C",MID(BD_Bloqueados[[#This Row],[ID]],3,5),MID(BD_Bloqueados[[#This Row],[ID]],4,5))</f>
        <v>11524</v>
      </c>
      <c r="AQ187">
        <v>116</v>
      </c>
      <c r="AR187">
        <v>2024</v>
      </c>
      <c r="AS187" s="72">
        <v>45292</v>
      </c>
      <c r="AT187" s="72">
        <v>45407</v>
      </c>
      <c r="AU187">
        <v>4</v>
      </c>
    </row>
    <row r="188" spans="1:47">
      <c r="A188" t="s">
        <v>1674</v>
      </c>
      <c r="B188">
        <v>2</v>
      </c>
      <c r="C188" s="72">
        <v>45405</v>
      </c>
      <c r="D188">
        <v>18</v>
      </c>
      <c r="E188" s="173">
        <v>0.36458333333333331</v>
      </c>
      <c r="F188" t="s">
        <v>78</v>
      </c>
      <c r="G188" t="s">
        <v>28</v>
      </c>
      <c r="H188" t="s">
        <v>210</v>
      </c>
      <c r="I188" t="s">
        <v>635</v>
      </c>
      <c r="J188" t="s">
        <v>618</v>
      </c>
      <c r="K188" t="s">
        <v>1589</v>
      </c>
      <c r="L188" t="s">
        <v>108</v>
      </c>
      <c r="M188" t="s">
        <v>1029</v>
      </c>
      <c r="N188">
        <v>967555800</v>
      </c>
      <c r="O188" t="s">
        <v>278</v>
      </c>
      <c r="P188" s="154">
        <v>13030284</v>
      </c>
      <c r="Q188" t="s">
        <v>80</v>
      </c>
      <c r="R188" t="s">
        <v>589</v>
      </c>
      <c r="S188" t="s">
        <v>1675</v>
      </c>
      <c r="T188" t="s">
        <v>1204</v>
      </c>
      <c r="U188" t="s">
        <v>1676</v>
      </c>
      <c r="V188" t="s">
        <v>1677</v>
      </c>
      <c r="W188" t="s">
        <v>101</v>
      </c>
      <c r="X188" t="s">
        <v>156</v>
      </c>
      <c r="Y188" s="229">
        <v>216</v>
      </c>
      <c r="Z188" s="176">
        <v>126313.20000000001</v>
      </c>
      <c r="AA188">
        <v>114</v>
      </c>
      <c r="AB188" t="s">
        <v>1466</v>
      </c>
      <c r="AC188" t="s">
        <v>1291</v>
      </c>
      <c r="AD188" s="199">
        <v>0.12</v>
      </c>
      <c r="AE188" s="199" t="s">
        <v>1292</v>
      </c>
      <c r="AF188" s="179">
        <v>0</v>
      </c>
      <c r="AG188" s="179">
        <v>0</v>
      </c>
      <c r="AH188" s="179">
        <v>0</v>
      </c>
      <c r="AI188" s="179">
        <v>70.174000000000007</v>
      </c>
      <c r="AJ188" s="179">
        <v>0</v>
      </c>
      <c r="AK188" s="179"/>
      <c r="AL188" s="305">
        <v>4</v>
      </c>
      <c r="AM188" s="306">
        <v>2024</v>
      </c>
      <c r="AN188" s="250"/>
      <c r="AP188" t="str">
        <f>IF(BD_Bloqueados[[#This Row],[Analista ]]&lt;&gt;"Ana C",MID(BD_Bloqueados[[#This Row],[ID]],3,5),MID(BD_Bloqueados[[#This Row],[ID]],4,5))</f>
        <v>11424</v>
      </c>
      <c r="AQ188">
        <v>115</v>
      </c>
      <c r="AR188">
        <v>2024</v>
      </c>
      <c r="AS188" s="72">
        <v>45292</v>
      </c>
      <c r="AT188" s="72">
        <v>45406</v>
      </c>
      <c r="AU188">
        <v>4</v>
      </c>
    </row>
    <row r="189" spans="1:47">
      <c r="A189" t="s">
        <v>1678</v>
      </c>
      <c r="B189">
        <v>2</v>
      </c>
      <c r="C189" s="72">
        <v>45405</v>
      </c>
      <c r="D189">
        <v>18</v>
      </c>
      <c r="E189" s="173">
        <v>0.36458333333333331</v>
      </c>
      <c r="F189" t="s">
        <v>78</v>
      </c>
      <c r="G189" t="s">
        <v>28</v>
      </c>
      <c r="H189" t="s">
        <v>210</v>
      </c>
      <c r="I189" t="s">
        <v>635</v>
      </c>
      <c r="J189" t="s">
        <v>618</v>
      </c>
      <c r="K189" t="s">
        <v>1589</v>
      </c>
      <c r="L189" t="s">
        <v>108</v>
      </c>
      <c r="M189" t="s">
        <v>1029</v>
      </c>
      <c r="N189">
        <v>967555800</v>
      </c>
      <c r="O189" t="s">
        <v>347</v>
      </c>
      <c r="P189" s="154">
        <v>12000409</v>
      </c>
      <c r="Q189" t="s">
        <v>80</v>
      </c>
      <c r="R189" t="s">
        <v>589</v>
      </c>
      <c r="S189" t="s">
        <v>1679</v>
      </c>
      <c r="T189" t="s">
        <v>1204</v>
      </c>
      <c r="U189" t="s">
        <v>1680</v>
      </c>
      <c r="V189" t="s">
        <v>1681</v>
      </c>
      <c r="W189" t="s">
        <v>101</v>
      </c>
      <c r="X189" t="s">
        <v>156</v>
      </c>
      <c r="Y189" s="229">
        <v>1920</v>
      </c>
      <c r="Z189" s="176">
        <v>327628.79999999999</v>
      </c>
      <c r="AA189">
        <v>114</v>
      </c>
      <c r="AB189" t="s">
        <v>1466</v>
      </c>
      <c r="AC189" t="s">
        <v>1291</v>
      </c>
      <c r="AD189" s="199">
        <v>2.5000000000000001E-2</v>
      </c>
      <c r="AE189" s="199" t="s">
        <v>1374</v>
      </c>
      <c r="AF189" s="179">
        <v>0</v>
      </c>
      <c r="AG189" s="179">
        <v>0</v>
      </c>
      <c r="AH189" s="179">
        <v>0</v>
      </c>
      <c r="AI189" s="179">
        <v>4.266</v>
      </c>
      <c r="AJ189" s="179">
        <v>0</v>
      </c>
      <c r="AK189" s="179">
        <v>0</v>
      </c>
      <c r="AL189" s="305">
        <v>4</v>
      </c>
      <c r="AM189" s="306">
        <v>2024</v>
      </c>
      <c r="AN189" s="250"/>
      <c r="AP189" t="str">
        <f>IF(BD_Bloqueados[[#This Row],[Analista ]]&lt;&gt;"Ana C",MID(BD_Bloqueados[[#This Row],[ID]],3,5),MID(BD_Bloqueados[[#This Row],[ID]],4,5))</f>
        <v>11424</v>
      </c>
      <c r="AQ189">
        <v>114</v>
      </c>
      <c r="AR189">
        <v>2024</v>
      </c>
      <c r="AS189" s="72">
        <v>45292</v>
      </c>
      <c r="AT189" s="72">
        <v>45405</v>
      </c>
      <c r="AU189">
        <v>4</v>
      </c>
    </row>
    <row r="190" spans="1:47">
      <c r="A190" t="s">
        <v>1682</v>
      </c>
      <c r="B190">
        <v>2</v>
      </c>
      <c r="C190" s="72">
        <v>45405</v>
      </c>
      <c r="D190">
        <v>18</v>
      </c>
      <c r="E190" s="173">
        <v>0.23611111111111113</v>
      </c>
      <c r="F190" t="s">
        <v>136</v>
      </c>
      <c r="G190" t="s">
        <v>29</v>
      </c>
      <c r="H190" t="s">
        <v>165</v>
      </c>
      <c r="I190" t="s">
        <v>248</v>
      </c>
      <c r="J190" t="s">
        <v>595</v>
      </c>
      <c r="K190" t="s">
        <v>1514</v>
      </c>
      <c r="L190" t="s">
        <v>108</v>
      </c>
      <c r="M190" t="s">
        <v>1029</v>
      </c>
      <c r="N190">
        <v>967555800</v>
      </c>
      <c r="O190" t="s">
        <v>193</v>
      </c>
      <c r="P190" s="154">
        <v>13030558</v>
      </c>
      <c r="Q190" t="s">
        <v>80</v>
      </c>
      <c r="R190" t="s">
        <v>608</v>
      </c>
      <c r="S190" t="s">
        <v>1683</v>
      </c>
      <c r="T190" t="s">
        <v>1397</v>
      </c>
      <c r="U190" t="s">
        <v>1684</v>
      </c>
      <c r="W190" t="s">
        <v>101</v>
      </c>
      <c r="X190" t="s">
        <v>156</v>
      </c>
      <c r="Y190" s="229">
        <v>7973.92</v>
      </c>
      <c r="Z190" s="176">
        <v>4000958.6595555558</v>
      </c>
      <c r="AA190">
        <v>114</v>
      </c>
      <c r="AB190" t="s">
        <v>1685</v>
      </c>
      <c r="AC190" t="s">
        <v>1686</v>
      </c>
      <c r="AD190" s="199">
        <v>0.45</v>
      </c>
      <c r="AE190" s="199" t="s">
        <v>1374</v>
      </c>
      <c r="AF190" s="179">
        <v>0</v>
      </c>
      <c r="AG190" s="179">
        <v>29.553999999999998</v>
      </c>
      <c r="AH190" s="179">
        <v>0</v>
      </c>
      <c r="AI190" s="179">
        <v>90.236000000000004</v>
      </c>
      <c r="AJ190" s="179">
        <v>106</v>
      </c>
      <c r="AK190" s="179">
        <v>0</v>
      </c>
      <c r="AL190" s="305">
        <v>4</v>
      </c>
      <c r="AM190" s="306">
        <v>2024</v>
      </c>
      <c r="AN190" s="250"/>
      <c r="AP190" t="str">
        <f>IF(BD_Bloqueados[[#This Row],[Analista ]]&lt;&gt;"Ana C",MID(BD_Bloqueados[[#This Row],[ID]],3,5),MID(BD_Bloqueados[[#This Row],[ID]],4,5))</f>
        <v>11424</v>
      </c>
      <c r="AQ190">
        <v>114</v>
      </c>
      <c r="AR190">
        <v>2024</v>
      </c>
      <c r="AS190" s="72">
        <v>45292</v>
      </c>
      <c r="AT190" s="72">
        <v>45405</v>
      </c>
      <c r="AU190">
        <v>4</v>
      </c>
    </row>
    <row r="191" spans="1:47">
      <c r="A191" t="s">
        <v>1690</v>
      </c>
      <c r="B191">
        <v>2</v>
      </c>
      <c r="C191" s="72">
        <v>45404</v>
      </c>
      <c r="D191">
        <v>18</v>
      </c>
      <c r="E191" s="173">
        <v>0.45208333333333334</v>
      </c>
      <c r="F191" t="s">
        <v>78</v>
      </c>
      <c r="G191" t="s">
        <v>29</v>
      </c>
      <c r="H191" t="s">
        <v>211</v>
      </c>
      <c r="I191" t="s">
        <v>635</v>
      </c>
      <c r="J191" t="s">
        <v>618</v>
      </c>
      <c r="K191" t="s">
        <v>1691</v>
      </c>
      <c r="L191" t="s">
        <v>108</v>
      </c>
      <c r="M191" t="s">
        <v>1029</v>
      </c>
      <c r="N191">
        <v>967555800</v>
      </c>
      <c r="O191" t="s">
        <v>235</v>
      </c>
      <c r="P191" s="154">
        <v>13030557</v>
      </c>
      <c r="Q191" t="s">
        <v>80</v>
      </c>
      <c r="R191" t="s">
        <v>589</v>
      </c>
      <c r="S191" t="s">
        <v>1692</v>
      </c>
      <c r="T191" t="s">
        <v>1693</v>
      </c>
      <c r="U191" t="s">
        <v>1694</v>
      </c>
      <c r="V191" t="s">
        <v>1695</v>
      </c>
      <c r="W191" t="s">
        <v>101</v>
      </c>
      <c r="X191" t="s">
        <v>156</v>
      </c>
      <c r="Y191" s="229">
        <v>258</v>
      </c>
      <c r="Z191" s="176">
        <v>0</v>
      </c>
      <c r="AA191">
        <v>113</v>
      </c>
      <c r="AB191" t="s">
        <v>1363</v>
      </c>
      <c r="AC191" t="s">
        <v>1252</v>
      </c>
      <c r="AD191" s="199">
        <v>0.45</v>
      </c>
      <c r="AE191" s="199" t="s">
        <v>1374</v>
      </c>
      <c r="AF191" s="179">
        <v>0</v>
      </c>
      <c r="AG191" s="179">
        <v>0</v>
      </c>
      <c r="AH191" s="179">
        <v>0</v>
      </c>
      <c r="AI191" s="179">
        <v>90.236000000000004</v>
      </c>
      <c r="AJ191" s="179">
        <v>0</v>
      </c>
      <c r="AK191" s="179">
        <v>0</v>
      </c>
      <c r="AL191" s="305">
        <v>4</v>
      </c>
      <c r="AM191" s="306">
        <v>2024</v>
      </c>
      <c r="AN191" s="250" t="s">
        <v>1696</v>
      </c>
      <c r="AP191" t="str">
        <f>IF(BD_Bloqueados[[#This Row],[Analista ]]&lt;&gt;"Ana C",MID(BD_Bloqueados[[#This Row],[ID]],3,5),MID(BD_Bloqueados[[#This Row],[ID]],4,5))</f>
        <v>11324</v>
      </c>
      <c r="AQ191">
        <v>114</v>
      </c>
      <c r="AR191">
        <v>2024</v>
      </c>
      <c r="AS191" s="72">
        <v>45292</v>
      </c>
      <c r="AT191" s="72">
        <v>45405</v>
      </c>
      <c r="AU191">
        <v>4</v>
      </c>
    </row>
    <row r="192" spans="1:47">
      <c r="A192" t="s">
        <v>1697</v>
      </c>
      <c r="B192">
        <v>2</v>
      </c>
      <c r="C192" s="72">
        <v>45402</v>
      </c>
      <c r="D192">
        <v>17</v>
      </c>
      <c r="E192" s="173">
        <v>0.47916666666666669</v>
      </c>
      <c r="F192" t="s">
        <v>78</v>
      </c>
      <c r="G192" t="s">
        <v>28</v>
      </c>
      <c r="H192" t="s">
        <v>166</v>
      </c>
      <c r="I192" t="s">
        <v>87</v>
      </c>
      <c r="J192" t="s">
        <v>595</v>
      </c>
      <c r="K192" t="s">
        <v>1698</v>
      </c>
      <c r="L192" t="s">
        <v>108</v>
      </c>
      <c r="M192" t="s">
        <v>1029</v>
      </c>
      <c r="N192">
        <v>967555800</v>
      </c>
      <c r="O192" t="s">
        <v>321</v>
      </c>
      <c r="P192" s="154">
        <v>13000464</v>
      </c>
      <c r="Q192" t="s">
        <v>185</v>
      </c>
      <c r="R192" t="s">
        <v>600</v>
      </c>
      <c r="S192" t="s">
        <v>1699</v>
      </c>
      <c r="T192" t="s">
        <v>1700</v>
      </c>
      <c r="U192" t="s">
        <v>1701</v>
      </c>
      <c r="V192" t="s">
        <v>1702</v>
      </c>
      <c r="W192" t="s">
        <v>101</v>
      </c>
      <c r="X192" t="s">
        <v>156</v>
      </c>
      <c r="Y192" s="229">
        <v>84</v>
      </c>
      <c r="Z192" s="176">
        <v>36097.32</v>
      </c>
      <c r="AA192">
        <v>1</v>
      </c>
      <c r="AB192" t="s">
        <v>1459</v>
      </c>
      <c r="AC192" t="s">
        <v>1252</v>
      </c>
      <c r="AD192" s="199">
        <v>0.1</v>
      </c>
      <c r="AE192" s="199" t="s">
        <v>1374</v>
      </c>
      <c r="AF192" s="179">
        <v>0</v>
      </c>
      <c r="AG192" s="179">
        <v>0</v>
      </c>
      <c r="AH192" s="179">
        <v>0</v>
      </c>
      <c r="AI192" s="179">
        <v>42.972999999999999</v>
      </c>
      <c r="AJ192" s="179">
        <v>0</v>
      </c>
      <c r="AK192" s="179">
        <v>0</v>
      </c>
      <c r="AL192" s="305">
        <v>4</v>
      </c>
      <c r="AM192" s="306">
        <v>2024</v>
      </c>
      <c r="AN192" s="250" t="s">
        <v>1703</v>
      </c>
      <c r="AP192" t="str">
        <f>IF(BD_Bloqueados[[#This Row],[Analista ]]&lt;&gt;"Ana C",MID(BD_Bloqueados[[#This Row],[ID]],3,5),MID(BD_Bloqueados[[#This Row],[ID]],4,5))</f>
        <v>11124</v>
      </c>
      <c r="AQ192">
        <v>115</v>
      </c>
      <c r="AR192">
        <v>2024</v>
      </c>
      <c r="AS192" s="72">
        <v>45292</v>
      </c>
      <c r="AT192" s="72">
        <v>45406</v>
      </c>
      <c r="AU192">
        <v>4</v>
      </c>
    </row>
    <row r="193" spans="1:47">
      <c r="A193" t="s">
        <v>1704</v>
      </c>
      <c r="B193">
        <v>2</v>
      </c>
      <c r="C193" s="72">
        <v>45401</v>
      </c>
      <c r="D193">
        <v>17</v>
      </c>
      <c r="E193" s="173">
        <v>0.57291666666666663</v>
      </c>
      <c r="F193" t="s">
        <v>109</v>
      </c>
      <c r="G193" t="s">
        <v>26</v>
      </c>
      <c r="H193" t="s">
        <v>186</v>
      </c>
      <c r="I193" t="s">
        <v>635</v>
      </c>
      <c r="J193" t="s">
        <v>644</v>
      </c>
      <c r="K193" t="s">
        <v>1705</v>
      </c>
      <c r="L193" t="s">
        <v>108</v>
      </c>
      <c r="M193" t="s">
        <v>1029</v>
      </c>
      <c r="N193">
        <v>967555800</v>
      </c>
      <c r="O193" t="s">
        <v>759</v>
      </c>
      <c r="P193" s="154">
        <v>13030603</v>
      </c>
      <c r="Q193" t="s">
        <v>80</v>
      </c>
      <c r="R193" t="s">
        <v>589</v>
      </c>
      <c r="S193" t="s">
        <v>1706</v>
      </c>
      <c r="T193" t="s">
        <v>1318</v>
      </c>
      <c r="U193" t="s">
        <v>1707</v>
      </c>
      <c r="V193" t="s">
        <v>1708</v>
      </c>
      <c r="W193" t="s">
        <v>101</v>
      </c>
      <c r="X193" t="s">
        <v>156</v>
      </c>
      <c r="Y193" s="229">
        <v>650</v>
      </c>
      <c r="Z193" s="176">
        <v>49109.45</v>
      </c>
      <c r="AA193">
        <v>110</v>
      </c>
      <c r="AB193" t="s">
        <v>1363</v>
      </c>
      <c r="AC193" t="s">
        <v>1291</v>
      </c>
      <c r="AD193" s="199">
        <v>1</v>
      </c>
      <c r="AE193" s="199" t="s">
        <v>1292</v>
      </c>
      <c r="AF193" s="179">
        <v>0</v>
      </c>
      <c r="AG193" s="179">
        <v>0</v>
      </c>
      <c r="AH193" s="179">
        <v>0</v>
      </c>
      <c r="AI193" s="179">
        <v>75.552999999999997</v>
      </c>
      <c r="AJ193" s="179">
        <v>0</v>
      </c>
      <c r="AK193" s="179">
        <v>0</v>
      </c>
      <c r="AL193" s="305">
        <v>4</v>
      </c>
      <c r="AM193" s="306">
        <v>2024</v>
      </c>
      <c r="AN193" s="250"/>
      <c r="AP193" t="str">
        <f>IF(BD_Bloqueados[[#This Row],[Analista ]]&lt;&gt;"Ana C",MID(BD_Bloqueados[[#This Row],[ID]],3,5),MID(BD_Bloqueados[[#This Row],[ID]],4,5))</f>
        <v>11024</v>
      </c>
      <c r="AQ193">
        <v>113</v>
      </c>
      <c r="AR193">
        <v>2024</v>
      </c>
      <c r="AS193" s="72">
        <v>45292</v>
      </c>
      <c r="AT193" s="72">
        <v>45404</v>
      </c>
      <c r="AU193">
        <v>4</v>
      </c>
    </row>
    <row r="194" spans="1:47">
      <c r="A194" t="s">
        <v>1709</v>
      </c>
      <c r="B194">
        <v>2</v>
      </c>
      <c r="C194" s="72">
        <v>45401</v>
      </c>
      <c r="D194">
        <v>17</v>
      </c>
      <c r="E194" s="173">
        <v>0.72430555555555554</v>
      </c>
      <c r="F194" t="s">
        <v>109</v>
      </c>
      <c r="G194" t="s">
        <v>31</v>
      </c>
      <c r="H194" t="s">
        <v>84</v>
      </c>
      <c r="I194" t="s">
        <v>635</v>
      </c>
      <c r="J194" t="s">
        <v>644</v>
      </c>
      <c r="K194" t="s">
        <v>1332</v>
      </c>
      <c r="L194" t="s">
        <v>108</v>
      </c>
      <c r="M194" t="s">
        <v>1029</v>
      </c>
      <c r="N194">
        <v>967555800</v>
      </c>
      <c r="O194" t="s">
        <v>200</v>
      </c>
      <c r="P194" s="154">
        <v>13030428</v>
      </c>
      <c r="Q194" t="s">
        <v>138</v>
      </c>
      <c r="R194" t="s">
        <v>589</v>
      </c>
      <c r="S194" t="s">
        <v>1710</v>
      </c>
      <c r="T194" t="s">
        <v>1711</v>
      </c>
      <c r="U194" t="s">
        <v>1712</v>
      </c>
      <c r="V194" t="s">
        <v>1713</v>
      </c>
      <c r="W194" t="s">
        <v>101</v>
      </c>
      <c r="X194" t="s">
        <v>156</v>
      </c>
      <c r="Y194" s="229">
        <v>1478.4</v>
      </c>
      <c r="Z194" s="176">
        <v>540393.63839999994</v>
      </c>
      <c r="AA194">
        <v>110</v>
      </c>
      <c r="AB194" t="s">
        <v>1714</v>
      </c>
      <c r="AC194" t="s">
        <v>1349</v>
      </c>
      <c r="AD194" s="199">
        <v>1</v>
      </c>
      <c r="AE194" s="199" t="s">
        <v>1292</v>
      </c>
      <c r="AF194" s="179">
        <v>3.0910000000000002</v>
      </c>
      <c r="AG194" s="179">
        <v>173.27099999999999</v>
      </c>
      <c r="AH194" s="179">
        <v>0</v>
      </c>
      <c r="AI194" s="179">
        <v>187.88900000000001</v>
      </c>
      <c r="AJ194" s="179">
        <v>1.2749999999999999</v>
      </c>
      <c r="AK194" s="179">
        <v>0</v>
      </c>
      <c r="AL194" s="305">
        <v>4</v>
      </c>
      <c r="AM194" s="306">
        <v>2024</v>
      </c>
      <c r="AN194" s="250"/>
      <c r="AP194" t="str">
        <f>IF(BD_Bloqueados[[#This Row],[Analista ]]&lt;&gt;"Ana C",MID(BD_Bloqueados[[#This Row],[ID]],3,5),MID(BD_Bloqueados[[#This Row],[ID]],4,5))</f>
        <v>11024</v>
      </c>
      <c r="AQ194">
        <v>111</v>
      </c>
      <c r="AR194">
        <v>2024</v>
      </c>
      <c r="AS194" s="72">
        <v>45292</v>
      </c>
      <c r="AT194" s="72">
        <v>45402</v>
      </c>
      <c r="AU194">
        <v>4</v>
      </c>
    </row>
    <row r="195" spans="1:47">
      <c r="A195" t="s">
        <v>1715</v>
      </c>
      <c r="B195">
        <v>2</v>
      </c>
      <c r="C195" s="72">
        <v>45401</v>
      </c>
      <c r="D195">
        <v>17</v>
      </c>
      <c r="E195" s="173">
        <v>0.36805555555555558</v>
      </c>
      <c r="F195" t="s">
        <v>78</v>
      </c>
      <c r="G195" t="s">
        <v>24</v>
      </c>
      <c r="H195" t="s">
        <v>82</v>
      </c>
      <c r="I195" t="s">
        <v>248</v>
      </c>
      <c r="J195" t="s">
        <v>576</v>
      </c>
      <c r="K195" t="s">
        <v>1606</v>
      </c>
      <c r="L195" t="s">
        <v>77</v>
      </c>
      <c r="M195" t="s">
        <v>709</v>
      </c>
      <c r="N195">
        <v>6371206</v>
      </c>
      <c r="O195" t="s">
        <v>899</v>
      </c>
      <c r="P195" s="154">
        <v>10003552</v>
      </c>
      <c r="Q195" t="s">
        <v>80</v>
      </c>
      <c r="R195" t="s">
        <v>608</v>
      </c>
      <c r="S195" t="s">
        <v>1716</v>
      </c>
      <c r="T195" t="s">
        <v>1717</v>
      </c>
      <c r="U195" t="s">
        <v>1421</v>
      </c>
      <c r="W195" t="s">
        <v>101</v>
      </c>
      <c r="X195" t="s">
        <v>1718</v>
      </c>
      <c r="Y195" s="229">
        <v>25</v>
      </c>
      <c r="Z195" s="176"/>
      <c r="AA195" t="s">
        <v>1719</v>
      </c>
      <c r="AD195" s="199"/>
      <c r="AE195" s="199"/>
      <c r="AF195" s="179"/>
      <c r="AG195" s="179"/>
      <c r="AH195" s="179"/>
      <c r="AI195" s="179"/>
      <c r="AJ195" s="179"/>
      <c r="AK195" s="179"/>
      <c r="AL195" s="305">
        <v>4</v>
      </c>
      <c r="AM195" s="306">
        <v>2024</v>
      </c>
      <c r="AN195" s="250"/>
      <c r="AP195" t="str">
        <f>IF(BD_Bloqueados[[#This Row],[Analista ]]&lt;&gt;"Ana C",MID(BD_Bloqueados[[#This Row],[ID]],3,5),MID(BD_Bloqueados[[#This Row],[ID]],4,5))</f>
        <v>11024</v>
      </c>
      <c r="AQ195">
        <v>110</v>
      </c>
      <c r="AR195">
        <v>2024</v>
      </c>
      <c r="AS195" s="72">
        <v>45292</v>
      </c>
      <c r="AT195" s="72">
        <v>45401</v>
      </c>
      <c r="AU195">
        <v>4</v>
      </c>
    </row>
    <row r="196" spans="1:47">
      <c r="A196" t="s">
        <v>1720</v>
      </c>
      <c r="B196">
        <v>2</v>
      </c>
      <c r="C196" s="72">
        <v>45401</v>
      </c>
      <c r="D196">
        <v>17</v>
      </c>
      <c r="E196" s="173">
        <v>0.57291666666666663</v>
      </c>
      <c r="F196" t="s">
        <v>109</v>
      </c>
      <c r="G196" t="s">
        <v>26</v>
      </c>
      <c r="H196" t="s">
        <v>139</v>
      </c>
      <c r="I196" t="s">
        <v>635</v>
      </c>
      <c r="J196" t="s">
        <v>644</v>
      </c>
      <c r="K196" t="s">
        <v>1705</v>
      </c>
      <c r="L196" t="s">
        <v>108</v>
      </c>
      <c r="M196" t="s">
        <v>1029</v>
      </c>
      <c r="N196">
        <v>967555800</v>
      </c>
      <c r="O196" t="s">
        <v>759</v>
      </c>
      <c r="P196" s="154">
        <v>13030603</v>
      </c>
      <c r="Q196" t="s">
        <v>138</v>
      </c>
      <c r="R196" t="s">
        <v>589</v>
      </c>
      <c r="S196" t="s">
        <v>1721</v>
      </c>
      <c r="T196" t="s">
        <v>1353</v>
      </c>
      <c r="U196" t="s">
        <v>1722</v>
      </c>
      <c r="V196" t="s">
        <v>1723</v>
      </c>
      <c r="W196" t="s">
        <v>101</v>
      </c>
      <c r="X196" t="s">
        <v>102</v>
      </c>
      <c r="Y196" s="229">
        <v>650</v>
      </c>
      <c r="Z196" s="176">
        <v>0</v>
      </c>
      <c r="AA196">
        <v>110</v>
      </c>
      <c r="AB196" t="s">
        <v>1356</v>
      </c>
      <c r="AC196" t="s">
        <v>1349</v>
      </c>
      <c r="AD196" s="199">
        <v>1</v>
      </c>
      <c r="AE196" s="199" t="s">
        <v>1292</v>
      </c>
      <c r="AF196" s="179">
        <v>0</v>
      </c>
      <c r="AG196" s="179">
        <v>0</v>
      </c>
      <c r="AH196" s="179">
        <v>0</v>
      </c>
      <c r="AI196" s="179">
        <v>0</v>
      </c>
      <c r="AJ196" s="179">
        <v>0</v>
      </c>
      <c r="AK196" s="179">
        <v>0</v>
      </c>
      <c r="AL196" s="305">
        <v>4</v>
      </c>
      <c r="AM196" s="306">
        <v>2024</v>
      </c>
      <c r="AN196" s="250"/>
      <c r="AP196" t="str">
        <f>IF(BD_Bloqueados[[#This Row],[Analista ]]&lt;&gt;"Ana C",MID(BD_Bloqueados[[#This Row],[ID]],3,5),MID(BD_Bloqueados[[#This Row],[ID]],4,5))</f>
        <v>11024</v>
      </c>
      <c r="AQ196">
        <v>110</v>
      </c>
      <c r="AR196">
        <v>2024</v>
      </c>
      <c r="AS196" s="72">
        <v>45292</v>
      </c>
      <c r="AT196" s="72">
        <v>45401</v>
      </c>
      <c r="AU196">
        <v>4</v>
      </c>
    </row>
    <row r="197" spans="1:47">
      <c r="A197" t="s">
        <v>1724</v>
      </c>
      <c r="B197">
        <v>2</v>
      </c>
      <c r="C197" s="72">
        <v>45401</v>
      </c>
      <c r="D197">
        <v>17</v>
      </c>
      <c r="E197" s="173">
        <v>0.30902777777777779</v>
      </c>
      <c r="F197" t="s">
        <v>78</v>
      </c>
      <c r="G197" t="s">
        <v>22</v>
      </c>
      <c r="H197" t="s">
        <v>139</v>
      </c>
      <c r="I197" t="s">
        <v>248</v>
      </c>
      <c r="J197" t="s">
        <v>576</v>
      </c>
      <c r="K197" t="s">
        <v>1725</v>
      </c>
      <c r="L197" t="s">
        <v>108</v>
      </c>
      <c r="M197" t="s">
        <v>1029</v>
      </c>
      <c r="N197">
        <v>967555800</v>
      </c>
      <c r="O197" t="s">
        <v>197</v>
      </c>
      <c r="P197" s="154">
        <v>13030469</v>
      </c>
      <c r="Q197" t="s">
        <v>138</v>
      </c>
      <c r="R197" t="s">
        <v>79</v>
      </c>
      <c r="S197" t="s">
        <v>1726</v>
      </c>
      <c r="T197" t="s">
        <v>1727</v>
      </c>
      <c r="U197" t="s">
        <v>1728</v>
      </c>
      <c r="V197" t="s">
        <v>1729</v>
      </c>
      <c r="W197" t="s">
        <v>101</v>
      </c>
      <c r="X197" t="s">
        <v>102</v>
      </c>
      <c r="Y197" s="229">
        <v>720</v>
      </c>
      <c r="Z197" s="176">
        <v>0</v>
      </c>
      <c r="AA197">
        <v>110</v>
      </c>
      <c r="AB197" t="s">
        <v>1356</v>
      </c>
      <c r="AC197" t="s">
        <v>1349</v>
      </c>
      <c r="AD197" s="199">
        <v>1</v>
      </c>
      <c r="AE197" s="199" t="s">
        <v>1292</v>
      </c>
      <c r="AF197" s="179">
        <v>0</v>
      </c>
      <c r="AG197" s="179">
        <v>0</v>
      </c>
      <c r="AH197" s="179">
        <v>0</v>
      </c>
      <c r="AI197" s="179">
        <v>0</v>
      </c>
      <c r="AJ197" s="179">
        <v>0</v>
      </c>
      <c r="AK197" s="179">
        <v>0</v>
      </c>
      <c r="AL197" s="305">
        <v>4</v>
      </c>
      <c r="AM197" s="306">
        <v>2024</v>
      </c>
      <c r="AN197" s="250"/>
      <c r="AP197" t="str">
        <f>IF(BD_Bloqueados[[#This Row],[Analista ]]&lt;&gt;"Ana C",MID(BD_Bloqueados[[#This Row],[ID]],3,5),MID(BD_Bloqueados[[#This Row],[ID]],4,5))</f>
        <v>11024</v>
      </c>
      <c r="AQ197">
        <v>110</v>
      </c>
      <c r="AR197">
        <v>2024</v>
      </c>
      <c r="AS197" s="72">
        <v>45292</v>
      </c>
      <c r="AT197" s="72">
        <v>45401</v>
      </c>
      <c r="AU197">
        <v>4</v>
      </c>
    </row>
    <row r="198" spans="1:47">
      <c r="A198" t="s">
        <v>1730</v>
      </c>
      <c r="B198">
        <v>2</v>
      </c>
      <c r="C198" s="72">
        <v>45400</v>
      </c>
      <c r="D198">
        <v>17</v>
      </c>
      <c r="E198" s="173">
        <v>0.52083333333333337</v>
      </c>
      <c r="F198" t="s">
        <v>78</v>
      </c>
      <c r="G198" t="s">
        <v>29</v>
      </c>
      <c r="H198" t="s">
        <v>165</v>
      </c>
      <c r="I198" t="s">
        <v>143</v>
      </c>
      <c r="J198" t="s">
        <v>612</v>
      </c>
      <c r="K198" t="s">
        <v>1731</v>
      </c>
      <c r="L198" t="s">
        <v>108</v>
      </c>
      <c r="M198" t="s">
        <v>1029</v>
      </c>
      <c r="N198">
        <v>967555800</v>
      </c>
      <c r="O198" t="s">
        <v>215</v>
      </c>
      <c r="P198" s="154">
        <v>13030560</v>
      </c>
      <c r="Q198" t="s">
        <v>185</v>
      </c>
      <c r="R198" t="s">
        <v>600</v>
      </c>
      <c r="S198" t="s">
        <v>1732</v>
      </c>
      <c r="T198" t="s">
        <v>1733</v>
      </c>
      <c r="U198" t="s">
        <v>1734</v>
      </c>
      <c r="V198" t="s">
        <v>1735</v>
      </c>
      <c r="W198" t="s">
        <v>101</v>
      </c>
      <c r="X198" t="s">
        <v>156</v>
      </c>
      <c r="Y198" s="229">
        <v>360</v>
      </c>
      <c r="Z198" s="176">
        <v>0</v>
      </c>
      <c r="AA198">
        <v>109</v>
      </c>
      <c r="AB198" t="s">
        <v>1736</v>
      </c>
      <c r="AC198" t="s">
        <v>1252</v>
      </c>
      <c r="AD198" s="199">
        <v>0.3</v>
      </c>
      <c r="AE198" s="199" t="s">
        <v>1374</v>
      </c>
      <c r="AF198" s="179">
        <v>0</v>
      </c>
      <c r="AG198" s="179">
        <v>40.430999999999997</v>
      </c>
      <c r="AH198" s="179">
        <v>0</v>
      </c>
      <c r="AI198" s="179">
        <v>90.236000000000004</v>
      </c>
      <c r="AJ198" s="179">
        <v>0</v>
      </c>
      <c r="AK198" s="179">
        <v>0</v>
      </c>
      <c r="AL198" s="305">
        <v>4</v>
      </c>
      <c r="AM198" s="306">
        <v>2024</v>
      </c>
      <c r="AN198" s="250" t="s">
        <v>1737</v>
      </c>
      <c r="AP198" t="str">
        <f>IF(BD_Bloqueados[[#This Row],[Analista ]]&lt;&gt;"Ana C",MID(BD_Bloqueados[[#This Row],[ID]],3,5),MID(BD_Bloqueados[[#This Row],[ID]],4,5))</f>
        <v>10924</v>
      </c>
      <c r="AQ198">
        <v>110</v>
      </c>
      <c r="AR198">
        <v>2024</v>
      </c>
      <c r="AS198" s="72">
        <v>45292</v>
      </c>
      <c r="AT198" s="72">
        <v>45401</v>
      </c>
      <c r="AU198">
        <v>4</v>
      </c>
    </row>
    <row r="199" spans="1:47">
      <c r="A199" t="s">
        <v>1738</v>
      </c>
      <c r="B199">
        <v>2</v>
      </c>
      <c r="C199" s="72">
        <v>45400</v>
      </c>
      <c r="D199">
        <v>17</v>
      </c>
      <c r="E199" s="173">
        <v>0.78819444444444442</v>
      </c>
      <c r="F199" t="s">
        <v>109</v>
      </c>
      <c r="G199" t="s">
        <v>31</v>
      </c>
      <c r="H199" t="s">
        <v>84</v>
      </c>
      <c r="I199" t="s">
        <v>635</v>
      </c>
      <c r="J199" t="s">
        <v>644</v>
      </c>
      <c r="K199" t="s">
        <v>1739</v>
      </c>
      <c r="L199" t="s">
        <v>108</v>
      </c>
      <c r="M199" t="s">
        <v>1029</v>
      </c>
      <c r="N199">
        <v>967555800</v>
      </c>
      <c r="O199" t="s">
        <v>97</v>
      </c>
      <c r="P199" s="154">
        <v>13030492</v>
      </c>
      <c r="Q199" t="s">
        <v>138</v>
      </c>
      <c r="R199" t="s">
        <v>589</v>
      </c>
      <c r="S199" t="s">
        <v>1740</v>
      </c>
      <c r="T199" t="s">
        <v>1741</v>
      </c>
      <c r="U199" t="s">
        <v>1742</v>
      </c>
      <c r="V199" t="s">
        <v>1743</v>
      </c>
      <c r="W199" t="s">
        <v>101</v>
      </c>
      <c r="X199" t="s">
        <v>156</v>
      </c>
      <c r="Y199" s="229">
        <v>462</v>
      </c>
      <c r="Z199" s="176">
        <v>188181.84</v>
      </c>
      <c r="AA199">
        <v>108</v>
      </c>
      <c r="AB199" t="s">
        <v>1290</v>
      </c>
      <c r="AC199" t="s">
        <v>1291</v>
      </c>
      <c r="AD199" s="199">
        <v>1</v>
      </c>
      <c r="AE199" s="199" t="s">
        <v>1292</v>
      </c>
      <c r="AF199" s="179">
        <v>2.5390000000000001</v>
      </c>
      <c r="AG199" s="179">
        <v>145.565</v>
      </c>
      <c r="AH199" s="179">
        <v>0</v>
      </c>
      <c r="AI199" s="179">
        <v>257.48099999999999</v>
      </c>
      <c r="AJ199" s="179">
        <v>1.7350000000000001</v>
      </c>
      <c r="AK199" s="179">
        <v>0</v>
      </c>
      <c r="AL199" s="305">
        <v>4</v>
      </c>
      <c r="AM199" s="306">
        <v>2024</v>
      </c>
      <c r="AN199" s="250"/>
      <c r="AP199" t="str">
        <f>IF(BD_Bloqueados[[#This Row],[Analista ]]&lt;&gt;"Ana C",MID(BD_Bloqueados[[#This Row],[ID]],3,5),MID(BD_Bloqueados[[#This Row],[ID]],4,5))</f>
        <v>10924</v>
      </c>
      <c r="AQ199">
        <v>110</v>
      </c>
      <c r="AR199">
        <v>2024</v>
      </c>
      <c r="AS199" s="72">
        <v>45292</v>
      </c>
      <c r="AT199" s="72">
        <v>45401</v>
      </c>
      <c r="AU199">
        <v>4</v>
      </c>
    </row>
    <row r="200" spans="1:47">
      <c r="A200" t="s">
        <v>1744</v>
      </c>
      <c r="B200">
        <v>2</v>
      </c>
      <c r="C200" s="72">
        <v>45400</v>
      </c>
      <c r="D200">
        <v>17</v>
      </c>
      <c r="E200" s="173">
        <v>0.33333333333333331</v>
      </c>
      <c r="F200" t="s">
        <v>78</v>
      </c>
      <c r="G200" t="s">
        <v>28</v>
      </c>
      <c r="H200" t="s">
        <v>165</v>
      </c>
      <c r="I200" t="s">
        <v>143</v>
      </c>
      <c r="J200" t="s">
        <v>612</v>
      </c>
      <c r="K200" t="s">
        <v>1745</v>
      </c>
      <c r="L200" t="s">
        <v>108</v>
      </c>
      <c r="M200" t="s">
        <v>1029</v>
      </c>
      <c r="N200">
        <v>967555800</v>
      </c>
      <c r="O200" t="s">
        <v>344</v>
      </c>
      <c r="P200" s="154">
        <v>12000407</v>
      </c>
      <c r="Q200" t="s">
        <v>138</v>
      </c>
      <c r="R200" t="s">
        <v>79</v>
      </c>
      <c r="S200" t="s">
        <v>1746</v>
      </c>
      <c r="T200" t="s">
        <v>1747</v>
      </c>
      <c r="U200" t="s">
        <v>1748</v>
      </c>
      <c r="V200" t="s">
        <v>1749</v>
      </c>
      <c r="W200" t="s">
        <v>101</v>
      </c>
      <c r="X200" t="s">
        <v>129</v>
      </c>
      <c r="Y200" s="229">
        <v>189</v>
      </c>
      <c r="Z200" s="176">
        <v>0</v>
      </c>
      <c r="AA200">
        <v>59</v>
      </c>
      <c r="AD200" s="199"/>
      <c r="AE200" s="199"/>
      <c r="AF200" s="179"/>
      <c r="AG200" s="179"/>
      <c r="AH200" s="179"/>
      <c r="AI200" s="179"/>
      <c r="AJ200" s="179"/>
      <c r="AK200" s="179"/>
      <c r="AL200" s="305">
        <v>4</v>
      </c>
      <c r="AM200" s="306">
        <v>2024</v>
      </c>
      <c r="AN200" s="250"/>
      <c r="AP200" t="str">
        <f>IF(BD_Bloqueados[[#This Row],[Analista ]]&lt;&gt;"Ana C",MID(BD_Bloqueados[[#This Row],[ID]],3,5),MID(BD_Bloqueados[[#This Row],[ID]],4,5))</f>
        <v>10924</v>
      </c>
      <c r="AQ200">
        <v>109</v>
      </c>
      <c r="AR200">
        <v>2024</v>
      </c>
      <c r="AS200" s="72">
        <v>45292</v>
      </c>
      <c r="AT200" s="72">
        <v>45400</v>
      </c>
      <c r="AU200">
        <v>4</v>
      </c>
    </row>
    <row r="201" spans="1:47">
      <c r="A201" t="s">
        <v>1750</v>
      </c>
      <c r="B201">
        <v>2</v>
      </c>
      <c r="C201" s="72">
        <v>45400</v>
      </c>
      <c r="D201">
        <v>17</v>
      </c>
      <c r="E201" s="173">
        <v>0.45833333333333331</v>
      </c>
      <c r="F201" t="s">
        <v>78</v>
      </c>
      <c r="G201" t="s">
        <v>29</v>
      </c>
      <c r="H201" t="s">
        <v>165</v>
      </c>
      <c r="I201" t="s">
        <v>143</v>
      </c>
      <c r="J201" t="s">
        <v>618</v>
      </c>
      <c r="K201" t="s">
        <v>1751</v>
      </c>
      <c r="L201" t="s">
        <v>108</v>
      </c>
      <c r="M201" t="s">
        <v>1029</v>
      </c>
      <c r="N201">
        <v>967555800</v>
      </c>
      <c r="O201" t="s">
        <v>215</v>
      </c>
      <c r="P201" s="154">
        <v>13030560</v>
      </c>
      <c r="Q201" t="s">
        <v>185</v>
      </c>
      <c r="R201" t="s">
        <v>600</v>
      </c>
      <c r="S201" t="s">
        <v>1752</v>
      </c>
      <c r="T201" t="s">
        <v>1753</v>
      </c>
      <c r="U201" t="s">
        <v>1754</v>
      </c>
      <c r="V201" t="s">
        <v>1755</v>
      </c>
      <c r="W201" t="s">
        <v>101</v>
      </c>
      <c r="X201" t="s">
        <v>156</v>
      </c>
      <c r="Y201" s="229">
        <v>1080</v>
      </c>
      <c r="Z201" s="176">
        <v>0</v>
      </c>
      <c r="AA201">
        <v>109</v>
      </c>
      <c r="AB201" t="s">
        <v>1459</v>
      </c>
      <c r="AC201" t="s">
        <v>1252</v>
      </c>
      <c r="AD201" s="199">
        <v>0.3</v>
      </c>
      <c r="AE201" s="199" t="s">
        <v>1374</v>
      </c>
      <c r="AF201" s="179">
        <v>0</v>
      </c>
      <c r="AG201" s="179">
        <v>40.430999999999997</v>
      </c>
      <c r="AH201" s="179">
        <v>0</v>
      </c>
      <c r="AI201" s="179">
        <v>90.236000000000004</v>
      </c>
      <c r="AJ201" s="179">
        <v>0</v>
      </c>
      <c r="AK201" s="179">
        <v>0</v>
      </c>
      <c r="AL201" s="305">
        <v>4</v>
      </c>
      <c r="AM201" s="306">
        <v>2024</v>
      </c>
      <c r="AN201" s="250" t="s">
        <v>1703</v>
      </c>
      <c r="AP201" t="str">
        <f>IF(BD_Bloqueados[[#This Row],[Analista ]]&lt;&gt;"Ana C",MID(BD_Bloqueados[[#This Row],[ID]],3,5),MID(BD_Bloqueados[[#This Row],[ID]],4,5))</f>
        <v>10924</v>
      </c>
      <c r="AQ201">
        <v>109</v>
      </c>
      <c r="AR201">
        <v>2024</v>
      </c>
      <c r="AS201" s="72">
        <v>45292</v>
      </c>
      <c r="AT201" s="72">
        <v>45400</v>
      </c>
      <c r="AU201">
        <v>4</v>
      </c>
    </row>
    <row r="202" spans="1:47">
      <c r="A202" t="s">
        <v>1756</v>
      </c>
      <c r="B202">
        <v>2</v>
      </c>
      <c r="C202" s="72">
        <v>45400</v>
      </c>
      <c r="D202">
        <v>17</v>
      </c>
      <c r="E202" s="173">
        <v>0.64930555555555558</v>
      </c>
      <c r="F202" t="s">
        <v>109</v>
      </c>
      <c r="G202" t="s">
        <v>26</v>
      </c>
      <c r="H202" t="s">
        <v>186</v>
      </c>
      <c r="I202" t="s">
        <v>635</v>
      </c>
      <c r="J202" t="s">
        <v>644</v>
      </c>
      <c r="K202" t="s">
        <v>1757</v>
      </c>
      <c r="L202" t="s">
        <v>108</v>
      </c>
      <c r="M202" t="s">
        <v>1029</v>
      </c>
      <c r="N202">
        <v>967555800</v>
      </c>
      <c r="O202" t="s">
        <v>759</v>
      </c>
      <c r="P202" s="154">
        <v>13030603</v>
      </c>
      <c r="Q202" t="s">
        <v>80</v>
      </c>
      <c r="R202" t="s">
        <v>589</v>
      </c>
      <c r="S202" t="s">
        <v>1758</v>
      </c>
      <c r="T202" t="s">
        <v>1759</v>
      </c>
      <c r="U202" t="s">
        <v>1760</v>
      </c>
      <c r="V202" t="s">
        <v>1761</v>
      </c>
      <c r="W202" t="s">
        <v>101</v>
      </c>
      <c r="X202" t="s">
        <v>102</v>
      </c>
      <c r="Y202" s="229">
        <v>1137.5</v>
      </c>
      <c r="Z202" s="176">
        <v>85941.537499999991</v>
      </c>
      <c r="AA202">
        <v>109</v>
      </c>
      <c r="AB202" t="s">
        <v>1466</v>
      </c>
      <c r="AC202" t="s">
        <v>1349</v>
      </c>
      <c r="AD202" s="199">
        <v>1</v>
      </c>
      <c r="AE202" s="199" t="s">
        <v>1292</v>
      </c>
      <c r="AF202" s="179">
        <v>0</v>
      </c>
      <c r="AG202" s="179">
        <v>0</v>
      </c>
      <c r="AH202" s="179">
        <v>0</v>
      </c>
      <c r="AI202" s="179">
        <v>75.552999999999997</v>
      </c>
      <c r="AJ202" s="179">
        <v>0</v>
      </c>
      <c r="AK202" s="179">
        <v>0</v>
      </c>
      <c r="AL202" s="305">
        <v>4</v>
      </c>
      <c r="AM202" s="306">
        <v>2024</v>
      </c>
      <c r="AN202" s="250"/>
      <c r="AP202" t="str">
        <f>IF(BD_Bloqueados[[#This Row],[Analista ]]&lt;&gt;"Ana C",MID(BD_Bloqueados[[#This Row],[ID]],3,5),MID(BD_Bloqueados[[#This Row],[ID]],4,5))</f>
        <v>10924</v>
      </c>
      <c r="AQ202">
        <v>109</v>
      </c>
      <c r="AR202">
        <v>2024</v>
      </c>
      <c r="AS202" s="72">
        <v>45292</v>
      </c>
      <c r="AT202" s="72">
        <v>45400</v>
      </c>
      <c r="AU202">
        <v>4</v>
      </c>
    </row>
    <row r="203" spans="1:47">
      <c r="A203" t="s">
        <v>1762</v>
      </c>
      <c r="B203">
        <v>2</v>
      </c>
      <c r="C203" s="72">
        <v>45400</v>
      </c>
      <c r="D203">
        <v>17</v>
      </c>
      <c r="E203" s="173">
        <v>0.69791666666666663</v>
      </c>
      <c r="F203" t="s">
        <v>109</v>
      </c>
      <c r="G203" t="s">
        <v>26</v>
      </c>
      <c r="H203" t="s">
        <v>139</v>
      </c>
      <c r="I203" t="s">
        <v>635</v>
      </c>
      <c r="J203" t="s">
        <v>644</v>
      </c>
      <c r="K203" t="s">
        <v>1376</v>
      </c>
      <c r="L203" t="s">
        <v>108</v>
      </c>
      <c r="M203" t="s">
        <v>1029</v>
      </c>
      <c r="N203">
        <v>967555800</v>
      </c>
      <c r="O203" t="s">
        <v>759</v>
      </c>
      <c r="P203" s="154">
        <v>13030603</v>
      </c>
      <c r="Q203" t="s">
        <v>138</v>
      </c>
      <c r="R203" t="s">
        <v>589</v>
      </c>
      <c r="S203" t="s">
        <v>1763</v>
      </c>
      <c r="T203" t="s">
        <v>1764</v>
      </c>
      <c r="U203" t="s">
        <v>1765</v>
      </c>
      <c r="V203" t="s">
        <v>1766</v>
      </c>
      <c r="W203" t="s">
        <v>101</v>
      </c>
      <c r="X203" t="s">
        <v>102</v>
      </c>
      <c r="Y203" s="229">
        <v>4387.5</v>
      </c>
      <c r="Z203" s="176">
        <v>0</v>
      </c>
      <c r="AA203">
        <v>109</v>
      </c>
      <c r="AB203" t="s">
        <v>1356</v>
      </c>
      <c r="AC203" t="s">
        <v>1349</v>
      </c>
      <c r="AD203" s="199">
        <v>1</v>
      </c>
      <c r="AE203" s="199" t="s">
        <v>1292</v>
      </c>
      <c r="AF203" s="179">
        <v>0</v>
      </c>
      <c r="AG203" s="179">
        <v>0</v>
      </c>
      <c r="AH203" s="179">
        <v>0</v>
      </c>
      <c r="AI203" s="179">
        <v>0</v>
      </c>
      <c r="AJ203" s="179">
        <v>0</v>
      </c>
      <c r="AK203" s="179">
        <v>0</v>
      </c>
      <c r="AL203" s="305">
        <v>4</v>
      </c>
      <c r="AM203" s="306">
        <v>2024</v>
      </c>
      <c r="AN203" s="250"/>
      <c r="AP203" t="str">
        <f>IF(BD_Bloqueados[[#This Row],[Analista ]]&lt;&gt;"Ana C",MID(BD_Bloqueados[[#This Row],[ID]],3,5),MID(BD_Bloqueados[[#This Row],[ID]],4,5))</f>
        <v>10924</v>
      </c>
      <c r="AQ203">
        <v>109</v>
      </c>
      <c r="AR203">
        <v>2024</v>
      </c>
      <c r="AS203" s="72">
        <v>45292</v>
      </c>
      <c r="AT203" s="72">
        <v>45400</v>
      </c>
      <c r="AU203">
        <v>4</v>
      </c>
    </row>
    <row r="204" spans="1:47">
      <c r="A204" t="s">
        <v>1767</v>
      </c>
      <c r="B204">
        <v>2</v>
      </c>
      <c r="C204" s="72">
        <v>45398</v>
      </c>
      <c r="D204">
        <v>17</v>
      </c>
      <c r="E204" s="173">
        <v>0.6875</v>
      </c>
      <c r="F204" t="s">
        <v>109</v>
      </c>
      <c r="G204" t="s">
        <v>29</v>
      </c>
      <c r="H204" t="s">
        <v>211</v>
      </c>
      <c r="I204" t="s">
        <v>190</v>
      </c>
      <c r="J204" t="s">
        <v>618</v>
      </c>
      <c r="K204" t="s">
        <v>1768</v>
      </c>
      <c r="L204" t="s">
        <v>108</v>
      </c>
      <c r="M204" t="s">
        <v>1029</v>
      </c>
      <c r="N204">
        <v>967555800</v>
      </c>
      <c r="O204" t="s">
        <v>215</v>
      </c>
      <c r="P204" s="154">
        <v>13030560</v>
      </c>
      <c r="Q204" t="s">
        <v>80</v>
      </c>
      <c r="R204" t="s">
        <v>589</v>
      </c>
      <c r="S204" t="s">
        <v>1769</v>
      </c>
      <c r="T204" t="s">
        <v>1770</v>
      </c>
      <c r="U204" t="s">
        <v>1771</v>
      </c>
      <c r="V204" t="s">
        <v>1772</v>
      </c>
      <c r="W204" t="s">
        <v>101</v>
      </c>
      <c r="X204" t="s">
        <v>156</v>
      </c>
      <c r="Y204" s="229">
        <v>1728</v>
      </c>
      <c r="Z204" s="176">
        <v>346851.83999999997</v>
      </c>
      <c r="AA204">
        <v>107</v>
      </c>
      <c r="AB204" t="s">
        <v>1669</v>
      </c>
      <c r="AC204" t="s">
        <v>1349</v>
      </c>
      <c r="AD204" s="199">
        <v>0.45</v>
      </c>
      <c r="AE204" s="199" t="s">
        <v>1374</v>
      </c>
      <c r="AF204" s="179">
        <v>0</v>
      </c>
      <c r="AG204" s="179">
        <v>0</v>
      </c>
      <c r="AH204" s="179">
        <v>0</v>
      </c>
      <c r="AI204" s="179">
        <v>90.325999999999993</v>
      </c>
      <c r="AJ204" s="179">
        <v>0</v>
      </c>
      <c r="AK204" s="179">
        <v>0</v>
      </c>
      <c r="AL204" s="305">
        <v>4</v>
      </c>
      <c r="AM204" s="306">
        <v>2024</v>
      </c>
      <c r="AN204" s="250"/>
      <c r="AP204" t="str">
        <f>IF(BD_Bloqueados[[#This Row],[Analista ]]&lt;&gt;"Ana C",MID(BD_Bloqueados[[#This Row],[ID]],3,5),MID(BD_Bloqueados[[#This Row],[ID]],4,5))</f>
        <v>10724</v>
      </c>
      <c r="AQ204">
        <v>109</v>
      </c>
      <c r="AR204">
        <v>2024</v>
      </c>
      <c r="AS204" s="72">
        <v>45292</v>
      </c>
      <c r="AT204" s="72">
        <v>45400</v>
      </c>
      <c r="AU204">
        <v>4</v>
      </c>
    </row>
    <row r="205" spans="1:47">
      <c r="A205" t="s">
        <v>1773</v>
      </c>
      <c r="B205">
        <v>2</v>
      </c>
      <c r="C205" s="72">
        <v>45630</v>
      </c>
      <c r="D205">
        <v>16</v>
      </c>
      <c r="E205" s="173">
        <v>3.472222222222222E-3</v>
      </c>
      <c r="F205" t="s">
        <v>136</v>
      </c>
      <c r="G205" t="s">
        <v>27</v>
      </c>
      <c r="H205" t="s">
        <v>189</v>
      </c>
      <c r="I205" t="s">
        <v>635</v>
      </c>
      <c r="J205" t="s">
        <v>588</v>
      </c>
      <c r="K205" t="s">
        <v>1450</v>
      </c>
      <c r="L205" t="s">
        <v>108</v>
      </c>
      <c r="M205" t="s">
        <v>1029</v>
      </c>
      <c r="N205">
        <v>967555800</v>
      </c>
      <c r="O205" t="s">
        <v>148</v>
      </c>
      <c r="P205" s="154">
        <v>13030495</v>
      </c>
      <c r="Q205" t="s">
        <v>185</v>
      </c>
      <c r="R205" t="s">
        <v>579</v>
      </c>
      <c r="S205" t="s">
        <v>1774</v>
      </c>
      <c r="T205" t="s">
        <v>1775</v>
      </c>
      <c r="U205" t="s">
        <v>1776</v>
      </c>
      <c r="V205" t="s">
        <v>1777</v>
      </c>
      <c r="W205" t="s">
        <v>101</v>
      </c>
      <c r="X205" t="s">
        <v>156</v>
      </c>
      <c r="Y205" s="229">
        <v>22</v>
      </c>
      <c r="Z205" s="176">
        <v>23952.117894736846</v>
      </c>
      <c r="AA205">
        <v>113</v>
      </c>
      <c r="AB205" t="s">
        <v>1400</v>
      </c>
      <c r="AC205" t="s">
        <v>1291</v>
      </c>
      <c r="AD205" s="199">
        <v>0.47499999999999998</v>
      </c>
      <c r="AE205" s="199" t="s">
        <v>1374</v>
      </c>
      <c r="AF205" s="179">
        <v>20.139000000000003</v>
      </c>
      <c r="AG205" s="179">
        <v>267.09699999999998</v>
      </c>
      <c r="AH205" s="179">
        <v>149.124</v>
      </c>
      <c r="AI205" s="179">
        <v>68.084999999999994</v>
      </c>
      <c r="AJ205" s="179">
        <v>12.702999999999999</v>
      </c>
      <c r="AK205" s="179">
        <v>0</v>
      </c>
      <c r="AL205" s="305">
        <v>4</v>
      </c>
      <c r="AM205" s="306">
        <v>2024</v>
      </c>
      <c r="AN205" s="250"/>
      <c r="AP205" t="str">
        <f>IF(BD_Bloqueados[[#This Row],[Analista ]]&lt;&gt;"Ana C",MID(BD_Bloqueados[[#This Row],[ID]],3,5),MID(BD_Bloqueados[[#This Row],[ID]],4,5))</f>
        <v>10324</v>
      </c>
      <c r="AQ205">
        <v>109</v>
      </c>
      <c r="AR205">
        <v>2024</v>
      </c>
      <c r="AS205" s="72">
        <v>45292</v>
      </c>
      <c r="AT205" s="72">
        <v>45400</v>
      </c>
      <c r="AU205">
        <v>4</v>
      </c>
    </row>
    <row r="206" spans="1:47">
      <c r="A206" t="s">
        <v>1778</v>
      </c>
      <c r="B206">
        <v>2</v>
      </c>
      <c r="C206" s="72">
        <v>45630</v>
      </c>
      <c r="D206">
        <v>16</v>
      </c>
      <c r="E206" s="173">
        <v>0.99305555555555558</v>
      </c>
      <c r="F206" t="s">
        <v>136</v>
      </c>
      <c r="G206" t="s">
        <v>27</v>
      </c>
      <c r="H206" t="s">
        <v>209</v>
      </c>
      <c r="I206" t="s">
        <v>635</v>
      </c>
      <c r="J206" t="s">
        <v>588</v>
      </c>
      <c r="K206" t="s">
        <v>1059</v>
      </c>
      <c r="L206" t="s">
        <v>108</v>
      </c>
      <c r="M206" t="s">
        <v>1029</v>
      </c>
      <c r="N206">
        <v>967555800</v>
      </c>
      <c r="O206" t="s">
        <v>99</v>
      </c>
      <c r="P206" s="154">
        <v>13001756</v>
      </c>
      <c r="Q206" t="s">
        <v>185</v>
      </c>
      <c r="R206" t="s">
        <v>579</v>
      </c>
      <c r="S206" t="s">
        <v>1779</v>
      </c>
      <c r="T206" t="s">
        <v>1318</v>
      </c>
      <c r="U206" t="s">
        <v>1780</v>
      </c>
      <c r="V206" t="s">
        <v>1781</v>
      </c>
      <c r="W206" t="s">
        <v>101</v>
      </c>
      <c r="X206" t="s">
        <v>1644</v>
      </c>
      <c r="Y206" s="229"/>
      <c r="Z206" s="176">
        <v>0</v>
      </c>
      <c r="AA206">
        <v>102</v>
      </c>
      <c r="AB206" t="s">
        <v>1400</v>
      </c>
      <c r="AC206" t="s">
        <v>1291</v>
      </c>
      <c r="AD206" s="199">
        <v>1</v>
      </c>
      <c r="AE206" s="199" t="s">
        <v>1292</v>
      </c>
      <c r="AF206" s="179">
        <v>16.402999999999999</v>
      </c>
      <c r="AG206" s="179">
        <v>118.822</v>
      </c>
      <c r="AH206" s="179">
        <v>0</v>
      </c>
      <c r="AI206" s="179">
        <v>210.989</v>
      </c>
      <c r="AJ206" s="179">
        <v>1.8180000000000001</v>
      </c>
      <c r="AK206" s="179">
        <v>0</v>
      </c>
      <c r="AL206" s="305">
        <v>4</v>
      </c>
      <c r="AM206" s="306">
        <v>2024</v>
      </c>
      <c r="AN206" s="250"/>
      <c r="AP206" t="str">
        <f>IF(BD_Bloqueados[[#This Row],[Analista ]]&lt;&gt;"Ana C",MID(BD_Bloqueados[[#This Row],[ID]],3,5),MID(BD_Bloqueados[[#This Row],[ID]],4,5))</f>
        <v>10324</v>
      </c>
      <c r="AQ206">
        <v>107</v>
      </c>
      <c r="AR206">
        <v>2024</v>
      </c>
      <c r="AS206" s="72">
        <v>45292</v>
      </c>
      <c r="AT206" s="72">
        <v>45398</v>
      </c>
      <c r="AU206">
        <v>4</v>
      </c>
    </row>
    <row r="207" spans="1:47">
      <c r="A207" t="s">
        <v>1788</v>
      </c>
      <c r="B207">
        <v>2</v>
      </c>
      <c r="C207" s="72">
        <v>45600</v>
      </c>
      <c r="D207">
        <v>16</v>
      </c>
      <c r="E207" s="173">
        <v>1.5972222222222224E-2</v>
      </c>
      <c r="F207" t="s">
        <v>136</v>
      </c>
      <c r="G207" t="s">
        <v>27</v>
      </c>
      <c r="H207" t="s">
        <v>209</v>
      </c>
      <c r="I207" t="s">
        <v>635</v>
      </c>
      <c r="J207" t="s">
        <v>588</v>
      </c>
      <c r="K207" t="s">
        <v>1059</v>
      </c>
      <c r="L207" t="s">
        <v>108</v>
      </c>
      <c r="M207" t="s">
        <v>1029</v>
      </c>
      <c r="N207">
        <v>967555800</v>
      </c>
      <c r="O207" t="s">
        <v>154</v>
      </c>
      <c r="P207" s="154">
        <v>13030471</v>
      </c>
      <c r="Q207" t="s">
        <v>185</v>
      </c>
      <c r="R207" t="s">
        <v>579</v>
      </c>
      <c r="S207" t="s">
        <v>1789</v>
      </c>
      <c r="T207" t="s">
        <v>1433</v>
      </c>
      <c r="U207" t="s">
        <v>1790</v>
      </c>
      <c r="V207" t="s">
        <v>1791</v>
      </c>
      <c r="W207" t="s">
        <v>101</v>
      </c>
      <c r="X207" t="s">
        <v>156</v>
      </c>
      <c r="Y207" s="229">
        <v>40</v>
      </c>
      <c r="Z207" s="176">
        <v>20168</v>
      </c>
      <c r="AA207">
        <v>101</v>
      </c>
      <c r="AB207" t="s">
        <v>1400</v>
      </c>
      <c r="AC207" t="s">
        <v>1291</v>
      </c>
      <c r="AD207" s="199">
        <v>1</v>
      </c>
      <c r="AE207" s="199" t="s">
        <v>1292</v>
      </c>
      <c r="AF207" s="179">
        <v>17.3</v>
      </c>
      <c r="AG207" s="179">
        <v>132.4</v>
      </c>
      <c r="AH207" s="179">
        <v>339.6</v>
      </c>
      <c r="AI207" s="179">
        <v>14.9</v>
      </c>
      <c r="AJ207" s="179">
        <v>0</v>
      </c>
      <c r="AK207" s="179">
        <v>0</v>
      </c>
      <c r="AL207" s="305">
        <v>4</v>
      </c>
      <c r="AM207" s="306">
        <v>2024</v>
      </c>
      <c r="AN207" s="250"/>
      <c r="AP207" t="str">
        <f>IF(BD_Bloqueados[[#This Row],[Analista ]]&lt;&gt;"Ana C",MID(BD_Bloqueados[[#This Row],[ID]],3,5),MID(BD_Bloqueados[[#This Row],[ID]],4,5))</f>
        <v>10224</v>
      </c>
      <c r="AQ207">
        <v>103</v>
      </c>
      <c r="AR207">
        <v>2024</v>
      </c>
      <c r="AS207" s="72">
        <v>45292</v>
      </c>
      <c r="AT207" s="72">
        <v>45394</v>
      </c>
      <c r="AU207">
        <v>4</v>
      </c>
    </row>
    <row r="208" spans="1:47">
      <c r="A208" t="s">
        <v>1797</v>
      </c>
      <c r="B208">
        <v>2</v>
      </c>
      <c r="C208" s="72">
        <v>45600</v>
      </c>
      <c r="D208">
        <v>16</v>
      </c>
      <c r="E208" s="173">
        <v>0.875</v>
      </c>
      <c r="F208" t="s">
        <v>136</v>
      </c>
      <c r="G208" t="s">
        <v>23</v>
      </c>
      <c r="H208" t="s">
        <v>164</v>
      </c>
      <c r="I208" t="s">
        <v>143</v>
      </c>
      <c r="J208" t="s">
        <v>644</v>
      </c>
      <c r="K208" t="s">
        <v>1798</v>
      </c>
      <c r="L208" t="s">
        <v>108</v>
      </c>
      <c r="M208" t="s">
        <v>1029</v>
      </c>
      <c r="N208">
        <v>967555800</v>
      </c>
      <c r="O208" t="s">
        <v>285</v>
      </c>
      <c r="P208" s="154">
        <v>13030597</v>
      </c>
      <c r="Q208" t="s">
        <v>206</v>
      </c>
      <c r="R208" t="s">
        <v>584</v>
      </c>
      <c r="S208" t="s">
        <v>1799</v>
      </c>
      <c r="T208" t="s">
        <v>1800</v>
      </c>
      <c r="U208" t="s">
        <v>1801</v>
      </c>
      <c r="V208" t="s">
        <v>1802</v>
      </c>
      <c r="W208" t="s">
        <v>101</v>
      </c>
      <c r="X208" t="s">
        <v>1593</v>
      </c>
      <c r="Y208" s="229"/>
      <c r="Z208" s="176">
        <v>0</v>
      </c>
      <c r="AA208">
        <v>101</v>
      </c>
      <c r="AB208" t="s">
        <v>1407</v>
      </c>
      <c r="AC208" t="s">
        <v>1349</v>
      </c>
      <c r="AD208" s="199">
        <v>1</v>
      </c>
      <c r="AE208" s="199" t="s">
        <v>1292</v>
      </c>
      <c r="AF208" s="179">
        <v>486</v>
      </c>
      <c r="AG208" s="179">
        <v>0</v>
      </c>
      <c r="AH208" s="179">
        <v>0</v>
      </c>
      <c r="AI208" s="179">
        <v>0</v>
      </c>
      <c r="AJ208" s="179">
        <v>0</v>
      </c>
      <c r="AK208" s="179"/>
      <c r="AL208" s="305">
        <v>4</v>
      </c>
      <c r="AM208" s="306">
        <v>2024</v>
      </c>
      <c r="AN208" s="250"/>
      <c r="AP208" t="str">
        <f>IF(BD_Bloqueados[[#This Row],[Analista ]]&lt;&gt;"Ana C",MID(BD_Bloqueados[[#This Row],[ID]],3,5),MID(BD_Bloqueados[[#This Row],[ID]],4,5))</f>
        <v>10224</v>
      </c>
      <c r="AQ208">
        <v>103</v>
      </c>
      <c r="AR208">
        <v>2024</v>
      </c>
      <c r="AS208" s="72">
        <v>45292</v>
      </c>
      <c r="AT208" s="72">
        <v>45394</v>
      </c>
      <c r="AU208">
        <v>4</v>
      </c>
    </row>
    <row r="209" spans="1:47">
      <c r="A209" t="s">
        <v>1862</v>
      </c>
      <c r="B209">
        <v>2</v>
      </c>
      <c r="C209" s="72">
        <v>45569</v>
      </c>
      <c r="D209">
        <v>16</v>
      </c>
      <c r="E209" s="173">
        <v>0.41666666666666669</v>
      </c>
      <c r="F209" t="s">
        <v>78</v>
      </c>
      <c r="G209" t="s">
        <v>23</v>
      </c>
      <c r="H209" t="s">
        <v>164</v>
      </c>
      <c r="I209" t="s">
        <v>615</v>
      </c>
      <c r="J209" t="s">
        <v>603</v>
      </c>
      <c r="K209" t="s">
        <v>1863</v>
      </c>
      <c r="L209" t="s">
        <v>108</v>
      </c>
      <c r="M209" t="s">
        <v>1029</v>
      </c>
      <c r="N209">
        <v>967555800</v>
      </c>
      <c r="O209" t="s">
        <v>122</v>
      </c>
      <c r="P209" s="154">
        <v>12001446</v>
      </c>
      <c r="Q209" t="s">
        <v>206</v>
      </c>
      <c r="R209" t="s">
        <v>578</v>
      </c>
      <c r="S209" t="s">
        <v>1864</v>
      </c>
      <c r="T209" t="s">
        <v>1865</v>
      </c>
      <c r="U209" t="s">
        <v>1866</v>
      </c>
      <c r="V209" t="s">
        <v>1867</v>
      </c>
      <c r="W209" t="s">
        <v>101</v>
      </c>
      <c r="X209" t="s">
        <v>129</v>
      </c>
      <c r="Y209" s="229">
        <v>2851</v>
      </c>
      <c r="Z209" s="176">
        <v>0</v>
      </c>
      <c r="AA209">
        <v>101</v>
      </c>
      <c r="AD209" s="199"/>
      <c r="AE209" s="199"/>
      <c r="AF209" s="179"/>
      <c r="AG209" s="179"/>
      <c r="AH209" s="179"/>
      <c r="AI209" s="179"/>
      <c r="AJ209" s="179"/>
      <c r="AK209" s="179"/>
      <c r="AL209" s="305">
        <v>4</v>
      </c>
      <c r="AM209" s="306">
        <v>2024</v>
      </c>
      <c r="AN209" s="250"/>
      <c r="AP209" t="str">
        <f>IF(BD_Bloqueados[[#This Row],[Analista ]]&lt;&gt;"Ana C",MID(BD_Bloqueados[[#This Row],[ID]],3,5),MID(BD_Bloqueados[[#This Row],[ID]],4,5))</f>
        <v>10124</v>
      </c>
      <c r="AQ209">
        <v>276</v>
      </c>
      <c r="AR209">
        <v>2022</v>
      </c>
      <c r="AS209" s="72">
        <v>44562</v>
      </c>
      <c r="AT209" s="72">
        <v>44837</v>
      </c>
      <c r="AU209">
        <v>10</v>
      </c>
    </row>
    <row r="210" spans="1:47">
      <c r="A210" t="s">
        <v>4700</v>
      </c>
      <c r="B210">
        <v>2</v>
      </c>
      <c r="C210" s="308">
        <v>45539</v>
      </c>
      <c r="D210">
        <v>37</v>
      </c>
      <c r="E210" s="173">
        <v>0.64583333333333337</v>
      </c>
      <c r="F210" t="s">
        <v>109</v>
      </c>
      <c r="G210" t="s">
        <v>24</v>
      </c>
      <c r="H210" t="s">
        <v>188</v>
      </c>
      <c r="I210" t="s">
        <v>259</v>
      </c>
      <c r="J210" t="s">
        <v>607</v>
      </c>
      <c r="K210" t="s">
        <v>4696</v>
      </c>
      <c r="L210" t="s">
        <v>108</v>
      </c>
      <c r="M210" t="s">
        <v>1029</v>
      </c>
      <c r="N210">
        <v>967555800</v>
      </c>
      <c r="O210" t="s">
        <v>95</v>
      </c>
      <c r="P210" s="154">
        <v>12001398</v>
      </c>
      <c r="Q210" t="s">
        <v>80</v>
      </c>
      <c r="R210" t="s">
        <v>608</v>
      </c>
      <c r="S210" t="s">
        <v>4695</v>
      </c>
      <c r="T210" t="s">
        <v>4698</v>
      </c>
      <c r="U210" t="s">
        <v>4697</v>
      </c>
      <c r="V210" t="s">
        <v>4699</v>
      </c>
      <c r="W210" t="s">
        <v>101</v>
      </c>
      <c r="X210" t="s">
        <v>129</v>
      </c>
      <c r="Y210" s="229">
        <v>2175</v>
      </c>
      <c r="Z210" s="176"/>
      <c r="AA210">
        <v>248</v>
      </c>
      <c r="AD210" s="199"/>
      <c r="AE210" s="199"/>
      <c r="AF210" s="179"/>
      <c r="AG210" s="179"/>
      <c r="AH210" s="179"/>
      <c r="AI210" s="179"/>
      <c r="AJ210" s="179"/>
      <c r="AK210" s="179"/>
      <c r="AL210" s="305">
        <v>4</v>
      </c>
      <c r="AM210" s="306">
        <v>2024</v>
      </c>
      <c r="AN210" s="250"/>
      <c r="AP210" t="str">
        <f>IF(BD_Bloqueados[[#This Row],[Analista ]]&lt;&gt;"Ana C",MID(BD_Bloqueados[[#This Row],[ID]],3,5),MID(BD_Bloqueados[[#This Row],[ID]],4,5))</f>
        <v>24824</v>
      </c>
      <c r="AQ210">
        <v>102</v>
      </c>
      <c r="AR210">
        <v>2024</v>
      </c>
      <c r="AS210" s="72">
        <v>45292</v>
      </c>
      <c r="AT210" s="72">
        <v>45393</v>
      </c>
      <c r="AU210">
        <v>4</v>
      </c>
    </row>
    <row r="211" spans="1:47" ht="15.5">
      <c r="A211" t="s">
        <v>1824</v>
      </c>
      <c r="B211">
        <v>2</v>
      </c>
      <c r="C211" s="72">
        <v>45539</v>
      </c>
      <c r="D211">
        <v>16</v>
      </c>
      <c r="E211" s="173">
        <v>0.90902777777777777</v>
      </c>
      <c r="F211" t="s">
        <v>136</v>
      </c>
      <c r="G211" t="s">
        <v>29</v>
      </c>
      <c r="H211" t="s">
        <v>83</v>
      </c>
      <c r="I211" t="s">
        <v>259</v>
      </c>
      <c r="J211" t="s">
        <v>588</v>
      </c>
      <c r="K211" t="s">
        <v>1825</v>
      </c>
      <c r="L211" t="s">
        <v>77</v>
      </c>
      <c r="M211" t="s">
        <v>681</v>
      </c>
      <c r="N211">
        <v>96506730</v>
      </c>
      <c r="O211" t="s">
        <v>857</v>
      </c>
      <c r="P211" s="154">
        <v>10004343</v>
      </c>
      <c r="Q211" t="s">
        <v>80</v>
      </c>
      <c r="R211" t="s">
        <v>1826</v>
      </c>
      <c r="S211" t="s">
        <v>1827</v>
      </c>
      <c r="T211" t="s">
        <v>1828</v>
      </c>
      <c r="U211" t="s">
        <v>1829</v>
      </c>
      <c r="V211" t="s">
        <v>1830</v>
      </c>
      <c r="W211" t="s">
        <v>101</v>
      </c>
      <c r="X211" t="s">
        <v>1718</v>
      </c>
      <c r="Y211" s="275">
        <v>125</v>
      </c>
      <c r="Z211" s="176">
        <v>0</v>
      </c>
      <c r="AA211" t="s">
        <v>1831</v>
      </c>
      <c r="AD211" s="199"/>
      <c r="AE211" s="199"/>
      <c r="AF211" s="179"/>
      <c r="AG211" s="179"/>
      <c r="AH211" s="179"/>
      <c r="AI211" s="179"/>
      <c r="AJ211" s="179"/>
      <c r="AK211" s="179"/>
      <c r="AL211" s="305">
        <v>4</v>
      </c>
      <c r="AM211" s="306">
        <v>2024</v>
      </c>
      <c r="AN211" s="250"/>
      <c r="AP211" t="str">
        <f>IF(BD_Bloqueados[[#This Row],[Analista ]]&lt;&gt;"Ana C",MID(BD_Bloqueados[[#This Row],[ID]],3,5),MID(BD_Bloqueados[[#This Row],[ID]],4,5))</f>
        <v>10024</v>
      </c>
      <c r="AQ211">
        <v>93</v>
      </c>
      <c r="AR211">
        <v>2024</v>
      </c>
      <c r="AS211" s="72">
        <v>45292</v>
      </c>
      <c r="AT211" s="72">
        <v>45384</v>
      </c>
      <c r="AU211">
        <v>4</v>
      </c>
    </row>
    <row r="212" spans="1:47">
      <c r="A212" t="s">
        <v>1868</v>
      </c>
      <c r="B212">
        <v>2</v>
      </c>
      <c r="C212" s="72">
        <v>45539</v>
      </c>
      <c r="D212">
        <v>16</v>
      </c>
      <c r="E212" s="173">
        <v>0.70833333333333337</v>
      </c>
      <c r="F212" t="s">
        <v>109</v>
      </c>
      <c r="G212" t="s">
        <v>29</v>
      </c>
      <c r="H212" t="s">
        <v>211</v>
      </c>
      <c r="I212" t="s">
        <v>645</v>
      </c>
      <c r="J212" t="s">
        <v>595</v>
      </c>
      <c r="K212" t="s">
        <v>1869</v>
      </c>
      <c r="L212" t="s">
        <v>108</v>
      </c>
      <c r="M212" t="s">
        <v>1029</v>
      </c>
      <c r="N212">
        <v>967555800</v>
      </c>
      <c r="O212" t="s">
        <v>818</v>
      </c>
      <c r="P212" s="154">
        <v>13030606</v>
      </c>
      <c r="Q212" t="s">
        <v>80</v>
      </c>
      <c r="R212" t="s">
        <v>589</v>
      </c>
      <c r="S212" t="s">
        <v>1870</v>
      </c>
      <c r="T212" t="s">
        <v>1871</v>
      </c>
      <c r="U212" t="s">
        <v>1872</v>
      </c>
      <c r="V212" t="s">
        <v>1873</v>
      </c>
      <c r="W212" t="s">
        <v>101</v>
      </c>
      <c r="X212" t="s">
        <v>156</v>
      </c>
      <c r="Y212" s="229">
        <v>1658</v>
      </c>
      <c r="Z212" s="176">
        <v>498704.29333333328</v>
      </c>
      <c r="AA212">
        <v>100</v>
      </c>
      <c r="AB212" t="s">
        <v>1491</v>
      </c>
      <c r="AC212" t="s">
        <v>1252</v>
      </c>
      <c r="AD212" s="199">
        <v>0.30000000000000004</v>
      </c>
      <c r="AE212" s="199" t="s">
        <v>1292</v>
      </c>
      <c r="AF212" s="179">
        <v>0</v>
      </c>
      <c r="AG212" s="179">
        <v>0</v>
      </c>
      <c r="AH212" s="179">
        <v>0</v>
      </c>
      <c r="AI212" s="179">
        <v>90.236000000000004</v>
      </c>
      <c r="AJ212" s="179">
        <v>0</v>
      </c>
      <c r="AK212" s="179">
        <v>0</v>
      </c>
      <c r="AL212" s="305">
        <v>4</v>
      </c>
      <c r="AM212" s="306">
        <v>2024</v>
      </c>
      <c r="AN212" s="250" t="s">
        <v>1283</v>
      </c>
      <c r="AP212" t="str">
        <f>IF(BD_Bloqueados[[#This Row],[Analista ]]&lt;&gt;"Ana C",MID(BD_Bloqueados[[#This Row],[ID]],3,5),MID(BD_Bloqueados[[#This Row],[ID]],4,5))</f>
        <v>10024</v>
      </c>
      <c r="AQ212">
        <v>102</v>
      </c>
      <c r="AR212">
        <v>2024</v>
      </c>
      <c r="AS212" s="72">
        <v>45292</v>
      </c>
      <c r="AT212" s="72">
        <v>45393</v>
      </c>
      <c r="AU212">
        <v>4</v>
      </c>
    </row>
    <row r="213" spans="1:47">
      <c r="A213" t="s">
        <v>1852</v>
      </c>
      <c r="B213">
        <v>2</v>
      </c>
      <c r="C213" s="72">
        <v>45539</v>
      </c>
      <c r="D213">
        <v>16</v>
      </c>
      <c r="E213" s="173">
        <v>0.12847222222222224</v>
      </c>
      <c r="F213" t="s">
        <v>136</v>
      </c>
      <c r="G213" t="s">
        <v>27</v>
      </c>
      <c r="H213" t="s">
        <v>189</v>
      </c>
      <c r="I213" t="s">
        <v>635</v>
      </c>
      <c r="J213" t="s">
        <v>588</v>
      </c>
      <c r="K213" t="s">
        <v>1450</v>
      </c>
      <c r="L213" t="s">
        <v>108</v>
      </c>
      <c r="M213" t="s">
        <v>1029</v>
      </c>
      <c r="N213">
        <v>967555800</v>
      </c>
      <c r="O213" t="s">
        <v>253</v>
      </c>
      <c r="P213" s="154">
        <v>13030191</v>
      </c>
      <c r="Q213" t="s">
        <v>185</v>
      </c>
      <c r="R213" t="s">
        <v>579</v>
      </c>
      <c r="S213" t="s">
        <v>1853</v>
      </c>
      <c r="T213" t="s">
        <v>1854</v>
      </c>
      <c r="U213" t="s">
        <v>1855</v>
      </c>
      <c r="V213" t="s">
        <v>1777</v>
      </c>
      <c r="W213" t="s">
        <v>101</v>
      </c>
      <c r="X213" t="s">
        <v>156</v>
      </c>
      <c r="Y213" s="229">
        <v>230.3</v>
      </c>
      <c r="Z213" s="176">
        <v>192327.16631578951</v>
      </c>
      <c r="AA213">
        <v>100</v>
      </c>
      <c r="AB213" t="s">
        <v>1400</v>
      </c>
      <c r="AC213" t="s">
        <v>1252</v>
      </c>
      <c r="AD213" s="199">
        <v>0.47499999999999998</v>
      </c>
      <c r="AE213" s="199" t="s">
        <v>1374</v>
      </c>
      <c r="AF213" s="179">
        <v>19.18</v>
      </c>
      <c r="AG213" s="179">
        <v>286.60000000000002</v>
      </c>
      <c r="AH213" s="179">
        <v>0</v>
      </c>
      <c r="AI213" s="179">
        <v>79.5</v>
      </c>
      <c r="AJ213" s="179">
        <v>11.4</v>
      </c>
      <c r="AK213" s="179">
        <v>0</v>
      </c>
      <c r="AL213" s="305">
        <v>4</v>
      </c>
      <c r="AM213" s="306">
        <v>2024</v>
      </c>
      <c r="AN213" s="250" t="s">
        <v>1856</v>
      </c>
      <c r="AP213" t="str">
        <f>IF(BD_Bloqueados[[#This Row],[Analista ]]&lt;&gt;"Ana C",MID(BD_Bloqueados[[#This Row],[ID]],3,5),MID(BD_Bloqueados[[#This Row],[ID]],4,5))</f>
        <v>10024</v>
      </c>
      <c r="AQ213">
        <v>11</v>
      </c>
      <c r="AR213">
        <v>2024</v>
      </c>
      <c r="AS213" s="72">
        <v>45292</v>
      </c>
      <c r="AT213" s="72">
        <v>45302</v>
      </c>
      <c r="AU213">
        <v>1</v>
      </c>
    </row>
    <row r="214" spans="1:47">
      <c r="A214" t="s">
        <v>1857</v>
      </c>
      <c r="B214">
        <v>2</v>
      </c>
      <c r="C214" s="72">
        <v>45539</v>
      </c>
      <c r="D214">
        <v>16</v>
      </c>
      <c r="E214" s="173">
        <v>0.9902777777777777</v>
      </c>
      <c r="F214" t="s">
        <v>136</v>
      </c>
      <c r="G214" t="s">
        <v>27</v>
      </c>
      <c r="H214" t="s">
        <v>209</v>
      </c>
      <c r="I214" t="s">
        <v>635</v>
      </c>
      <c r="J214" t="s">
        <v>588</v>
      </c>
      <c r="K214" t="s">
        <v>1059</v>
      </c>
      <c r="L214" t="s">
        <v>108</v>
      </c>
      <c r="M214" t="s">
        <v>1029</v>
      </c>
      <c r="N214">
        <v>967555800</v>
      </c>
      <c r="O214" t="s">
        <v>154</v>
      </c>
      <c r="P214" s="154">
        <v>13030471</v>
      </c>
      <c r="Q214" t="s">
        <v>138</v>
      </c>
      <c r="R214" t="s">
        <v>589</v>
      </c>
      <c r="S214" t="s">
        <v>1858</v>
      </c>
      <c r="T214" t="s">
        <v>1859</v>
      </c>
      <c r="U214" t="s">
        <v>1860</v>
      </c>
      <c r="V214" t="s">
        <v>1861</v>
      </c>
      <c r="W214" t="s">
        <v>101</v>
      </c>
      <c r="X214" t="s">
        <v>156</v>
      </c>
      <c r="Y214" s="229">
        <v>280</v>
      </c>
      <c r="Z214" s="176">
        <v>141157.24</v>
      </c>
      <c r="AA214">
        <v>99</v>
      </c>
      <c r="AB214" t="s">
        <v>1290</v>
      </c>
      <c r="AC214" t="s">
        <v>1686</v>
      </c>
      <c r="AD214" s="199">
        <v>1</v>
      </c>
      <c r="AE214" s="199" t="s">
        <v>1292</v>
      </c>
      <c r="AF214" s="179">
        <v>17.276</v>
      </c>
      <c r="AG214" s="179">
        <v>132.40299999999999</v>
      </c>
      <c r="AH214" s="179">
        <v>0</v>
      </c>
      <c r="AI214" s="179">
        <v>339.57799999999997</v>
      </c>
      <c r="AJ214" s="179">
        <v>14.875999999999999</v>
      </c>
      <c r="AK214" s="179">
        <v>0</v>
      </c>
      <c r="AL214" s="305">
        <v>4</v>
      </c>
      <c r="AM214" s="306">
        <v>2024</v>
      </c>
      <c r="AN214" s="250"/>
      <c r="AP214" t="str">
        <f>IF(BD_Bloqueados[[#This Row],[Analista ]]&lt;&gt;"Ana C",MID(BD_Bloqueados[[#This Row],[ID]],3,5),MID(BD_Bloqueados[[#This Row],[ID]],4,5))</f>
        <v>10024</v>
      </c>
      <c r="AQ214">
        <v>291</v>
      </c>
      <c r="AR214">
        <v>2022</v>
      </c>
      <c r="AS214" s="72">
        <v>44562</v>
      </c>
      <c r="AT214" s="72">
        <v>44852</v>
      </c>
      <c r="AU214">
        <v>10</v>
      </c>
    </row>
    <row r="215" spans="1:47">
      <c r="A215" t="s">
        <v>1874</v>
      </c>
      <c r="B215">
        <v>2</v>
      </c>
      <c r="C215" s="72">
        <v>45508</v>
      </c>
      <c r="D215">
        <v>16</v>
      </c>
      <c r="E215" s="173">
        <v>0.52777777777777779</v>
      </c>
      <c r="F215" t="s">
        <v>78</v>
      </c>
      <c r="G215" t="s">
        <v>26</v>
      </c>
      <c r="H215" t="s">
        <v>139</v>
      </c>
      <c r="I215" t="s">
        <v>87</v>
      </c>
      <c r="J215" t="s">
        <v>603</v>
      </c>
      <c r="K215" t="s">
        <v>1875</v>
      </c>
      <c r="L215" t="s">
        <v>108</v>
      </c>
      <c r="M215" t="s">
        <v>1029</v>
      </c>
      <c r="N215">
        <v>967555800</v>
      </c>
      <c r="O215" t="s">
        <v>125</v>
      </c>
      <c r="P215" s="154">
        <v>13030301</v>
      </c>
      <c r="Q215" t="s">
        <v>138</v>
      </c>
      <c r="R215" t="s">
        <v>79</v>
      </c>
      <c r="S215" t="s">
        <v>1876</v>
      </c>
      <c r="T215" t="s">
        <v>1877</v>
      </c>
      <c r="U215" t="s">
        <v>1878</v>
      </c>
      <c r="V215" t="s">
        <v>1879</v>
      </c>
      <c r="W215" t="s">
        <v>101</v>
      </c>
      <c r="X215" t="s">
        <v>129</v>
      </c>
      <c r="Y215" s="229">
        <v>981.5</v>
      </c>
      <c r="Z215" s="176">
        <v>487570.9215</v>
      </c>
      <c r="AA215">
        <v>99</v>
      </c>
      <c r="AB215" t="s">
        <v>1880</v>
      </c>
      <c r="AC215" t="s">
        <v>1252</v>
      </c>
      <c r="AD215" s="199">
        <v>1</v>
      </c>
      <c r="AE215" s="199" t="s">
        <v>1292</v>
      </c>
      <c r="AF215" s="179">
        <v>395.67899999999997</v>
      </c>
      <c r="AG215" s="179">
        <v>2.976</v>
      </c>
      <c r="AH215" s="179">
        <v>0</v>
      </c>
      <c r="AI215" s="179">
        <v>35.125</v>
      </c>
      <c r="AJ215" s="179">
        <v>38.335999999999999</v>
      </c>
      <c r="AK215" s="179">
        <v>24.645</v>
      </c>
      <c r="AL215" s="305">
        <v>4</v>
      </c>
      <c r="AM215" s="306">
        <v>2024</v>
      </c>
      <c r="AN215" s="250" t="s">
        <v>1881</v>
      </c>
      <c r="AP215" t="str">
        <f>IF(BD_Bloqueados[[#This Row],[Analista ]]&lt;&gt;"Ana C",MID(BD_Bloqueados[[#This Row],[ID]],3,5),MID(BD_Bloqueados[[#This Row],[ID]],4,5))</f>
        <v>09924</v>
      </c>
      <c r="AQ215">
        <v>335</v>
      </c>
      <c r="AR215">
        <v>2022</v>
      </c>
      <c r="AS215" s="72">
        <v>44562</v>
      </c>
      <c r="AT215" s="72">
        <v>44896</v>
      </c>
      <c r="AU215">
        <v>12</v>
      </c>
    </row>
    <row r="216" spans="1:47">
      <c r="A216" t="s">
        <v>1882</v>
      </c>
      <c r="B216">
        <v>2</v>
      </c>
      <c r="C216" s="72">
        <v>45447</v>
      </c>
      <c r="D216">
        <v>15</v>
      </c>
      <c r="E216" s="173">
        <v>0.41388888888888886</v>
      </c>
      <c r="F216" t="s">
        <v>78</v>
      </c>
      <c r="G216" t="s">
        <v>27</v>
      </c>
      <c r="H216" t="s">
        <v>209</v>
      </c>
      <c r="I216" t="s">
        <v>635</v>
      </c>
      <c r="J216" t="s">
        <v>169</v>
      </c>
      <c r="K216" t="s">
        <v>1059</v>
      </c>
      <c r="L216" t="s">
        <v>108</v>
      </c>
      <c r="M216" t="s">
        <v>1029</v>
      </c>
      <c r="N216">
        <v>967555800</v>
      </c>
      <c r="O216" t="s">
        <v>99</v>
      </c>
      <c r="P216" s="154">
        <v>13001756</v>
      </c>
      <c r="Q216" t="s">
        <v>185</v>
      </c>
      <c r="R216" t="s">
        <v>579</v>
      </c>
      <c r="S216" t="s">
        <v>1883</v>
      </c>
      <c r="T216" t="s">
        <v>1884</v>
      </c>
      <c r="U216" t="s">
        <v>1885</v>
      </c>
      <c r="V216" t="s">
        <v>1886</v>
      </c>
      <c r="W216" t="s">
        <v>101</v>
      </c>
      <c r="X216" t="s">
        <v>1644</v>
      </c>
      <c r="Y216" s="229"/>
      <c r="Z216" s="176">
        <v>0</v>
      </c>
      <c r="AA216">
        <v>96</v>
      </c>
      <c r="AB216" t="s">
        <v>1400</v>
      </c>
      <c r="AC216" t="s">
        <v>1291</v>
      </c>
      <c r="AD216" s="199">
        <v>1</v>
      </c>
      <c r="AE216" s="199" t="s">
        <v>1292</v>
      </c>
      <c r="AF216" s="179">
        <v>16.399999999999999</v>
      </c>
      <c r="AG216" s="179">
        <v>118.82</v>
      </c>
      <c r="AH216" s="179">
        <v>0</v>
      </c>
      <c r="AI216" s="179">
        <v>210.989</v>
      </c>
      <c r="AJ216" s="179">
        <v>1.82</v>
      </c>
      <c r="AK216" s="179">
        <v>0</v>
      </c>
      <c r="AL216" s="305">
        <v>4</v>
      </c>
      <c r="AM216" s="306">
        <v>2024</v>
      </c>
      <c r="AN216" s="250"/>
      <c r="AP216" t="str">
        <f>IF(BD_Bloqueados[[#This Row],[Analista ]]&lt;&gt;"Ana C",MID(BD_Bloqueados[[#This Row],[ID]],3,5),MID(BD_Bloqueados[[#This Row],[ID]],4,5))</f>
        <v>09724</v>
      </c>
      <c r="AQ216">
        <v>335</v>
      </c>
      <c r="AR216">
        <v>2022</v>
      </c>
      <c r="AS216" s="72">
        <v>44562</v>
      </c>
      <c r="AT216" s="72">
        <v>44896</v>
      </c>
      <c r="AU216">
        <v>12</v>
      </c>
    </row>
    <row r="217" spans="1:47">
      <c r="A217" t="s">
        <v>1894</v>
      </c>
      <c r="B217">
        <v>2</v>
      </c>
      <c r="C217" s="72">
        <v>45447</v>
      </c>
      <c r="D217">
        <v>15</v>
      </c>
      <c r="E217" s="173">
        <v>0.37916666666666665</v>
      </c>
      <c r="F217" t="s">
        <v>78</v>
      </c>
      <c r="G217" t="s">
        <v>29</v>
      </c>
      <c r="H217" t="s">
        <v>83</v>
      </c>
      <c r="I217" t="s">
        <v>259</v>
      </c>
      <c r="J217" t="s">
        <v>588</v>
      </c>
      <c r="K217" t="s">
        <v>1895</v>
      </c>
      <c r="L217" t="s">
        <v>77</v>
      </c>
      <c r="M217" t="s">
        <v>681</v>
      </c>
      <c r="N217">
        <v>96506730</v>
      </c>
      <c r="O217" t="s">
        <v>857</v>
      </c>
      <c r="P217" s="154">
        <v>10004343</v>
      </c>
      <c r="Q217" t="s">
        <v>80</v>
      </c>
      <c r="R217" t="s">
        <v>1826</v>
      </c>
      <c r="S217" t="s">
        <v>1896</v>
      </c>
      <c r="T217" t="s">
        <v>1828</v>
      </c>
      <c r="U217" t="s">
        <v>1897</v>
      </c>
      <c r="V217" t="s">
        <v>1830</v>
      </c>
      <c r="W217" t="s">
        <v>101</v>
      </c>
      <c r="X217" t="s">
        <v>1718</v>
      </c>
      <c r="Y217" s="274">
        <v>214.2</v>
      </c>
      <c r="Z217" s="176">
        <v>0</v>
      </c>
      <c r="AA217" t="s">
        <v>1898</v>
      </c>
      <c r="AD217" s="199"/>
      <c r="AE217" s="199"/>
      <c r="AF217" s="179"/>
      <c r="AG217" s="179"/>
      <c r="AH217" s="179"/>
      <c r="AI217" s="179"/>
      <c r="AJ217" s="179"/>
      <c r="AK217" s="179"/>
      <c r="AL217" s="305">
        <v>4</v>
      </c>
      <c r="AM217" s="306">
        <v>2024</v>
      </c>
      <c r="AN217" s="250"/>
      <c r="AP217" t="str">
        <f>IF(BD_Bloqueados[[#This Row],[Analista ]]&lt;&gt;"Ana C",MID(BD_Bloqueados[[#This Row],[ID]],3,5),MID(BD_Bloqueados[[#This Row],[ID]],4,5))</f>
        <v>09724</v>
      </c>
      <c r="AQ217">
        <v>100</v>
      </c>
      <c r="AR217">
        <v>2024</v>
      </c>
      <c r="AS217" s="72">
        <v>45292</v>
      </c>
      <c r="AT217" s="72">
        <v>45391</v>
      </c>
      <c r="AU217">
        <v>4</v>
      </c>
    </row>
    <row r="218" spans="1:47">
      <c r="A218" t="s">
        <v>1887</v>
      </c>
      <c r="B218">
        <v>2</v>
      </c>
      <c r="C218" s="72">
        <v>45416</v>
      </c>
      <c r="D218">
        <v>15</v>
      </c>
      <c r="E218" s="173">
        <v>0.71666666666666667</v>
      </c>
      <c r="F218" t="s">
        <v>109</v>
      </c>
      <c r="G218" t="s">
        <v>26</v>
      </c>
      <c r="H218" t="s">
        <v>165</v>
      </c>
      <c r="I218" t="s">
        <v>212</v>
      </c>
      <c r="J218" t="s">
        <v>567</v>
      </c>
      <c r="K218" t="s">
        <v>1863</v>
      </c>
      <c r="L218" t="s">
        <v>108</v>
      </c>
      <c r="M218" t="s">
        <v>1029</v>
      </c>
      <c r="N218">
        <v>967555800</v>
      </c>
      <c r="O218" t="s">
        <v>753</v>
      </c>
      <c r="P218" s="154">
        <v>13030301</v>
      </c>
      <c r="Q218" t="s">
        <v>80</v>
      </c>
      <c r="R218" t="s">
        <v>619</v>
      </c>
      <c r="S218" t="s">
        <v>1888</v>
      </c>
      <c r="T218" t="s">
        <v>1889</v>
      </c>
      <c r="U218" t="s">
        <v>1890</v>
      </c>
      <c r="V218" t="s">
        <v>1891</v>
      </c>
      <c r="W218" t="s">
        <v>101</v>
      </c>
      <c r="X218" t="s">
        <v>156</v>
      </c>
      <c r="Y218" s="229">
        <v>1890</v>
      </c>
      <c r="Z218" s="176">
        <v>200888.1</v>
      </c>
      <c r="AA218">
        <v>96</v>
      </c>
      <c r="AB218" t="s">
        <v>1892</v>
      </c>
      <c r="AC218" t="s">
        <v>1252</v>
      </c>
      <c r="AD218" s="199">
        <v>1</v>
      </c>
      <c r="AE218" s="199" t="s">
        <v>1292</v>
      </c>
      <c r="AF218" s="179"/>
      <c r="AG218" s="179">
        <v>9.06</v>
      </c>
      <c r="AH218" s="179">
        <v>0</v>
      </c>
      <c r="AI218" s="179">
        <v>78.718000000000004</v>
      </c>
      <c r="AJ218" s="179">
        <v>18.512</v>
      </c>
      <c r="AK218" s="179">
        <v>0</v>
      </c>
      <c r="AL218" s="305">
        <v>4</v>
      </c>
      <c r="AM218" s="306">
        <v>2024</v>
      </c>
      <c r="AN218" s="250" t="s">
        <v>1893</v>
      </c>
      <c r="AP218" t="str">
        <f>IF(BD_Bloqueados[[#This Row],[Analista ]]&lt;&gt;"Ana C",MID(BD_Bloqueados[[#This Row],[ID]],3,5),MID(BD_Bloqueados[[#This Row],[ID]],4,5))</f>
        <v>09624</v>
      </c>
      <c r="AQ218">
        <v>143</v>
      </c>
      <c r="AR218">
        <v>2024</v>
      </c>
      <c r="AS218" s="72">
        <v>45292</v>
      </c>
      <c r="AT218" s="72">
        <v>45434</v>
      </c>
      <c r="AU218">
        <v>5</v>
      </c>
    </row>
    <row r="219" spans="1:47">
      <c r="A219" t="s">
        <v>1588</v>
      </c>
      <c r="B219">
        <v>2</v>
      </c>
      <c r="C219" s="72">
        <v>45416</v>
      </c>
      <c r="D219">
        <v>15</v>
      </c>
      <c r="E219" s="173">
        <v>0.33333333333333331</v>
      </c>
      <c r="F219" t="s">
        <v>78</v>
      </c>
      <c r="G219" t="s">
        <v>28</v>
      </c>
      <c r="H219" t="s">
        <v>165</v>
      </c>
      <c r="I219" t="s">
        <v>635</v>
      </c>
      <c r="J219" t="s">
        <v>588</v>
      </c>
      <c r="K219" t="s">
        <v>1589</v>
      </c>
      <c r="L219" t="s">
        <v>108</v>
      </c>
      <c r="M219" t="s">
        <v>1029</v>
      </c>
      <c r="N219">
        <v>967555800</v>
      </c>
      <c r="O219" t="s">
        <v>341</v>
      </c>
      <c r="P219" s="154">
        <v>12000402</v>
      </c>
      <c r="Q219" t="s">
        <v>206</v>
      </c>
      <c r="R219" t="s">
        <v>579</v>
      </c>
      <c r="S219" t="s">
        <v>1590</v>
      </c>
      <c r="T219" t="s">
        <v>1397</v>
      </c>
      <c r="U219" t="s">
        <v>1591</v>
      </c>
      <c r="V219" t="s">
        <v>1592</v>
      </c>
      <c r="W219" t="s">
        <v>101</v>
      </c>
      <c r="X219" t="s">
        <v>1593</v>
      </c>
      <c r="Y219" s="229"/>
      <c r="Z219" s="176">
        <v>0</v>
      </c>
      <c r="AA219">
        <v>96</v>
      </c>
      <c r="AB219" t="s">
        <v>1407</v>
      </c>
      <c r="AC219" t="s">
        <v>1291</v>
      </c>
      <c r="AD219" s="199">
        <v>0.1</v>
      </c>
      <c r="AE219" s="199" t="s">
        <v>1374</v>
      </c>
      <c r="AF219" s="179">
        <v>127.72</v>
      </c>
      <c r="AG219" s="179">
        <v>0</v>
      </c>
      <c r="AH219" s="179">
        <v>71.900000000000006</v>
      </c>
      <c r="AI219" s="179">
        <v>42.972999999999999</v>
      </c>
      <c r="AJ219" s="179">
        <v>6.6660000000000004</v>
      </c>
      <c r="AK219" s="179">
        <v>11.852</v>
      </c>
      <c r="AL219" s="305">
        <v>4</v>
      </c>
      <c r="AM219" s="306">
        <v>2024</v>
      </c>
      <c r="AN219" s="250"/>
      <c r="AP219" t="str">
        <f>IF(BD_Bloqueados[[#This Row],[Analista ]]&lt;&gt;"Ana C",MID(BD_Bloqueados[[#This Row],[ID]],3,5),MID(BD_Bloqueados[[#This Row],[ID]],4,5))</f>
        <v>09624</v>
      </c>
      <c r="AQ219">
        <v>28</v>
      </c>
      <c r="AR219">
        <v>2023</v>
      </c>
      <c r="AS219" s="72">
        <v>44927</v>
      </c>
      <c r="AT219" s="72">
        <v>44954</v>
      </c>
      <c r="AU219">
        <v>1</v>
      </c>
    </row>
    <row r="220" spans="1:47">
      <c r="A220" t="s">
        <v>1612</v>
      </c>
      <c r="B220">
        <v>2</v>
      </c>
      <c r="C220" s="72">
        <v>45416</v>
      </c>
      <c r="D220">
        <v>15</v>
      </c>
      <c r="E220" s="173">
        <v>0.70833333333333337</v>
      </c>
      <c r="F220" t="s">
        <v>109</v>
      </c>
      <c r="G220" t="s">
        <v>28</v>
      </c>
      <c r="H220" t="s">
        <v>165</v>
      </c>
      <c r="I220" t="s">
        <v>190</v>
      </c>
      <c r="J220" t="s">
        <v>618</v>
      </c>
      <c r="K220" t="s">
        <v>1184</v>
      </c>
      <c r="L220" t="s">
        <v>108</v>
      </c>
      <c r="M220" t="s">
        <v>1029</v>
      </c>
      <c r="N220">
        <v>967555800</v>
      </c>
      <c r="O220" t="s">
        <v>341</v>
      </c>
      <c r="P220" s="154">
        <v>12000402</v>
      </c>
      <c r="Q220" t="s">
        <v>206</v>
      </c>
      <c r="R220" t="s">
        <v>579</v>
      </c>
      <c r="S220" t="s">
        <v>1613</v>
      </c>
      <c r="T220" t="s">
        <v>1614</v>
      </c>
      <c r="U220" t="s">
        <v>1615</v>
      </c>
      <c r="V220" t="s">
        <v>1616</v>
      </c>
      <c r="W220" t="s">
        <v>101</v>
      </c>
      <c r="X220" t="s">
        <v>1617</v>
      </c>
      <c r="Y220" s="229">
        <v>350</v>
      </c>
      <c r="Z220" s="176">
        <v>0</v>
      </c>
      <c r="AD220" s="199"/>
      <c r="AE220" s="199"/>
      <c r="AF220" s="179"/>
      <c r="AG220" s="179"/>
      <c r="AH220" s="179"/>
      <c r="AI220" s="179"/>
      <c r="AJ220" s="179"/>
      <c r="AK220" s="179"/>
      <c r="AL220" s="305">
        <v>4</v>
      </c>
      <c r="AM220" s="306">
        <v>2024</v>
      </c>
      <c r="AN220" s="250"/>
      <c r="AP220" t="str">
        <f>IF(BD_Bloqueados[[#This Row],[Analista ]]&lt;&gt;"Ana C",MID(BD_Bloqueados[[#This Row],[ID]],3,5),MID(BD_Bloqueados[[#This Row],[ID]],4,5))</f>
        <v>09624</v>
      </c>
      <c r="AQ220">
        <v>64</v>
      </c>
      <c r="AR220">
        <v>2024</v>
      </c>
      <c r="AS220" s="72">
        <v>45292</v>
      </c>
      <c r="AT220" s="72">
        <v>45355</v>
      </c>
      <c r="AU220">
        <v>3</v>
      </c>
    </row>
    <row r="221" spans="1:47">
      <c r="A221" t="s">
        <v>1905</v>
      </c>
      <c r="B221">
        <v>2</v>
      </c>
      <c r="C221" s="72">
        <v>45386</v>
      </c>
      <c r="D221">
        <v>15</v>
      </c>
      <c r="E221" s="173">
        <v>8.3333333333333329E-2</v>
      </c>
      <c r="F221" t="s">
        <v>136</v>
      </c>
      <c r="G221" t="s">
        <v>25</v>
      </c>
      <c r="H221" t="s">
        <v>187</v>
      </c>
      <c r="I221" t="s">
        <v>87</v>
      </c>
      <c r="J221" t="s">
        <v>576</v>
      </c>
      <c r="K221" t="s">
        <v>1906</v>
      </c>
      <c r="L221" t="s">
        <v>108</v>
      </c>
      <c r="M221" t="s">
        <v>1029</v>
      </c>
      <c r="N221">
        <v>967555800</v>
      </c>
      <c r="O221" t="s">
        <v>238</v>
      </c>
      <c r="P221" s="154">
        <v>13030210</v>
      </c>
      <c r="Q221" t="s">
        <v>206</v>
      </c>
      <c r="R221" t="s">
        <v>578</v>
      </c>
      <c r="S221" t="s">
        <v>1907</v>
      </c>
      <c r="T221" t="s">
        <v>1908</v>
      </c>
      <c r="U221" t="s">
        <v>1909</v>
      </c>
      <c r="V221" t="s">
        <v>1910</v>
      </c>
      <c r="W221" t="s">
        <v>101</v>
      </c>
      <c r="X221" t="s">
        <v>1617</v>
      </c>
      <c r="Y221" s="229">
        <v>1920</v>
      </c>
      <c r="Z221" s="176">
        <v>0</v>
      </c>
      <c r="AA221">
        <v>95</v>
      </c>
      <c r="AB221" t="s">
        <v>1407</v>
      </c>
      <c r="AC221" t="s">
        <v>1479</v>
      </c>
      <c r="AD221" s="199"/>
      <c r="AE221" s="199"/>
      <c r="AF221" s="179"/>
      <c r="AG221" s="179"/>
      <c r="AH221" s="179"/>
      <c r="AI221" s="179"/>
      <c r="AJ221" s="179"/>
      <c r="AK221" s="179"/>
      <c r="AL221" s="305">
        <v>4</v>
      </c>
      <c r="AM221" s="306">
        <v>2024</v>
      </c>
      <c r="AN221" s="250"/>
      <c r="AP221" t="str">
        <f>IF(BD_Bloqueados[[#This Row],[Analista ]]&lt;&gt;"Ana C",MID(BD_Bloqueados[[#This Row],[ID]],3,5),MID(BD_Bloqueados[[#This Row],[ID]],4,5))</f>
        <v>09524</v>
      </c>
      <c r="AQ221">
        <v>100</v>
      </c>
      <c r="AR221">
        <v>2024</v>
      </c>
      <c r="AS221" s="72">
        <v>45292</v>
      </c>
      <c r="AT221" s="72">
        <v>45391</v>
      </c>
      <c r="AU221">
        <v>4</v>
      </c>
    </row>
    <row r="222" spans="1:47">
      <c r="A222" t="s">
        <v>1929</v>
      </c>
      <c r="B222">
        <v>2</v>
      </c>
      <c r="C222" s="72">
        <v>45386</v>
      </c>
      <c r="D222">
        <v>15</v>
      </c>
      <c r="E222" s="173">
        <v>0.68055555555555558</v>
      </c>
      <c r="F222" t="s">
        <v>109</v>
      </c>
      <c r="G222" t="s">
        <v>27</v>
      </c>
      <c r="H222" t="s">
        <v>209</v>
      </c>
      <c r="I222" t="s">
        <v>615</v>
      </c>
      <c r="J222" t="s">
        <v>618</v>
      </c>
      <c r="K222" t="s">
        <v>1930</v>
      </c>
      <c r="L222" t="s">
        <v>108</v>
      </c>
      <c r="M222" t="s">
        <v>1029</v>
      </c>
      <c r="N222">
        <v>967555800</v>
      </c>
      <c r="O222" t="s">
        <v>99</v>
      </c>
      <c r="P222" s="154">
        <v>13001756</v>
      </c>
      <c r="Q222" t="s">
        <v>185</v>
      </c>
      <c r="R222" t="s">
        <v>596</v>
      </c>
      <c r="S222" t="s">
        <v>1931</v>
      </c>
      <c r="U222" t="s">
        <v>1932</v>
      </c>
      <c r="V222" t="s">
        <v>1933</v>
      </c>
      <c r="W222" t="s">
        <v>101</v>
      </c>
      <c r="X222" t="s">
        <v>156</v>
      </c>
      <c r="Y222" s="229">
        <v>240</v>
      </c>
      <c r="Z222" s="176">
        <v>0</v>
      </c>
      <c r="AA222" t="s">
        <v>1934</v>
      </c>
      <c r="AD222" s="199"/>
      <c r="AE222" s="199"/>
      <c r="AF222" s="179"/>
      <c r="AG222" s="179"/>
      <c r="AH222" s="179"/>
      <c r="AI222" s="179"/>
      <c r="AJ222" s="179"/>
      <c r="AK222" s="179"/>
      <c r="AL222" s="305">
        <v>4</v>
      </c>
      <c r="AM222" s="306">
        <v>2024</v>
      </c>
      <c r="AN222" s="250"/>
      <c r="AP222" t="str">
        <f>IF(BD_Bloqueados[[#This Row],[Analista ]]&lt;&gt;"Ana C",MID(BD_Bloqueados[[#This Row],[ID]],3,5),MID(BD_Bloqueados[[#This Row],[ID]],4,5))</f>
        <v>09524</v>
      </c>
      <c r="AQ222">
        <v>100</v>
      </c>
      <c r="AR222">
        <v>2024</v>
      </c>
      <c r="AS222" s="72">
        <v>45292</v>
      </c>
      <c r="AT222" s="72">
        <v>45391</v>
      </c>
      <c r="AU222">
        <v>4</v>
      </c>
    </row>
    <row r="223" spans="1:47">
      <c r="A223" t="s">
        <v>1935</v>
      </c>
      <c r="B223">
        <v>2</v>
      </c>
      <c r="C223" s="72">
        <v>45355</v>
      </c>
      <c r="D223">
        <v>15</v>
      </c>
      <c r="E223" s="173">
        <v>0.375</v>
      </c>
      <c r="F223" t="s">
        <v>78</v>
      </c>
      <c r="G223" t="s">
        <v>28</v>
      </c>
      <c r="H223" t="s">
        <v>165</v>
      </c>
      <c r="I223" t="s">
        <v>635</v>
      </c>
      <c r="J223" t="s">
        <v>588</v>
      </c>
      <c r="K223" t="s">
        <v>1589</v>
      </c>
      <c r="L223" t="s">
        <v>108</v>
      </c>
      <c r="M223" t="s">
        <v>1029</v>
      </c>
      <c r="N223">
        <v>967555800</v>
      </c>
      <c r="O223" t="s">
        <v>362</v>
      </c>
      <c r="P223" s="154">
        <v>12001369</v>
      </c>
      <c r="Q223" t="s">
        <v>138</v>
      </c>
      <c r="R223" t="s">
        <v>589</v>
      </c>
      <c r="S223" t="s">
        <v>1936</v>
      </c>
      <c r="T223" t="s">
        <v>1397</v>
      </c>
      <c r="U223" t="s">
        <v>1937</v>
      </c>
      <c r="V223" t="s">
        <v>1938</v>
      </c>
      <c r="W223" t="s">
        <v>101</v>
      </c>
      <c r="X223" t="s">
        <v>102</v>
      </c>
      <c r="Y223" s="229">
        <v>395</v>
      </c>
      <c r="Z223" s="176">
        <v>0</v>
      </c>
      <c r="AA223">
        <v>94</v>
      </c>
      <c r="AB223" t="s">
        <v>1356</v>
      </c>
      <c r="AC223" t="s">
        <v>1291</v>
      </c>
      <c r="AD223" s="199">
        <v>1</v>
      </c>
      <c r="AE223" s="199" t="s">
        <v>1292</v>
      </c>
      <c r="AF223" s="179"/>
      <c r="AG223" s="179"/>
      <c r="AH223" s="179"/>
      <c r="AI223" s="179"/>
      <c r="AJ223" s="179"/>
      <c r="AK223" s="179"/>
      <c r="AL223" s="305">
        <v>4</v>
      </c>
      <c r="AM223" s="306">
        <v>2024</v>
      </c>
      <c r="AN223" s="250"/>
      <c r="AP223" t="str">
        <f>IF(BD_Bloqueados[[#This Row],[Analista ]]&lt;&gt;"Ana C",MID(BD_Bloqueados[[#This Row],[ID]],3,5),MID(BD_Bloqueados[[#This Row],[ID]],4,5))</f>
        <v>09424</v>
      </c>
      <c r="AQ223">
        <v>101</v>
      </c>
      <c r="AR223">
        <v>2024</v>
      </c>
      <c r="AS223" s="72">
        <v>45292</v>
      </c>
      <c r="AT223" s="72">
        <v>45392</v>
      </c>
      <c r="AU223">
        <v>4</v>
      </c>
    </row>
    <row r="224" spans="1:47">
      <c r="A224" t="s">
        <v>1946</v>
      </c>
      <c r="B224">
        <v>2</v>
      </c>
      <c r="C224" s="72">
        <v>45355</v>
      </c>
      <c r="D224">
        <v>15</v>
      </c>
      <c r="E224" s="173">
        <v>0.62847222222222221</v>
      </c>
      <c r="F224" t="s">
        <v>109</v>
      </c>
      <c r="G224" t="s">
        <v>31</v>
      </c>
      <c r="H224" t="s">
        <v>84</v>
      </c>
      <c r="I224" t="s">
        <v>212</v>
      </c>
      <c r="J224" t="s">
        <v>567</v>
      </c>
      <c r="K224" t="s">
        <v>1947</v>
      </c>
      <c r="L224" t="s">
        <v>108</v>
      </c>
      <c r="M224" t="s">
        <v>1029</v>
      </c>
      <c r="N224">
        <v>967555800</v>
      </c>
      <c r="O224" t="s">
        <v>97</v>
      </c>
      <c r="P224" s="154">
        <v>13030492</v>
      </c>
      <c r="Q224" t="s">
        <v>138</v>
      </c>
      <c r="R224" t="s">
        <v>79</v>
      </c>
      <c r="S224" t="s">
        <v>1948</v>
      </c>
      <c r="T224" t="s">
        <v>1949</v>
      </c>
      <c r="U224" t="s">
        <v>1950</v>
      </c>
      <c r="V224" t="s">
        <v>1951</v>
      </c>
      <c r="W224" t="s">
        <v>101</v>
      </c>
      <c r="X224" t="s">
        <v>156</v>
      </c>
      <c r="Y224" s="229">
        <v>792</v>
      </c>
      <c r="Z224" s="176">
        <v>0</v>
      </c>
      <c r="AA224">
        <v>93</v>
      </c>
      <c r="AD224" s="199"/>
      <c r="AE224" s="199"/>
      <c r="AF224" s="179"/>
      <c r="AG224" s="179"/>
      <c r="AH224" s="179"/>
      <c r="AI224" s="179"/>
      <c r="AJ224" s="179"/>
      <c r="AK224" s="179"/>
      <c r="AL224" s="305">
        <v>4</v>
      </c>
      <c r="AM224" s="306">
        <v>2024</v>
      </c>
      <c r="AN224" s="250"/>
      <c r="AP224" t="str">
        <f>IF(BD_Bloqueados[[#This Row],[Analista ]]&lt;&gt;"Ana C",MID(BD_Bloqueados[[#This Row],[ID]],3,5),MID(BD_Bloqueados[[#This Row],[ID]],4,5))</f>
        <v>09424</v>
      </c>
      <c r="AQ224">
        <v>100</v>
      </c>
      <c r="AR224">
        <v>2024</v>
      </c>
      <c r="AS224" s="72">
        <v>45292</v>
      </c>
      <c r="AT224" s="72">
        <v>45391</v>
      </c>
      <c r="AU224">
        <v>4</v>
      </c>
    </row>
    <row r="225" spans="1:47">
      <c r="A225" t="s">
        <v>1792</v>
      </c>
      <c r="B225">
        <v>2</v>
      </c>
      <c r="C225" s="72">
        <v>45326</v>
      </c>
      <c r="D225">
        <v>15</v>
      </c>
      <c r="E225" s="173">
        <v>0.98958333333333337</v>
      </c>
      <c r="F225" t="s">
        <v>136</v>
      </c>
      <c r="G225" t="s">
        <v>28</v>
      </c>
      <c r="H225" t="s">
        <v>210</v>
      </c>
      <c r="I225" t="s">
        <v>87</v>
      </c>
      <c r="J225" t="s">
        <v>595</v>
      </c>
      <c r="K225" t="s">
        <v>1077</v>
      </c>
      <c r="L225" t="s">
        <v>108</v>
      </c>
      <c r="M225" t="s">
        <v>1029</v>
      </c>
      <c r="N225">
        <v>967555800</v>
      </c>
      <c r="O225" t="s">
        <v>321</v>
      </c>
      <c r="P225" s="154">
        <v>13000464</v>
      </c>
      <c r="Q225" t="s">
        <v>206</v>
      </c>
      <c r="R225" t="s">
        <v>579</v>
      </c>
      <c r="S225" t="s">
        <v>1793</v>
      </c>
      <c r="T225" t="s">
        <v>1794</v>
      </c>
      <c r="U225" t="s">
        <v>1795</v>
      </c>
      <c r="V225" t="s">
        <v>1796</v>
      </c>
      <c r="W225" t="s">
        <v>101</v>
      </c>
      <c r="X225" t="s">
        <v>129</v>
      </c>
      <c r="Y225" s="229">
        <v>87</v>
      </c>
      <c r="Z225" s="176"/>
      <c r="AA225">
        <v>93</v>
      </c>
      <c r="AD225" s="199"/>
      <c r="AE225" s="199"/>
      <c r="AF225" s="179"/>
      <c r="AG225" s="179"/>
      <c r="AH225" s="179"/>
      <c r="AI225" s="179"/>
      <c r="AJ225" s="179"/>
      <c r="AK225" s="179"/>
      <c r="AL225" s="305">
        <v>4</v>
      </c>
      <c r="AM225" s="306">
        <v>2024</v>
      </c>
      <c r="AN225" s="250"/>
      <c r="AP225" t="str">
        <f>IF(BD_Bloqueados[[#This Row],[Analista ]]&lt;&gt;"Ana C",MID(BD_Bloqueados[[#This Row],[ID]],3,5),MID(BD_Bloqueados[[#This Row],[ID]],4,5))</f>
        <v>09324</v>
      </c>
      <c r="AQ225">
        <v>99</v>
      </c>
      <c r="AR225">
        <v>2024</v>
      </c>
      <c r="AS225" s="72">
        <v>45292</v>
      </c>
      <c r="AT225" s="72">
        <v>45390</v>
      </c>
      <c r="AU225">
        <v>4</v>
      </c>
    </row>
    <row r="226" spans="1:47">
      <c r="A226" t="s">
        <v>1957</v>
      </c>
      <c r="B226">
        <v>2</v>
      </c>
      <c r="C226" s="72">
        <v>45326</v>
      </c>
      <c r="D226">
        <v>15</v>
      </c>
      <c r="E226" s="173">
        <v>0.44027777777777777</v>
      </c>
      <c r="F226" t="s">
        <v>78</v>
      </c>
      <c r="G226" t="s">
        <v>28</v>
      </c>
      <c r="H226" t="s">
        <v>210</v>
      </c>
      <c r="I226" t="s">
        <v>635</v>
      </c>
      <c r="J226" t="s">
        <v>588</v>
      </c>
      <c r="K226" t="s">
        <v>1958</v>
      </c>
      <c r="L226" t="s">
        <v>108</v>
      </c>
      <c r="M226" t="s">
        <v>1029</v>
      </c>
      <c r="N226">
        <v>967555800</v>
      </c>
      <c r="O226" t="s">
        <v>278</v>
      </c>
      <c r="P226" s="154">
        <v>13030284</v>
      </c>
      <c r="Q226" t="s">
        <v>80</v>
      </c>
      <c r="R226" t="s">
        <v>589</v>
      </c>
      <c r="S226" t="s">
        <v>1959</v>
      </c>
      <c r="T226" t="s">
        <v>1960</v>
      </c>
      <c r="U226" t="s">
        <v>1961</v>
      </c>
      <c r="V226" t="s">
        <v>1962</v>
      </c>
      <c r="W226" t="s">
        <v>101</v>
      </c>
      <c r="X226" t="s">
        <v>102</v>
      </c>
      <c r="Y226" s="229">
        <v>672</v>
      </c>
      <c r="Z226" s="176">
        <v>0</v>
      </c>
      <c r="AA226">
        <v>93</v>
      </c>
      <c r="AD226" s="199"/>
      <c r="AE226" s="199"/>
      <c r="AF226" s="179"/>
      <c r="AG226" s="179"/>
      <c r="AH226" s="179"/>
      <c r="AI226" s="179"/>
      <c r="AJ226" s="179"/>
      <c r="AK226" s="179"/>
      <c r="AL226" s="306">
        <v>4</v>
      </c>
      <c r="AM226" s="306">
        <v>2024</v>
      </c>
      <c r="AN226" s="250"/>
      <c r="AP226" t="str">
        <f>IF(BD_Bloqueados[[#This Row],[Analista ]]&lt;&gt;"Ana C",MID(BD_Bloqueados[[#This Row],[ID]],3,5),MID(BD_Bloqueados[[#This Row],[ID]],4,5))</f>
        <v>09324</v>
      </c>
      <c r="AQ226">
        <v>186</v>
      </c>
      <c r="AR226">
        <v>2024</v>
      </c>
      <c r="AS226" s="72">
        <v>45292</v>
      </c>
      <c r="AT226" s="72">
        <v>45477</v>
      </c>
      <c r="AU226">
        <v>7</v>
      </c>
    </row>
    <row r="227" spans="1:47">
      <c r="A227" t="s">
        <v>1969</v>
      </c>
      <c r="B227">
        <v>2</v>
      </c>
      <c r="C227" s="72">
        <v>45295</v>
      </c>
      <c r="D227">
        <v>15</v>
      </c>
      <c r="E227" s="173">
        <v>0.95624999999999993</v>
      </c>
      <c r="F227" t="s">
        <v>136</v>
      </c>
      <c r="G227" t="s">
        <v>29</v>
      </c>
      <c r="H227" t="s">
        <v>83</v>
      </c>
      <c r="I227" t="s">
        <v>248</v>
      </c>
      <c r="J227" t="s">
        <v>595</v>
      </c>
      <c r="K227" t="s">
        <v>1500</v>
      </c>
      <c r="L227" t="s">
        <v>77</v>
      </c>
      <c r="M227" t="s">
        <v>575</v>
      </c>
      <c r="N227">
        <v>76618520</v>
      </c>
      <c r="O227" t="s">
        <v>593</v>
      </c>
      <c r="P227" s="154">
        <v>10004345</v>
      </c>
      <c r="Q227" t="s">
        <v>138</v>
      </c>
      <c r="R227" t="s">
        <v>110</v>
      </c>
      <c r="S227" t="s">
        <v>1970</v>
      </c>
      <c r="T227" t="s">
        <v>1971</v>
      </c>
      <c r="U227" t="s">
        <v>1972</v>
      </c>
      <c r="W227" t="s">
        <v>101</v>
      </c>
      <c r="Y227" s="229">
        <v>17.5</v>
      </c>
      <c r="Z227" s="176"/>
      <c r="AA227" t="s">
        <v>1973</v>
      </c>
      <c r="AD227" s="199"/>
      <c r="AE227" s="199"/>
      <c r="AF227" s="179"/>
      <c r="AG227" s="179"/>
      <c r="AH227" s="179"/>
      <c r="AI227" s="179"/>
      <c r="AJ227" s="179"/>
      <c r="AK227" s="179"/>
      <c r="AL227" s="306">
        <v>4</v>
      </c>
      <c r="AM227" s="306">
        <v>2024</v>
      </c>
      <c r="AN227" s="250"/>
      <c r="AP227" t="str">
        <f>IF(BD_Bloqueados[[#This Row],[Analista ]]&lt;&gt;"Ana C",MID(BD_Bloqueados[[#This Row],[ID]],3,5),MID(BD_Bloqueados[[#This Row],[ID]],4,5))</f>
        <v>09224</v>
      </c>
      <c r="AQ227">
        <v>186</v>
      </c>
      <c r="AR227">
        <v>2024</v>
      </c>
      <c r="AS227" s="72">
        <v>45292</v>
      </c>
      <c r="AT227" s="72">
        <v>45477</v>
      </c>
      <c r="AU227">
        <v>7</v>
      </c>
    </row>
    <row r="228" spans="1:47">
      <c r="A228" t="s">
        <v>1986</v>
      </c>
      <c r="B228">
        <v>2</v>
      </c>
      <c r="C228" s="72">
        <v>45295</v>
      </c>
      <c r="D228">
        <v>15</v>
      </c>
      <c r="E228" s="173">
        <v>0.43611111111111112</v>
      </c>
      <c r="F228" t="s">
        <v>78</v>
      </c>
      <c r="G228" t="s">
        <v>33</v>
      </c>
      <c r="H228" t="s">
        <v>33</v>
      </c>
      <c r="I228" t="s">
        <v>635</v>
      </c>
      <c r="J228" t="s">
        <v>577</v>
      </c>
      <c r="K228" t="s">
        <v>1987</v>
      </c>
      <c r="L228" t="s">
        <v>108</v>
      </c>
      <c r="M228" t="s">
        <v>1029</v>
      </c>
      <c r="N228">
        <v>967555800</v>
      </c>
      <c r="O228" t="s">
        <v>123</v>
      </c>
      <c r="P228" s="154">
        <v>13030401</v>
      </c>
      <c r="Q228" t="s">
        <v>35</v>
      </c>
      <c r="R228" t="s">
        <v>600</v>
      </c>
      <c r="S228" t="s">
        <v>1988</v>
      </c>
      <c r="T228" t="s">
        <v>1989</v>
      </c>
      <c r="U228" t="s">
        <v>1990</v>
      </c>
      <c r="V228" t="s">
        <v>1991</v>
      </c>
      <c r="W228" t="s">
        <v>101</v>
      </c>
      <c r="Y228" s="229">
        <v>480</v>
      </c>
      <c r="Z228" s="176"/>
      <c r="AD228" s="199"/>
      <c r="AE228" s="199"/>
      <c r="AF228" s="179"/>
      <c r="AG228" s="179"/>
      <c r="AH228" s="179"/>
      <c r="AI228" s="179"/>
      <c r="AJ228" s="179"/>
      <c r="AK228" s="179"/>
      <c r="AL228" s="306">
        <v>4</v>
      </c>
      <c r="AM228" s="306">
        <v>2024</v>
      </c>
      <c r="AN228" s="250"/>
      <c r="AP228" t="str">
        <f>IF(BD_Bloqueados[[#This Row],[Analista ]]&lt;&gt;"Ana C",MID(BD_Bloqueados[[#This Row],[ID]],3,5),MID(BD_Bloqueados[[#This Row],[ID]],4,5))</f>
        <v>09224</v>
      </c>
      <c r="AQ228">
        <v>96</v>
      </c>
      <c r="AR228">
        <v>2024</v>
      </c>
      <c r="AS228" s="72">
        <v>45292</v>
      </c>
      <c r="AT228" s="72">
        <v>45387</v>
      </c>
      <c r="AU228">
        <v>4</v>
      </c>
    </row>
    <row r="229" spans="1:47">
      <c r="A229" t="s">
        <v>1992</v>
      </c>
      <c r="B229">
        <v>2</v>
      </c>
      <c r="C229" s="72">
        <v>45379</v>
      </c>
      <c r="D229">
        <v>14</v>
      </c>
      <c r="E229" s="173">
        <v>0.36805555555555558</v>
      </c>
      <c r="F229" t="s">
        <v>78</v>
      </c>
      <c r="G229" t="s">
        <v>27</v>
      </c>
      <c r="H229" t="s">
        <v>189</v>
      </c>
      <c r="I229" t="s">
        <v>645</v>
      </c>
      <c r="J229" t="s">
        <v>618</v>
      </c>
      <c r="K229" t="s">
        <v>1993</v>
      </c>
      <c r="L229" t="s">
        <v>108</v>
      </c>
      <c r="M229" t="s">
        <v>1029</v>
      </c>
      <c r="N229">
        <v>967555800</v>
      </c>
      <c r="O229" t="s">
        <v>771</v>
      </c>
      <c r="P229" s="154">
        <v>13030094</v>
      </c>
      <c r="Q229" t="s">
        <v>80</v>
      </c>
      <c r="R229" t="s">
        <v>608</v>
      </c>
      <c r="S229" t="s">
        <v>1994</v>
      </c>
      <c r="T229" t="s">
        <v>1995</v>
      </c>
      <c r="U229" t="s">
        <v>1996</v>
      </c>
      <c r="V229" t="s">
        <v>1997</v>
      </c>
      <c r="W229" t="s">
        <v>101</v>
      </c>
      <c r="X229" t="s">
        <v>102</v>
      </c>
      <c r="Y229" s="229">
        <v>936</v>
      </c>
      <c r="Z229" s="176">
        <v>0</v>
      </c>
      <c r="AA229">
        <v>88</v>
      </c>
      <c r="AD229" s="199"/>
      <c r="AE229" s="199"/>
      <c r="AF229" s="179"/>
      <c r="AG229" s="179"/>
      <c r="AH229" s="179"/>
      <c r="AI229" s="179"/>
      <c r="AJ229" s="179"/>
      <c r="AK229" s="179"/>
      <c r="AL229" s="306">
        <v>3</v>
      </c>
      <c r="AM229" s="306">
        <v>2024</v>
      </c>
      <c r="AN229" s="250"/>
      <c r="AP229" t="str">
        <f>IF(BD_Bloqueados[[#This Row],[Analista ]]&lt;&gt;"Ana C",MID(BD_Bloqueados[[#This Row],[ID]],3,5),MID(BD_Bloqueados[[#This Row],[ID]],4,5))</f>
        <v>08824</v>
      </c>
      <c r="AQ229">
        <v>96</v>
      </c>
      <c r="AR229">
        <v>2024</v>
      </c>
      <c r="AS229" s="72">
        <v>45292</v>
      </c>
      <c r="AT229" s="72">
        <v>45387</v>
      </c>
      <c r="AU229">
        <v>4</v>
      </c>
    </row>
    <row r="230" spans="1:47">
      <c r="A230" t="s">
        <v>1952</v>
      </c>
      <c r="B230">
        <v>2</v>
      </c>
      <c r="C230" s="72">
        <v>45378</v>
      </c>
      <c r="D230">
        <v>14</v>
      </c>
      <c r="E230" s="173">
        <v>0.72291666666666676</v>
      </c>
      <c r="F230" t="s">
        <v>109</v>
      </c>
      <c r="G230" t="s">
        <v>31</v>
      </c>
      <c r="H230" t="s">
        <v>114</v>
      </c>
      <c r="I230" t="s">
        <v>259</v>
      </c>
      <c r="J230" t="s">
        <v>169</v>
      </c>
      <c r="K230" t="s">
        <v>1953</v>
      </c>
      <c r="L230" t="s">
        <v>108</v>
      </c>
      <c r="M230" t="s">
        <v>1029</v>
      </c>
      <c r="N230">
        <v>967555800</v>
      </c>
      <c r="O230" t="s">
        <v>97</v>
      </c>
      <c r="P230" s="154">
        <v>13030492</v>
      </c>
      <c r="Q230" t="s">
        <v>206</v>
      </c>
      <c r="R230" t="s">
        <v>600</v>
      </c>
      <c r="S230" t="s">
        <v>1954</v>
      </c>
      <c r="T230" t="s">
        <v>1165</v>
      </c>
      <c r="U230" t="s">
        <v>1160</v>
      </c>
      <c r="V230" t="s">
        <v>1955</v>
      </c>
      <c r="W230" t="s">
        <v>101</v>
      </c>
      <c r="X230" t="s">
        <v>156</v>
      </c>
      <c r="Y230" s="229">
        <v>396</v>
      </c>
      <c r="Z230" s="176">
        <v>141355.764</v>
      </c>
      <c r="AA230">
        <v>86</v>
      </c>
      <c r="AB230" t="s">
        <v>1459</v>
      </c>
      <c r="AC230" t="s">
        <v>1252</v>
      </c>
      <c r="AD230" s="199">
        <v>1</v>
      </c>
      <c r="AE230" s="199" t="s">
        <v>1292</v>
      </c>
      <c r="AF230" s="179">
        <v>2.359</v>
      </c>
      <c r="AG230" s="179">
        <v>145.565</v>
      </c>
      <c r="AH230" s="179">
        <v>0</v>
      </c>
      <c r="AI230" s="179">
        <v>207.24700000000001</v>
      </c>
      <c r="AJ230" s="179">
        <v>1.788</v>
      </c>
      <c r="AK230" s="179">
        <v>0</v>
      </c>
      <c r="AL230" s="306">
        <v>3</v>
      </c>
      <c r="AM230" s="306">
        <v>2024</v>
      </c>
      <c r="AN230" s="250" t="s">
        <v>1956</v>
      </c>
      <c r="AP230" t="str">
        <f>IF(BD_Bloqueados[[#This Row],[Analista ]]&lt;&gt;"Ana C",MID(BD_Bloqueados[[#This Row],[ID]],3,5),MID(BD_Bloqueados[[#This Row],[ID]],4,5))</f>
        <v>08724</v>
      </c>
      <c r="AQ230">
        <v>95</v>
      </c>
      <c r="AR230">
        <v>2024</v>
      </c>
      <c r="AS230" s="72">
        <v>45292</v>
      </c>
      <c r="AT230" s="72">
        <v>45386</v>
      </c>
      <c r="AU230">
        <v>4</v>
      </c>
    </row>
    <row r="231" spans="1:47">
      <c r="A231" t="s">
        <v>2580</v>
      </c>
      <c r="B231">
        <v>2</v>
      </c>
      <c r="C231" s="72">
        <v>45376</v>
      </c>
      <c r="D231">
        <v>14</v>
      </c>
      <c r="E231" s="173">
        <v>0.375</v>
      </c>
      <c r="F231" t="s">
        <v>78</v>
      </c>
      <c r="G231" t="s">
        <v>29</v>
      </c>
      <c r="H231" t="s">
        <v>141</v>
      </c>
      <c r="I231" t="s">
        <v>87</v>
      </c>
      <c r="J231" t="s">
        <v>595</v>
      </c>
      <c r="K231" t="s">
        <v>2581</v>
      </c>
      <c r="L231" t="s">
        <v>108</v>
      </c>
      <c r="M231" t="s">
        <v>1029</v>
      </c>
      <c r="N231">
        <v>967555800</v>
      </c>
      <c r="O231" t="s">
        <v>146</v>
      </c>
      <c r="P231" s="154">
        <v>12001436</v>
      </c>
      <c r="Q231" t="s">
        <v>138</v>
      </c>
      <c r="R231" t="s">
        <v>79</v>
      </c>
      <c r="S231" t="s">
        <v>2582</v>
      </c>
      <c r="T231" t="s">
        <v>2583</v>
      </c>
      <c r="U231" t="s">
        <v>2584</v>
      </c>
      <c r="V231" t="s">
        <v>2585</v>
      </c>
      <c r="W231" t="s">
        <v>101</v>
      </c>
      <c r="X231" t="s">
        <v>129</v>
      </c>
      <c r="Y231" s="229">
        <v>1238.4000000000001</v>
      </c>
      <c r="Z231" s="176">
        <v>2174688</v>
      </c>
      <c r="AA231">
        <v>85</v>
      </c>
      <c r="AB231" t="s">
        <v>640</v>
      </c>
      <c r="AC231" t="s">
        <v>1252</v>
      </c>
      <c r="AD231" s="199">
        <v>4.777777777777778E-2</v>
      </c>
      <c r="AE231" s="199" t="s">
        <v>1374</v>
      </c>
      <c r="AF231" s="179">
        <v>71.5</v>
      </c>
      <c r="AG231" s="179">
        <v>5.9</v>
      </c>
      <c r="AH231" s="179">
        <v>0</v>
      </c>
      <c r="AI231" s="179">
        <v>4.3</v>
      </c>
      <c r="AJ231" s="179">
        <v>0</v>
      </c>
      <c r="AK231" s="179">
        <v>2.2000000000000002</v>
      </c>
      <c r="AL231" s="306">
        <v>3</v>
      </c>
      <c r="AM231" s="306">
        <v>2024</v>
      </c>
      <c r="AN231" s="250" t="s">
        <v>1587</v>
      </c>
      <c r="AP231" t="str">
        <f>IF(BD_Bloqueados[[#This Row],[Analista ]]&lt;&gt;"Ana C",MID(BD_Bloqueados[[#This Row],[ID]],3,5),MID(BD_Bloqueados[[#This Row],[ID]],4,5))</f>
        <v>08524</v>
      </c>
      <c r="AQ231">
        <v>95</v>
      </c>
      <c r="AR231">
        <v>2024</v>
      </c>
      <c r="AS231" s="72">
        <v>45292</v>
      </c>
      <c r="AT231" s="72">
        <v>45386</v>
      </c>
      <c r="AU231">
        <v>4</v>
      </c>
    </row>
    <row r="232" spans="1:47">
      <c r="A232" t="s">
        <v>1974</v>
      </c>
      <c r="B232">
        <v>2</v>
      </c>
      <c r="C232" s="72">
        <v>45374</v>
      </c>
      <c r="D232">
        <v>13</v>
      </c>
      <c r="E232" s="173">
        <v>0.22916666666666666</v>
      </c>
      <c r="F232" t="s">
        <v>136</v>
      </c>
      <c r="G232" t="s">
        <v>26</v>
      </c>
      <c r="H232" t="s">
        <v>165</v>
      </c>
      <c r="I232" t="s">
        <v>259</v>
      </c>
      <c r="J232" t="s">
        <v>169</v>
      </c>
      <c r="K232" t="s">
        <v>1975</v>
      </c>
      <c r="L232" t="s">
        <v>108</v>
      </c>
      <c r="M232" t="s">
        <v>1029</v>
      </c>
      <c r="N232">
        <v>967555800</v>
      </c>
      <c r="O232" t="s">
        <v>751</v>
      </c>
      <c r="P232" s="154">
        <v>13030605</v>
      </c>
      <c r="Q232" t="s">
        <v>138</v>
      </c>
      <c r="R232" t="s">
        <v>589</v>
      </c>
      <c r="S232" t="s">
        <v>1976</v>
      </c>
      <c r="T232" t="s">
        <v>1977</v>
      </c>
      <c r="U232" t="s">
        <v>1978</v>
      </c>
      <c r="V232" t="s">
        <v>1979</v>
      </c>
      <c r="W232" t="s">
        <v>101</v>
      </c>
      <c r="X232" t="s">
        <v>102</v>
      </c>
      <c r="Y232" s="229">
        <v>3675</v>
      </c>
      <c r="Z232" s="176">
        <v>0</v>
      </c>
      <c r="AA232">
        <v>83</v>
      </c>
      <c r="AB232" t="s">
        <v>1356</v>
      </c>
      <c r="AC232" t="s">
        <v>1349</v>
      </c>
      <c r="AD232" s="199">
        <v>1</v>
      </c>
      <c r="AE232" s="199" t="s">
        <v>1292</v>
      </c>
      <c r="AF232" s="179"/>
      <c r="AG232" s="179"/>
      <c r="AH232" s="179"/>
      <c r="AI232" s="179"/>
      <c r="AJ232" s="179"/>
      <c r="AK232" s="179"/>
      <c r="AL232" s="306">
        <v>3</v>
      </c>
      <c r="AM232" s="306">
        <v>2024</v>
      </c>
      <c r="AN232" s="250"/>
      <c r="AP232" t="str">
        <f>IF(BD_Bloqueados[[#This Row],[Analista ]]&lt;&gt;"Ana C",MID(BD_Bloqueados[[#This Row],[ID]],3,5),MID(BD_Bloqueados[[#This Row],[ID]],4,5))</f>
        <v>08324</v>
      </c>
      <c r="AQ232">
        <v>64</v>
      </c>
      <c r="AR232">
        <v>2024</v>
      </c>
      <c r="AS232" s="72">
        <v>45292</v>
      </c>
      <c r="AT232" s="72">
        <v>45355</v>
      </c>
      <c r="AU232">
        <v>3</v>
      </c>
    </row>
    <row r="233" spans="1:47">
      <c r="A233" t="s">
        <v>2526</v>
      </c>
      <c r="B233">
        <v>2</v>
      </c>
      <c r="C233" s="72">
        <v>45373</v>
      </c>
      <c r="D233">
        <v>13</v>
      </c>
      <c r="E233" s="173">
        <v>0.97361111111111109</v>
      </c>
      <c r="F233" t="s">
        <v>136</v>
      </c>
      <c r="G233" t="s">
        <v>27</v>
      </c>
      <c r="H233" t="s">
        <v>231</v>
      </c>
      <c r="I233" t="s">
        <v>259</v>
      </c>
      <c r="J233" t="s">
        <v>599</v>
      </c>
      <c r="K233" t="s">
        <v>2527</v>
      </c>
      <c r="L233" t="s">
        <v>108</v>
      </c>
      <c r="M233" t="s">
        <v>1029</v>
      </c>
      <c r="N233">
        <v>967555800</v>
      </c>
      <c r="O233" t="s">
        <v>2528</v>
      </c>
      <c r="P233" s="154">
        <v>13030093</v>
      </c>
      <c r="Q233" t="s">
        <v>206</v>
      </c>
      <c r="R233" t="s">
        <v>584</v>
      </c>
      <c r="S233" t="s">
        <v>2529</v>
      </c>
      <c r="T233" t="s">
        <v>2530</v>
      </c>
      <c r="U233" t="s">
        <v>2531</v>
      </c>
      <c r="V233" t="s">
        <v>2532</v>
      </c>
      <c r="W233" t="s">
        <v>101</v>
      </c>
      <c r="X233" t="s">
        <v>129</v>
      </c>
      <c r="Y233" s="229">
        <v>116.25</v>
      </c>
      <c r="Z233" s="176">
        <v>313287.63157894701</v>
      </c>
      <c r="AA233">
        <v>81</v>
      </c>
      <c r="AB233" t="s">
        <v>1407</v>
      </c>
      <c r="AC233" t="s">
        <v>1349</v>
      </c>
      <c r="AD233" s="199">
        <v>0.47499999999999998</v>
      </c>
      <c r="AE233" s="199" t="s">
        <v>1374</v>
      </c>
      <c r="AF233" s="179">
        <v>798.2</v>
      </c>
      <c r="AG233" s="179">
        <v>267.10000000000002</v>
      </c>
      <c r="AH233" s="179">
        <v>149.69999999999999</v>
      </c>
      <c r="AI233" s="179">
        <v>53.3</v>
      </c>
      <c r="AJ233" s="179">
        <v>11.8</v>
      </c>
      <c r="AK233" s="179">
        <v>0</v>
      </c>
      <c r="AL233" s="306">
        <v>3</v>
      </c>
      <c r="AM233" s="306">
        <v>2024</v>
      </c>
      <c r="AN233" s="250"/>
      <c r="AP233" t="str">
        <f>IF(BD_Bloqueados[[#This Row],[Analista ]]&lt;&gt;"Ana C",MID(BD_Bloqueados[[#This Row],[ID]],3,5),MID(BD_Bloqueados[[#This Row],[ID]],4,5))</f>
        <v>08224</v>
      </c>
      <c r="AQ233">
        <v>88</v>
      </c>
      <c r="AR233">
        <v>2024</v>
      </c>
      <c r="AS233" s="72">
        <v>45292</v>
      </c>
      <c r="AT233" s="72">
        <v>45379</v>
      </c>
      <c r="AU233">
        <v>3</v>
      </c>
    </row>
    <row r="234" spans="1:47">
      <c r="A234" t="s">
        <v>1998</v>
      </c>
      <c r="B234">
        <v>2</v>
      </c>
      <c r="C234" s="72">
        <v>45372</v>
      </c>
      <c r="D234">
        <v>13</v>
      </c>
      <c r="E234" s="173">
        <v>0.31458333333333333</v>
      </c>
      <c r="F234" t="s">
        <v>78</v>
      </c>
      <c r="G234" t="s">
        <v>27</v>
      </c>
      <c r="H234" t="s">
        <v>189</v>
      </c>
      <c r="I234" t="s">
        <v>635</v>
      </c>
      <c r="J234" t="s">
        <v>626</v>
      </c>
      <c r="K234" t="s">
        <v>1999</v>
      </c>
      <c r="L234" t="s">
        <v>108</v>
      </c>
      <c r="M234" t="s">
        <v>1029</v>
      </c>
      <c r="N234">
        <v>967555800</v>
      </c>
      <c r="O234" t="s">
        <v>148</v>
      </c>
      <c r="P234" s="154">
        <v>13030495</v>
      </c>
      <c r="Q234" t="s">
        <v>185</v>
      </c>
      <c r="R234" t="s">
        <v>579</v>
      </c>
      <c r="S234" t="s">
        <v>2000</v>
      </c>
      <c r="T234" t="s">
        <v>2001</v>
      </c>
      <c r="U234" t="s">
        <v>2002</v>
      </c>
      <c r="V234" t="s">
        <v>2003</v>
      </c>
      <c r="W234" t="s">
        <v>101</v>
      </c>
      <c r="X234" t="s">
        <v>129</v>
      </c>
      <c r="Y234" s="229">
        <v>182</v>
      </c>
      <c r="Z234" s="176">
        <v>511515.40631578898</v>
      </c>
      <c r="AA234">
        <v>81</v>
      </c>
      <c r="AB234" t="s">
        <v>1400</v>
      </c>
      <c r="AC234" t="s">
        <v>1291</v>
      </c>
      <c r="AD234" s="199">
        <v>0.47499999999999998</v>
      </c>
      <c r="AE234" s="199" t="s">
        <v>1374</v>
      </c>
      <c r="AF234" s="179">
        <v>850.28800000000001</v>
      </c>
      <c r="AG234" s="179">
        <v>267.09699999999998</v>
      </c>
      <c r="AH234" s="179">
        <v>149.71899999999999</v>
      </c>
      <c r="AI234" s="179">
        <v>54.802</v>
      </c>
      <c r="AJ234" s="179">
        <v>13.093</v>
      </c>
      <c r="AK234" s="179">
        <v>0</v>
      </c>
      <c r="AL234" s="306">
        <v>3</v>
      </c>
      <c r="AM234" s="306">
        <v>2024</v>
      </c>
      <c r="AN234" s="250"/>
      <c r="AP234" t="str">
        <f>IF(BD_Bloqueados[[#This Row],[Analista ]]&lt;&gt;"Ana C",MID(BD_Bloqueados[[#This Row],[ID]],3,5),MID(BD_Bloqueados[[#This Row],[ID]],4,5))</f>
        <v>08124</v>
      </c>
      <c r="AQ234">
        <v>87</v>
      </c>
      <c r="AR234">
        <v>2024</v>
      </c>
      <c r="AS234" s="72">
        <v>45292</v>
      </c>
      <c r="AT234" s="72">
        <v>45378</v>
      </c>
      <c r="AU234">
        <v>3</v>
      </c>
    </row>
    <row r="235" spans="1:47">
      <c r="A235" t="s">
        <v>2015</v>
      </c>
      <c r="B235">
        <v>2</v>
      </c>
      <c r="C235" s="72">
        <v>45370</v>
      </c>
      <c r="D235">
        <v>13</v>
      </c>
      <c r="E235" s="173">
        <v>0.72916666666666663</v>
      </c>
      <c r="F235" t="s">
        <v>109</v>
      </c>
      <c r="G235" t="s">
        <v>24</v>
      </c>
      <c r="H235" t="s">
        <v>82</v>
      </c>
      <c r="I235" t="s">
        <v>87</v>
      </c>
      <c r="J235" t="s">
        <v>576</v>
      </c>
      <c r="K235" t="s">
        <v>1606</v>
      </c>
      <c r="L235" t="s">
        <v>108</v>
      </c>
      <c r="M235" t="s">
        <v>1029</v>
      </c>
      <c r="N235">
        <v>967555800</v>
      </c>
      <c r="O235" t="s">
        <v>309</v>
      </c>
      <c r="P235" s="154">
        <v>13030396</v>
      </c>
      <c r="Q235" t="s">
        <v>185</v>
      </c>
      <c r="R235" t="s">
        <v>619</v>
      </c>
      <c r="S235" t="s">
        <v>2016</v>
      </c>
      <c r="T235" t="s">
        <v>2017</v>
      </c>
      <c r="U235" t="s">
        <v>2018</v>
      </c>
      <c r="V235" t="s">
        <v>2019</v>
      </c>
      <c r="W235" t="s">
        <v>101</v>
      </c>
      <c r="X235" t="s">
        <v>102</v>
      </c>
      <c r="Y235" s="229">
        <v>756</v>
      </c>
      <c r="Z235" s="176">
        <v>0</v>
      </c>
      <c r="AA235">
        <v>79</v>
      </c>
      <c r="AD235" s="199"/>
      <c r="AE235" s="199"/>
      <c r="AF235" s="179"/>
      <c r="AG235" s="179"/>
      <c r="AH235" s="179"/>
      <c r="AI235" s="179"/>
      <c r="AJ235" s="179"/>
      <c r="AK235" s="179"/>
      <c r="AL235" s="306">
        <v>3</v>
      </c>
      <c r="AM235" s="306">
        <v>2024</v>
      </c>
      <c r="AN235" s="250"/>
      <c r="AP235" t="str">
        <f>IF(BD_Bloqueados[[#This Row],[Analista ]]&lt;&gt;"Ana C",MID(BD_Bloqueados[[#This Row],[ID]],3,5),MID(BD_Bloqueados[[#This Row],[ID]],4,5))</f>
        <v>07924</v>
      </c>
      <c r="AQ235">
        <v>83</v>
      </c>
      <c r="AR235">
        <v>2024</v>
      </c>
      <c r="AS235" s="72">
        <v>45292</v>
      </c>
      <c r="AT235" s="72">
        <v>45374</v>
      </c>
      <c r="AU235">
        <v>3</v>
      </c>
    </row>
    <row r="236" spans="1:47">
      <c r="A236" t="s">
        <v>2020</v>
      </c>
      <c r="B236">
        <v>2</v>
      </c>
      <c r="C236" s="72">
        <v>45369</v>
      </c>
      <c r="D236">
        <v>13</v>
      </c>
      <c r="E236" s="173">
        <v>0.83333333333333337</v>
      </c>
      <c r="F236" t="s">
        <v>109</v>
      </c>
      <c r="G236" t="s">
        <v>29</v>
      </c>
      <c r="H236" t="s">
        <v>165</v>
      </c>
      <c r="I236" t="s">
        <v>645</v>
      </c>
      <c r="J236" t="s">
        <v>595</v>
      </c>
      <c r="K236" t="s">
        <v>2021</v>
      </c>
      <c r="L236" t="s">
        <v>108</v>
      </c>
      <c r="M236" t="s">
        <v>1029</v>
      </c>
      <c r="N236">
        <v>967555800</v>
      </c>
      <c r="O236" t="s">
        <v>818</v>
      </c>
      <c r="P236" s="154">
        <v>13030606</v>
      </c>
      <c r="Q236" t="s">
        <v>206</v>
      </c>
      <c r="R236" t="s">
        <v>110</v>
      </c>
      <c r="S236" t="s">
        <v>2022</v>
      </c>
      <c r="T236" t="s">
        <v>2023</v>
      </c>
      <c r="U236" t="s">
        <v>2024</v>
      </c>
      <c r="V236" t="s">
        <v>2025</v>
      </c>
      <c r="W236" t="s">
        <v>101</v>
      </c>
      <c r="X236" t="s">
        <v>102</v>
      </c>
      <c r="Y236" s="229"/>
      <c r="Z236" s="176">
        <v>0</v>
      </c>
      <c r="AA236">
        <v>78</v>
      </c>
      <c r="AD236" s="199"/>
      <c r="AE236" s="199"/>
      <c r="AF236" s="179"/>
      <c r="AG236" s="179"/>
      <c r="AH236" s="179"/>
      <c r="AI236" s="179"/>
      <c r="AJ236" s="179"/>
      <c r="AK236" s="179"/>
      <c r="AL236" s="306">
        <v>3</v>
      </c>
      <c r="AM236" s="306">
        <v>2024</v>
      </c>
      <c r="AN236" s="250"/>
      <c r="AP236" t="str">
        <f>IF(BD_Bloqueados[[#This Row],[Analista ]]&lt;&gt;"Ana C",MID(BD_Bloqueados[[#This Row],[ID]],3,5),MID(BD_Bloqueados[[#This Row],[ID]],4,5))</f>
        <v>07824</v>
      </c>
      <c r="AQ236">
        <v>81</v>
      </c>
      <c r="AR236">
        <v>2024</v>
      </c>
      <c r="AS236" s="72">
        <v>45292</v>
      </c>
      <c r="AT236" s="72">
        <v>45372</v>
      </c>
      <c r="AU236">
        <v>3</v>
      </c>
    </row>
    <row r="237" spans="1:47">
      <c r="A237" t="s">
        <v>2004</v>
      </c>
      <c r="B237">
        <v>2</v>
      </c>
      <c r="C237" s="72">
        <v>45365</v>
      </c>
      <c r="D237">
        <v>12</v>
      </c>
      <c r="E237" s="173">
        <v>0.65833333333333333</v>
      </c>
      <c r="F237" t="s">
        <v>109</v>
      </c>
      <c r="G237" t="s">
        <v>32</v>
      </c>
      <c r="H237" t="s">
        <v>85</v>
      </c>
      <c r="I237" t="s">
        <v>212</v>
      </c>
      <c r="J237" t="s">
        <v>567</v>
      </c>
      <c r="K237" t="s">
        <v>2005</v>
      </c>
      <c r="L237" t="s">
        <v>108</v>
      </c>
      <c r="M237" t="s">
        <v>1029</v>
      </c>
      <c r="N237">
        <v>967555800</v>
      </c>
      <c r="O237" t="s">
        <v>200</v>
      </c>
      <c r="P237" s="154">
        <v>13030428</v>
      </c>
      <c r="Q237" t="s">
        <v>138</v>
      </c>
      <c r="R237" t="s">
        <v>589</v>
      </c>
      <c r="S237" t="s">
        <v>2006</v>
      </c>
      <c r="T237" t="s">
        <v>2007</v>
      </c>
      <c r="U237" t="s">
        <v>2008</v>
      </c>
      <c r="V237" t="s">
        <v>2009</v>
      </c>
      <c r="W237" t="s">
        <v>101</v>
      </c>
      <c r="X237" t="s">
        <v>156</v>
      </c>
      <c r="Y237" s="229">
        <v>31.68</v>
      </c>
      <c r="Z237" s="176">
        <v>10434.09312</v>
      </c>
      <c r="AA237">
        <v>73</v>
      </c>
      <c r="AB237" t="s">
        <v>1290</v>
      </c>
      <c r="AC237" t="s">
        <v>1252</v>
      </c>
      <c r="AD237" s="199">
        <v>1</v>
      </c>
      <c r="AE237" s="199" t="s">
        <v>1292</v>
      </c>
      <c r="AF237" s="179">
        <v>3.0910000000000002</v>
      </c>
      <c r="AG237" s="179">
        <v>173.721</v>
      </c>
      <c r="AH237" s="179">
        <v>0</v>
      </c>
      <c r="AI237" s="179">
        <v>151.233</v>
      </c>
      <c r="AJ237" s="179">
        <v>1.3140000000000001</v>
      </c>
      <c r="AK237" s="179">
        <v>0</v>
      </c>
      <c r="AL237" s="306">
        <v>3</v>
      </c>
      <c r="AM237" s="306">
        <v>2024</v>
      </c>
      <c r="AN237" s="250" t="s">
        <v>1611</v>
      </c>
      <c r="AP237" t="str">
        <f>IF(BD_Bloqueados[[#This Row],[Analista ]]&lt;&gt;"Ana C",MID(BD_Bloqueados[[#This Row],[ID]],3,5),MID(BD_Bloqueados[[#This Row],[ID]],4,5))</f>
        <v>07424</v>
      </c>
      <c r="AQ237">
        <v>79</v>
      </c>
      <c r="AR237">
        <v>2024</v>
      </c>
      <c r="AS237" s="72">
        <v>45292</v>
      </c>
      <c r="AT237" s="72">
        <v>45370</v>
      </c>
      <c r="AU237">
        <v>3</v>
      </c>
    </row>
    <row r="238" spans="1:47">
      <c r="A238" t="s">
        <v>2010</v>
      </c>
      <c r="B238">
        <v>2</v>
      </c>
      <c r="C238" s="72">
        <v>45364</v>
      </c>
      <c r="D238">
        <v>12</v>
      </c>
      <c r="E238" s="173">
        <v>0.70138888888888884</v>
      </c>
      <c r="F238" t="s">
        <v>109</v>
      </c>
      <c r="G238" t="s">
        <v>28</v>
      </c>
      <c r="H238" t="s">
        <v>139</v>
      </c>
      <c r="I238" t="s">
        <v>635</v>
      </c>
      <c r="J238" t="s">
        <v>626</v>
      </c>
      <c r="K238" t="s">
        <v>1270</v>
      </c>
      <c r="L238" t="s">
        <v>108</v>
      </c>
      <c r="M238" t="s">
        <v>1029</v>
      </c>
      <c r="N238">
        <v>967555800</v>
      </c>
      <c r="O238" t="s">
        <v>120</v>
      </c>
      <c r="P238" s="154">
        <v>13000012</v>
      </c>
      <c r="Q238" t="s">
        <v>138</v>
      </c>
      <c r="R238" t="s">
        <v>589</v>
      </c>
      <c r="S238" t="s">
        <v>2011</v>
      </c>
      <c r="T238" t="s">
        <v>2012</v>
      </c>
      <c r="U238" t="s">
        <v>2013</v>
      </c>
      <c r="V238" t="s">
        <v>2014</v>
      </c>
      <c r="W238" t="s">
        <v>101</v>
      </c>
      <c r="X238" t="s">
        <v>102</v>
      </c>
      <c r="Y238" s="229">
        <v>592.20000000000005</v>
      </c>
      <c r="Z238" s="176">
        <v>0</v>
      </c>
      <c r="AA238">
        <v>73</v>
      </c>
      <c r="AB238" t="s">
        <v>1356</v>
      </c>
      <c r="AC238" t="s">
        <v>1349</v>
      </c>
      <c r="AD238" s="199"/>
      <c r="AE238" s="199"/>
      <c r="AF238" s="179"/>
      <c r="AG238" s="179"/>
      <c r="AH238" s="179"/>
      <c r="AI238" s="179"/>
      <c r="AJ238" s="179"/>
      <c r="AK238" s="179"/>
      <c r="AL238" s="306">
        <v>3</v>
      </c>
      <c r="AM238" s="306">
        <v>2024</v>
      </c>
      <c r="AN238" s="250"/>
      <c r="AP238" t="str">
        <f>IF(BD_Bloqueados[[#This Row],[Analista ]]&lt;&gt;"Ana C",MID(BD_Bloqueados[[#This Row],[ID]],3,5),MID(BD_Bloqueados[[#This Row],[ID]],4,5))</f>
        <v>07324</v>
      </c>
      <c r="AQ238">
        <v>78</v>
      </c>
      <c r="AR238">
        <v>2024</v>
      </c>
      <c r="AS238" s="72">
        <v>45292</v>
      </c>
      <c r="AT238" s="72">
        <v>45369</v>
      </c>
      <c r="AU238">
        <v>3</v>
      </c>
    </row>
    <row r="239" spans="1:47">
      <c r="A239" t="s">
        <v>2032</v>
      </c>
      <c r="B239">
        <v>2</v>
      </c>
      <c r="C239" s="72">
        <v>45629</v>
      </c>
      <c r="D239">
        <v>12</v>
      </c>
      <c r="E239" s="173">
        <v>0.63402777777777775</v>
      </c>
      <c r="F239" t="s">
        <v>109</v>
      </c>
      <c r="G239" t="s">
        <v>28</v>
      </c>
      <c r="H239" t="s">
        <v>81</v>
      </c>
      <c r="I239" t="s">
        <v>635</v>
      </c>
      <c r="J239" t="s">
        <v>633</v>
      </c>
      <c r="K239" t="s">
        <v>2033</v>
      </c>
      <c r="L239" t="s">
        <v>108</v>
      </c>
      <c r="M239" t="s">
        <v>1029</v>
      </c>
      <c r="N239">
        <v>967555800</v>
      </c>
      <c r="O239" t="s">
        <v>147</v>
      </c>
      <c r="P239" s="154">
        <v>13000013</v>
      </c>
      <c r="Q239" t="s">
        <v>206</v>
      </c>
      <c r="R239" t="s">
        <v>110</v>
      </c>
      <c r="S239" t="s">
        <v>2034</v>
      </c>
      <c r="T239" t="s">
        <v>2035</v>
      </c>
      <c r="U239" t="s">
        <v>2036</v>
      </c>
      <c r="V239" t="s">
        <v>2037</v>
      </c>
      <c r="W239" t="s">
        <v>101</v>
      </c>
      <c r="X239" t="s">
        <v>102</v>
      </c>
      <c r="Y239" s="229">
        <v>928</v>
      </c>
      <c r="Z239" s="176">
        <v>0</v>
      </c>
      <c r="AA239">
        <v>71</v>
      </c>
      <c r="AB239" t="s">
        <v>1407</v>
      </c>
      <c r="AC239" t="s">
        <v>1291</v>
      </c>
      <c r="AD239" s="199"/>
      <c r="AE239" s="199"/>
      <c r="AF239" s="179"/>
      <c r="AG239" s="179"/>
      <c r="AH239" s="179"/>
      <c r="AI239" s="179"/>
      <c r="AJ239" s="179"/>
      <c r="AK239" s="179"/>
      <c r="AL239" s="306">
        <v>3</v>
      </c>
      <c r="AM239" s="306">
        <v>2024</v>
      </c>
      <c r="AN239" s="250"/>
      <c r="AP239" t="str">
        <f>IF(BD_Bloqueados[[#This Row],[Analista ]]&lt;&gt;"Ana C",MID(BD_Bloqueados[[#This Row],[ID]],3,5),MID(BD_Bloqueados[[#This Row],[ID]],4,5))</f>
        <v>07224</v>
      </c>
      <c r="AQ239">
        <v>74</v>
      </c>
      <c r="AR239">
        <v>2024</v>
      </c>
      <c r="AS239" s="72">
        <v>45292</v>
      </c>
      <c r="AT239" s="72">
        <v>45365</v>
      </c>
      <c r="AU239">
        <v>3</v>
      </c>
    </row>
    <row r="240" spans="1:47">
      <c r="A240" t="s">
        <v>4686</v>
      </c>
      <c r="B240">
        <v>2</v>
      </c>
      <c r="C240" s="308">
        <v>45538</v>
      </c>
      <c r="D240">
        <v>37</v>
      </c>
      <c r="E240" s="173">
        <v>0.73958333333333337</v>
      </c>
      <c r="F240" t="s">
        <v>109</v>
      </c>
      <c r="G240" t="s">
        <v>28</v>
      </c>
      <c r="H240" t="s">
        <v>165</v>
      </c>
      <c r="I240" t="s">
        <v>248</v>
      </c>
      <c r="J240" t="s">
        <v>4682</v>
      </c>
      <c r="K240" t="s">
        <v>1175</v>
      </c>
      <c r="L240" t="s">
        <v>108</v>
      </c>
      <c r="M240" t="s">
        <v>1029</v>
      </c>
      <c r="N240">
        <v>967555800</v>
      </c>
      <c r="O240" t="s">
        <v>120</v>
      </c>
      <c r="P240" s="154">
        <v>13000012</v>
      </c>
      <c r="Q240" t="s">
        <v>206</v>
      </c>
      <c r="R240" t="s">
        <v>579</v>
      </c>
      <c r="S240" t="s">
        <v>4681</v>
      </c>
      <c r="T240" t="s">
        <v>4684</v>
      </c>
      <c r="U240" t="s">
        <v>4683</v>
      </c>
      <c r="W240" t="s">
        <v>101</v>
      </c>
      <c r="Y240" s="229" t="s">
        <v>4685</v>
      </c>
      <c r="Z240" s="176"/>
      <c r="AA240">
        <v>86</v>
      </c>
      <c r="AD240" s="199"/>
      <c r="AE240" s="199"/>
      <c r="AF240" s="179"/>
      <c r="AG240" s="179"/>
      <c r="AH240" s="179"/>
      <c r="AI240" s="179"/>
      <c r="AJ240" s="179"/>
      <c r="AK240" s="179"/>
      <c r="AL240" s="306">
        <v>3</v>
      </c>
      <c r="AM240" s="306">
        <v>2024</v>
      </c>
      <c r="AN240" s="250"/>
      <c r="AP240" t="str">
        <f>IF(BD_Bloqueados[[#This Row],[Analista ]]&lt;&gt;"Ana C",MID(BD_Bloqueados[[#This Row],[ID]],3,5),MID(BD_Bloqueados[[#This Row],[ID]],4,5))</f>
        <v>24724</v>
      </c>
      <c r="AQ240">
        <v>73</v>
      </c>
      <c r="AR240">
        <v>2024</v>
      </c>
      <c r="AS240" s="72">
        <v>45292</v>
      </c>
      <c r="AT240" s="72">
        <v>45364</v>
      </c>
      <c r="AU240">
        <v>3</v>
      </c>
    </row>
    <row r="241" spans="1:47">
      <c r="A241" t="s">
        <v>2045</v>
      </c>
      <c r="B241">
        <v>2</v>
      </c>
      <c r="C241" s="72">
        <v>45538</v>
      </c>
      <c r="D241">
        <v>11</v>
      </c>
      <c r="E241" s="173">
        <v>0.14930555555555555</v>
      </c>
      <c r="F241" t="s">
        <v>136</v>
      </c>
      <c r="G241" t="s">
        <v>25</v>
      </c>
      <c r="H241" t="s">
        <v>187</v>
      </c>
      <c r="I241" t="s">
        <v>635</v>
      </c>
      <c r="J241" t="s">
        <v>567</v>
      </c>
      <c r="K241" t="s">
        <v>2046</v>
      </c>
      <c r="L241" t="s">
        <v>108</v>
      </c>
      <c r="M241" t="s">
        <v>1029</v>
      </c>
      <c r="N241">
        <v>967555800</v>
      </c>
      <c r="O241" t="s">
        <v>265</v>
      </c>
      <c r="P241" s="154">
        <v>13030402</v>
      </c>
      <c r="Q241" t="s">
        <v>185</v>
      </c>
      <c r="R241" t="s">
        <v>596</v>
      </c>
      <c r="S241" t="s">
        <v>2047</v>
      </c>
      <c r="T241" t="s">
        <v>2048</v>
      </c>
      <c r="U241" t="s">
        <v>2049</v>
      </c>
      <c r="V241" t="s">
        <v>2050</v>
      </c>
      <c r="W241" t="s">
        <v>101</v>
      </c>
      <c r="X241" t="s">
        <v>102</v>
      </c>
      <c r="Y241" s="229">
        <v>1.68</v>
      </c>
      <c r="Z241" s="176">
        <v>0</v>
      </c>
      <c r="AA241">
        <v>69</v>
      </c>
      <c r="AB241" t="s">
        <v>1282</v>
      </c>
      <c r="AC241" t="s">
        <v>1252</v>
      </c>
      <c r="AD241" s="199"/>
      <c r="AE241" s="199"/>
      <c r="AF241" s="179"/>
      <c r="AG241" s="179"/>
      <c r="AH241" s="179"/>
      <c r="AI241" s="179"/>
      <c r="AJ241" s="179"/>
      <c r="AK241" s="179"/>
      <c r="AL241" s="306">
        <v>3</v>
      </c>
      <c r="AM241" s="306">
        <v>2024</v>
      </c>
      <c r="AN241" s="250" t="s">
        <v>1283</v>
      </c>
      <c r="AP241" t="str">
        <f>IF(BD_Bloqueados[[#This Row],[Analista ]]&lt;&gt;"Ana C",MID(BD_Bloqueados[[#This Row],[ID]],3,5),MID(BD_Bloqueados[[#This Row],[ID]],4,5))</f>
        <v>06924</v>
      </c>
      <c r="AQ241">
        <v>135</v>
      </c>
      <c r="AR241">
        <v>2024</v>
      </c>
      <c r="AS241" s="72">
        <v>45292</v>
      </c>
      <c r="AT241" s="72">
        <v>45426</v>
      </c>
      <c r="AU241">
        <v>5</v>
      </c>
    </row>
    <row r="242" spans="1:47">
      <c r="A242" t="s">
        <v>4502</v>
      </c>
      <c r="B242">
        <v>2</v>
      </c>
      <c r="C242" s="308">
        <v>45507</v>
      </c>
      <c r="D242">
        <v>32</v>
      </c>
      <c r="E242" s="173">
        <v>0.62847222222222221</v>
      </c>
      <c r="F242" t="s">
        <v>109</v>
      </c>
      <c r="G242" t="s">
        <v>23</v>
      </c>
      <c r="H242" t="s">
        <v>139</v>
      </c>
      <c r="I242" t="s">
        <v>635</v>
      </c>
      <c r="J242" t="s">
        <v>169</v>
      </c>
      <c r="K242" t="s">
        <v>1285</v>
      </c>
      <c r="L242" t="s">
        <v>108</v>
      </c>
      <c r="M242" t="s">
        <v>1029</v>
      </c>
      <c r="N242">
        <v>967555800</v>
      </c>
      <c r="O242" t="s">
        <v>122</v>
      </c>
      <c r="P242" s="154">
        <v>12001472</v>
      </c>
      <c r="Q242" t="s">
        <v>138</v>
      </c>
      <c r="R242" t="s">
        <v>79</v>
      </c>
      <c r="S242" t="s">
        <v>4498</v>
      </c>
      <c r="T242" t="s">
        <v>4500</v>
      </c>
      <c r="U242" t="s">
        <v>4499</v>
      </c>
      <c r="V242" t="s">
        <v>4501</v>
      </c>
      <c r="W242" t="s">
        <v>101</v>
      </c>
      <c r="X242" t="s">
        <v>102</v>
      </c>
      <c r="Y242" s="229">
        <v>1200</v>
      </c>
      <c r="Z242" s="176">
        <v>0</v>
      </c>
      <c r="AA242">
        <v>216</v>
      </c>
      <c r="AD242" s="199"/>
      <c r="AE242" s="199"/>
      <c r="AF242" s="179"/>
      <c r="AG242" s="179"/>
      <c r="AH242" s="179"/>
      <c r="AI242" s="179"/>
      <c r="AJ242" s="179"/>
      <c r="AK242" s="179"/>
      <c r="AL242" s="306">
        <v>3</v>
      </c>
      <c r="AM242" s="306">
        <v>2024</v>
      </c>
      <c r="AN242" s="250"/>
      <c r="AP242" t="str">
        <f>IF(BD_Bloqueados[[#This Row],[Analista ]]&lt;&gt;"Ana C",MID(BD_Bloqueados[[#This Row],[ID]],3,5),MID(BD_Bloqueados[[#This Row],[ID]],4,5))</f>
        <v>21624</v>
      </c>
      <c r="AQ242">
        <v>72</v>
      </c>
      <c r="AR242">
        <v>2024</v>
      </c>
      <c r="AS242" s="72">
        <v>45292</v>
      </c>
      <c r="AT242" s="72">
        <v>45363</v>
      </c>
      <c r="AU242">
        <v>3</v>
      </c>
    </row>
    <row r="243" spans="1:47">
      <c r="A243" t="s">
        <v>2063</v>
      </c>
      <c r="B243">
        <v>2</v>
      </c>
      <c r="C243" s="72">
        <v>45446</v>
      </c>
      <c r="D243">
        <v>11</v>
      </c>
      <c r="E243" s="173">
        <v>0.9784722222222223</v>
      </c>
      <c r="F243" t="s">
        <v>136</v>
      </c>
      <c r="G243" t="s">
        <v>27</v>
      </c>
      <c r="H243" t="s">
        <v>189</v>
      </c>
      <c r="I243" t="s">
        <v>635</v>
      </c>
      <c r="J243" t="s">
        <v>626</v>
      </c>
      <c r="K243" t="s">
        <v>1143</v>
      </c>
      <c r="L243" t="s">
        <v>108</v>
      </c>
      <c r="M243" t="s">
        <v>1029</v>
      </c>
      <c r="N243">
        <v>967555800</v>
      </c>
      <c r="O243" t="s">
        <v>237</v>
      </c>
      <c r="P243" s="154">
        <v>13030190</v>
      </c>
      <c r="Q243" t="s">
        <v>80</v>
      </c>
      <c r="R243" t="s">
        <v>589</v>
      </c>
      <c r="S243" t="s">
        <v>2064</v>
      </c>
      <c r="T243" t="s">
        <v>2065</v>
      </c>
      <c r="U243" t="s">
        <v>2066</v>
      </c>
      <c r="V243" t="s">
        <v>2067</v>
      </c>
      <c r="W243" t="s">
        <v>101</v>
      </c>
      <c r="X243" t="s">
        <v>102</v>
      </c>
      <c r="Y243" s="229">
        <v>157.5</v>
      </c>
      <c r="Z243" s="176">
        <v>0</v>
      </c>
      <c r="AA243">
        <v>65</v>
      </c>
      <c r="AB243" t="s">
        <v>1363</v>
      </c>
      <c r="AC243" t="s">
        <v>1349</v>
      </c>
      <c r="AD243" s="199"/>
      <c r="AE243" s="199"/>
      <c r="AF243" s="179"/>
      <c r="AG243" s="179"/>
      <c r="AH243" s="179"/>
      <c r="AI243" s="179"/>
      <c r="AJ243" s="179"/>
      <c r="AK243" s="179"/>
      <c r="AL243" s="305">
        <v>3</v>
      </c>
      <c r="AM243" s="306">
        <v>2024</v>
      </c>
      <c r="AN243" s="250"/>
      <c r="AP243" t="str">
        <f>IF(BD_Bloqueados[[#This Row],[Analista ]]&lt;&gt;"Ana C",MID(BD_Bloqueados[[#This Row],[ID]],3,5),MID(BD_Bloqueados[[#This Row],[ID]],4,5))</f>
        <v>06624</v>
      </c>
      <c r="AQ243">
        <v>24</v>
      </c>
      <c r="AR243">
        <v>2024</v>
      </c>
      <c r="AS243" s="72">
        <v>45292</v>
      </c>
      <c r="AT243" s="72">
        <v>45315</v>
      </c>
      <c r="AU243">
        <v>1</v>
      </c>
    </row>
    <row r="244" spans="1:47">
      <c r="A244" t="s">
        <v>2068</v>
      </c>
      <c r="B244">
        <v>2</v>
      </c>
      <c r="C244" s="72">
        <v>45446</v>
      </c>
      <c r="D244">
        <v>11</v>
      </c>
      <c r="E244" s="173">
        <v>0.97013888888888899</v>
      </c>
      <c r="F244" t="s">
        <v>136</v>
      </c>
      <c r="G244" t="s">
        <v>27</v>
      </c>
      <c r="H244" t="s">
        <v>209</v>
      </c>
      <c r="I244" t="s">
        <v>635</v>
      </c>
      <c r="J244" t="s">
        <v>626</v>
      </c>
      <c r="K244" t="s">
        <v>1143</v>
      </c>
      <c r="L244" t="s">
        <v>108</v>
      </c>
      <c r="M244" t="s">
        <v>1029</v>
      </c>
      <c r="N244">
        <v>967555800</v>
      </c>
      <c r="O244" t="s">
        <v>99</v>
      </c>
      <c r="P244" s="154">
        <v>13001756</v>
      </c>
      <c r="Q244" t="s">
        <v>80</v>
      </c>
      <c r="R244" t="s">
        <v>589</v>
      </c>
      <c r="S244" t="s">
        <v>2069</v>
      </c>
      <c r="T244" t="s">
        <v>2070</v>
      </c>
      <c r="U244" t="s">
        <v>2071</v>
      </c>
      <c r="V244" t="s">
        <v>2072</v>
      </c>
      <c r="W244" t="s">
        <v>101</v>
      </c>
      <c r="X244" t="s">
        <v>102</v>
      </c>
      <c r="Y244" s="229">
        <v>972</v>
      </c>
      <c r="Z244" s="176">
        <v>0</v>
      </c>
      <c r="AA244">
        <v>65</v>
      </c>
      <c r="AB244" t="s">
        <v>1491</v>
      </c>
      <c r="AC244" t="s">
        <v>1252</v>
      </c>
      <c r="AD244" s="199"/>
      <c r="AE244" s="199"/>
      <c r="AF244" s="179"/>
      <c r="AG244" s="179"/>
      <c r="AH244" s="179"/>
      <c r="AI244" s="179"/>
      <c r="AJ244" s="179"/>
      <c r="AK244" s="179"/>
      <c r="AL244" s="305">
        <v>3</v>
      </c>
      <c r="AM244" s="306">
        <v>2024</v>
      </c>
      <c r="AN244" s="250" t="s">
        <v>1283</v>
      </c>
      <c r="AP244" t="str">
        <f>IF(BD_Bloqueados[[#This Row],[Analista ]]&lt;&gt;"Ana C",MID(BD_Bloqueados[[#This Row],[ID]],3,5),MID(BD_Bloqueados[[#This Row],[ID]],4,5))</f>
        <v>06624</v>
      </c>
      <c r="AQ244">
        <v>69</v>
      </c>
      <c r="AR244">
        <v>2024</v>
      </c>
      <c r="AS244" s="72">
        <v>45292</v>
      </c>
      <c r="AT244" s="72">
        <v>45360</v>
      </c>
      <c r="AU244">
        <v>3</v>
      </c>
    </row>
    <row r="245" spans="1:47">
      <c r="A245" t="s">
        <v>2079</v>
      </c>
      <c r="B245">
        <v>2</v>
      </c>
      <c r="C245" s="72">
        <v>45415</v>
      </c>
      <c r="D245">
        <v>11</v>
      </c>
      <c r="E245" s="173">
        <v>0.98124999999999996</v>
      </c>
      <c r="F245" t="s">
        <v>136</v>
      </c>
      <c r="G245" t="s">
        <v>31</v>
      </c>
      <c r="H245" t="s">
        <v>114</v>
      </c>
      <c r="I245" t="s">
        <v>615</v>
      </c>
      <c r="J245" t="s">
        <v>567</v>
      </c>
      <c r="K245" t="s">
        <v>2080</v>
      </c>
      <c r="L245" t="s">
        <v>108</v>
      </c>
      <c r="M245" t="s">
        <v>1029</v>
      </c>
      <c r="N245">
        <v>967555800</v>
      </c>
      <c r="O245" t="s">
        <v>97</v>
      </c>
      <c r="P245" s="154">
        <v>13030492</v>
      </c>
      <c r="Q245" t="s">
        <v>185</v>
      </c>
      <c r="R245" t="s">
        <v>600</v>
      </c>
      <c r="S245" t="s">
        <v>2081</v>
      </c>
      <c r="T245" t="s">
        <v>2082</v>
      </c>
      <c r="U245" t="s">
        <v>2083</v>
      </c>
      <c r="V245" t="s">
        <v>2084</v>
      </c>
      <c r="W245" t="s">
        <v>101</v>
      </c>
      <c r="X245" t="s">
        <v>156</v>
      </c>
      <c r="Y245" s="229" t="s">
        <v>1141</v>
      </c>
      <c r="Z245" s="176">
        <v>932024016</v>
      </c>
      <c r="AA245" t="s">
        <v>2085</v>
      </c>
      <c r="AB245" t="s">
        <v>1459</v>
      </c>
      <c r="AC245" t="s">
        <v>1291</v>
      </c>
      <c r="AD245" s="199">
        <v>1</v>
      </c>
      <c r="AE245" s="199" t="s">
        <v>1292</v>
      </c>
      <c r="AF245" s="179">
        <v>3.0910000000000002</v>
      </c>
      <c r="AG245" s="179">
        <v>173.721</v>
      </c>
      <c r="AH245" s="179">
        <v>455.173</v>
      </c>
      <c r="AI245" s="179">
        <v>151.233</v>
      </c>
      <c r="AJ245" s="179">
        <v>1.3140000000000001</v>
      </c>
      <c r="AK245" s="179">
        <v>0</v>
      </c>
      <c r="AL245" s="305">
        <v>3</v>
      </c>
      <c r="AM245" s="306">
        <v>2024</v>
      </c>
      <c r="AN245" s="250"/>
      <c r="AP245" t="str">
        <f>IF(BD_Bloqueados[[#This Row],[Analista ]]&lt;&gt;"Ana C",MID(BD_Bloqueados[[#This Row],[ID]],3,5),MID(BD_Bloqueados[[#This Row],[ID]],4,5))</f>
        <v>06524</v>
      </c>
      <c r="AQ245">
        <v>55</v>
      </c>
      <c r="AR245">
        <v>2023</v>
      </c>
      <c r="AS245" s="72">
        <v>44927</v>
      </c>
      <c r="AT245" s="72">
        <v>44981</v>
      </c>
      <c r="AU245">
        <v>2</v>
      </c>
    </row>
    <row r="246" spans="1:47">
      <c r="A246" t="s">
        <v>2108</v>
      </c>
      <c r="B246">
        <v>2</v>
      </c>
      <c r="C246" s="72">
        <v>45415</v>
      </c>
      <c r="D246">
        <v>11</v>
      </c>
      <c r="E246" s="173">
        <v>0.15833333333333333</v>
      </c>
      <c r="F246" t="s">
        <v>136</v>
      </c>
      <c r="G246" t="s">
        <v>33</v>
      </c>
      <c r="H246" t="s">
        <v>33</v>
      </c>
      <c r="I246" t="s">
        <v>212</v>
      </c>
      <c r="J246" t="s">
        <v>572</v>
      </c>
      <c r="K246" t="s">
        <v>2109</v>
      </c>
      <c r="L246" t="s">
        <v>108</v>
      </c>
      <c r="M246" t="s">
        <v>1029</v>
      </c>
      <c r="N246">
        <v>967555800</v>
      </c>
      <c r="O246" t="s">
        <v>331</v>
      </c>
      <c r="P246" s="154">
        <v>13000471</v>
      </c>
      <c r="Q246" t="s">
        <v>138</v>
      </c>
      <c r="R246" t="s">
        <v>79</v>
      </c>
      <c r="S246" t="s">
        <v>2110</v>
      </c>
      <c r="T246" t="s">
        <v>2111</v>
      </c>
      <c r="U246" t="s">
        <v>1182</v>
      </c>
      <c r="W246" t="s">
        <v>101</v>
      </c>
      <c r="X246" t="s">
        <v>102</v>
      </c>
      <c r="Y246" s="229">
        <v>900</v>
      </c>
      <c r="Z246" s="176">
        <v>0</v>
      </c>
      <c r="AD246" s="199"/>
      <c r="AE246" s="199"/>
      <c r="AF246" s="179"/>
      <c r="AG246" s="179"/>
      <c r="AH246" s="179"/>
      <c r="AI246" s="179"/>
      <c r="AJ246" s="179"/>
      <c r="AK246" s="179"/>
      <c r="AL246" s="305">
        <v>3</v>
      </c>
      <c r="AM246" s="306">
        <v>2024</v>
      </c>
      <c r="AN246" s="250"/>
      <c r="AP246" t="str">
        <f>IF(BD_Bloqueados[[#This Row],[Analista ]]&lt;&gt;"Ana C",MID(BD_Bloqueados[[#This Row],[ID]],3,5),MID(BD_Bloqueados[[#This Row],[ID]],4,5))</f>
        <v>06524</v>
      </c>
      <c r="AQ246">
        <v>68</v>
      </c>
      <c r="AR246">
        <v>2024</v>
      </c>
      <c r="AS246" s="72">
        <v>45292</v>
      </c>
      <c r="AT246" s="72">
        <v>45359</v>
      </c>
      <c r="AU246">
        <v>3</v>
      </c>
    </row>
    <row r="247" spans="1:47">
      <c r="A247" t="s">
        <v>1594</v>
      </c>
      <c r="B247">
        <v>2</v>
      </c>
      <c r="C247" s="72">
        <v>45415</v>
      </c>
      <c r="D247">
        <v>11</v>
      </c>
      <c r="E247" s="173">
        <v>0.99305555555555547</v>
      </c>
      <c r="F247" t="s">
        <v>136</v>
      </c>
      <c r="G247" t="s">
        <v>25</v>
      </c>
      <c r="H247" t="s">
        <v>164</v>
      </c>
      <c r="I247" t="s">
        <v>635</v>
      </c>
      <c r="J247" t="s">
        <v>567</v>
      </c>
      <c r="K247" t="s">
        <v>1595</v>
      </c>
      <c r="L247" t="s">
        <v>108</v>
      </c>
      <c r="M247" t="s">
        <v>1029</v>
      </c>
      <c r="N247">
        <v>967555800</v>
      </c>
      <c r="O247" t="s">
        <v>265</v>
      </c>
      <c r="P247" s="154">
        <v>13030402</v>
      </c>
      <c r="Q247" t="s">
        <v>206</v>
      </c>
      <c r="R247" t="s">
        <v>584</v>
      </c>
      <c r="S247" t="s">
        <v>1596</v>
      </c>
      <c r="U247" t="s">
        <v>1597</v>
      </c>
      <c r="V247" t="s">
        <v>1598</v>
      </c>
      <c r="W247" t="s">
        <v>101</v>
      </c>
      <c r="X247" t="s">
        <v>102</v>
      </c>
      <c r="Y247" s="229">
        <v>0</v>
      </c>
      <c r="Z247" s="176">
        <v>0</v>
      </c>
      <c r="AA247" t="s">
        <v>1599</v>
      </c>
      <c r="AB247" t="s">
        <v>1407</v>
      </c>
      <c r="AC247" t="s">
        <v>1291</v>
      </c>
      <c r="AD247" s="199"/>
      <c r="AE247" s="199"/>
      <c r="AF247" s="179"/>
      <c r="AG247" s="179"/>
      <c r="AH247" s="179"/>
      <c r="AI247" s="179"/>
      <c r="AJ247" s="179"/>
      <c r="AK247" s="179"/>
      <c r="AL247" s="305">
        <v>3</v>
      </c>
      <c r="AM247" s="306">
        <v>2024</v>
      </c>
      <c r="AN247" s="250"/>
      <c r="AP247" t="str">
        <f>IF(BD_Bloqueados[[#This Row],[Analista ]]&lt;&gt;"Ana C",MID(BD_Bloqueados[[#This Row],[ID]],3,5),MID(BD_Bloqueados[[#This Row],[ID]],4,5))</f>
        <v>06524</v>
      </c>
      <c r="AQ247">
        <v>137</v>
      </c>
      <c r="AR247">
        <v>2024</v>
      </c>
      <c r="AS247" s="72">
        <v>45292</v>
      </c>
      <c r="AT247" s="72">
        <v>45428</v>
      </c>
      <c r="AU247">
        <v>5</v>
      </c>
    </row>
    <row r="248" spans="1:47">
      <c r="A248" t="s">
        <v>1605</v>
      </c>
      <c r="B248">
        <v>2</v>
      </c>
      <c r="C248" s="72">
        <v>45415</v>
      </c>
      <c r="D248">
        <v>11</v>
      </c>
      <c r="E248" s="173">
        <v>0.40625</v>
      </c>
      <c r="F248" t="s">
        <v>78</v>
      </c>
      <c r="G248" t="s">
        <v>24</v>
      </c>
      <c r="H248" t="s">
        <v>82</v>
      </c>
      <c r="I248" t="s">
        <v>87</v>
      </c>
      <c r="J248" t="s">
        <v>576</v>
      </c>
      <c r="K248" t="s">
        <v>1606</v>
      </c>
      <c r="L248" t="s">
        <v>108</v>
      </c>
      <c r="M248" t="s">
        <v>1029</v>
      </c>
      <c r="N248">
        <v>967555800</v>
      </c>
      <c r="O248" t="s">
        <v>95</v>
      </c>
      <c r="P248" s="154">
        <v>12001398</v>
      </c>
      <c r="Q248" t="s">
        <v>206</v>
      </c>
      <c r="R248" t="s">
        <v>584</v>
      </c>
      <c r="S248" t="s">
        <v>1607</v>
      </c>
      <c r="T248" t="s">
        <v>1608</v>
      </c>
      <c r="U248" t="s">
        <v>1609</v>
      </c>
      <c r="V248" t="s">
        <v>1610</v>
      </c>
      <c r="W248" t="s">
        <v>101</v>
      </c>
      <c r="X248" t="s">
        <v>102</v>
      </c>
      <c r="Y248" s="229">
        <v>2700</v>
      </c>
      <c r="Z248" s="176">
        <v>0</v>
      </c>
      <c r="AA248">
        <v>65</v>
      </c>
      <c r="AB248" t="s">
        <v>1407</v>
      </c>
      <c r="AC248" t="s">
        <v>1252</v>
      </c>
      <c r="AD248" s="199"/>
      <c r="AE248" s="199"/>
      <c r="AF248" s="179"/>
      <c r="AG248" s="179"/>
      <c r="AH248" s="179"/>
      <c r="AI248" s="179"/>
      <c r="AJ248" s="179"/>
      <c r="AK248" s="179"/>
      <c r="AL248" s="305">
        <v>3</v>
      </c>
      <c r="AM248" s="306">
        <v>2024</v>
      </c>
      <c r="AN248" s="250" t="s">
        <v>1611</v>
      </c>
      <c r="AP248" t="str">
        <f>IF(BD_Bloqueados[[#This Row],[Analista ]]&lt;&gt;"Ana C",MID(BD_Bloqueados[[#This Row],[ID]],3,5),MID(BD_Bloqueados[[#This Row],[ID]],4,5))</f>
        <v>06524</v>
      </c>
      <c r="AQ248">
        <v>185</v>
      </c>
      <c r="AR248">
        <v>2024</v>
      </c>
      <c r="AS248" s="72">
        <v>45292</v>
      </c>
      <c r="AT248" s="72">
        <v>45476</v>
      </c>
      <c r="AU248">
        <v>7</v>
      </c>
    </row>
    <row r="249" spans="1:47">
      <c r="A249" t="s">
        <v>1630</v>
      </c>
      <c r="B249">
        <v>2</v>
      </c>
      <c r="C249" s="72">
        <v>45415</v>
      </c>
      <c r="D249">
        <v>11</v>
      </c>
      <c r="E249" s="173">
        <v>0.15833333333333333</v>
      </c>
      <c r="F249" t="s">
        <v>136</v>
      </c>
      <c r="G249" t="s">
        <v>33</v>
      </c>
      <c r="H249" t="s">
        <v>33</v>
      </c>
      <c r="I249" t="s">
        <v>212</v>
      </c>
      <c r="J249" t="s">
        <v>572</v>
      </c>
      <c r="K249" t="s">
        <v>1631</v>
      </c>
      <c r="L249" t="s">
        <v>108</v>
      </c>
      <c r="M249" t="s">
        <v>1029</v>
      </c>
      <c r="N249">
        <v>967555800</v>
      </c>
      <c r="O249" t="s">
        <v>324</v>
      </c>
      <c r="P249" s="154">
        <v>13000469</v>
      </c>
      <c r="Q249" t="s">
        <v>138</v>
      </c>
      <c r="R249" t="s">
        <v>79</v>
      </c>
      <c r="S249" t="s">
        <v>1632</v>
      </c>
      <c r="T249" t="s">
        <v>1633</v>
      </c>
      <c r="U249" t="s">
        <v>1634</v>
      </c>
      <c r="V249" t="s">
        <v>1635</v>
      </c>
      <c r="W249" t="s">
        <v>101</v>
      </c>
      <c r="X249" t="s">
        <v>102</v>
      </c>
      <c r="Y249" s="229">
        <v>1680</v>
      </c>
      <c r="Z249" s="176">
        <v>0</v>
      </c>
      <c r="AA249">
        <v>62</v>
      </c>
      <c r="AD249" s="199"/>
      <c r="AE249" s="199"/>
      <c r="AF249" s="179"/>
      <c r="AG249" s="179"/>
      <c r="AH249" s="179"/>
      <c r="AI249" s="179"/>
      <c r="AJ249" s="179"/>
      <c r="AK249" s="179"/>
      <c r="AL249" s="305">
        <v>3</v>
      </c>
      <c r="AM249" s="306">
        <v>2024</v>
      </c>
      <c r="AN249" s="250"/>
      <c r="AP249" t="str">
        <f>IF(BD_Bloqueados[[#This Row],[Analista ]]&lt;&gt;"Ana C",MID(BD_Bloqueados[[#This Row],[ID]],3,5),MID(BD_Bloqueados[[#This Row],[ID]],4,5))</f>
        <v>06524</v>
      </c>
      <c r="AQ249">
        <v>155</v>
      </c>
      <c r="AR249">
        <v>2024</v>
      </c>
      <c r="AS249" s="72">
        <v>45292</v>
      </c>
      <c r="AT249" s="72">
        <v>45446</v>
      </c>
      <c r="AU249">
        <v>6</v>
      </c>
    </row>
    <row r="250" spans="1:47">
      <c r="A250" t="s">
        <v>2574</v>
      </c>
      <c r="B250">
        <v>2</v>
      </c>
      <c r="C250" s="72">
        <v>45415</v>
      </c>
      <c r="D250">
        <v>11</v>
      </c>
      <c r="E250" s="173">
        <v>4.1666666666666664E-2</v>
      </c>
      <c r="F250" t="s">
        <v>136</v>
      </c>
      <c r="G250" t="s">
        <v>24</v>
      </c>
      <c r="H250" t="s">
        <v>165</v>
      </c>
      <c r="I250" t="s">
        <v>615</v>
      </c>
      <c r="J250" t="s">
        <v>567</v>
      </c>
      <c r="K250" t="s">
        <v>2575</v>
      </c>
      <c r="L250" t="s">
        <v>108</v>
      </c>
      <c r="M250" t="s">
        <v>1029</v>
      </c>
      <c r="N250">
        <v>967555800</v>
      </c>
      <c r="O250" t="s">
        <v>303</v>
      </c>
      <c r="P250" s="154">
        <v>13030395</v>
      </c>
      <c r="Q250" t="s">
        <v>206</v>
      </c>
      <c r="R250" t="s">
        <v>584</v>
      </c>
      <c r="S250" t="s">
        <v>2576</v>
      </c>
      <c r="T250" t="s">
        <v>2577</v>
      </c>
      <c r="U250" t="s">
        <v>2578</v>
      </c>
      <c r="V250" t="s">
        <v>2579</v>
      </c>
      <c r="W250" t="s">
        <v>101</v>
      </c>
      <c r="X250" t="s">
        <v>129</v>
      </c>
      <c r="Y250" s="229">
        <v>86.02</v>
      </c>
      <c r="Z250" s="176">
        <v>52953.911999999997</v>
      </c>
      <c r="AA250">
        <v>65</v>
      </c>
      <c r="AB250" t="s">
        <v>1407</v>
      </c>
      <c r="AC250" t="s">
        <v>1349</v>
      </c>
      <c r="AD250" s="199">
        <v>1</v>
      </c>
      <c r="AE250" s="199" t="s">
        <v>1292</v>
      </c>
      <c r="AF250" s="179">
        <v>10.9</v>
      </c>
      <c r="AG250" s="179">
        <v>0</v>
      </c>
      <c r="AH250" s="179">
        <v>540.29999999999995</v>
      </c>
      <c r="AI250" s="179">
        <v>55</v>
      </c>
      <c r="AJ250" s="179">
        <v>9.4</v>
      </c>
      <c r="AK250" s="179">
        <v>0</v>
      </c>
      <c r="AL250" s="305">
        <v>3</v>
      </c>
      <c r="AM250" s="306">
        <v>2024</v>
      </c>
      <c r="AN250" s="250"/>
      <c r="AP250" t="str">
        <f>IF(BD_Bloqueados[[#This Row],[Analista ]]&lt;&gt;"Ana C",MID(BD_Bloqueados[[#This Row],[ID]],3,5),MID(BD_Bloqueados[[#This Row],[ID]],4,5))</f>
        <v>06524</v>
      </c>
      <c r="AQ250">
        <v>65</v>
      </c>
      <c r="AR250">
        <v>2024</v>
      </c>
      <c r="AS250" s="72">
        <v>45292</v>
      </c>
      <c r="AT250" s="72">
        <v>45356</v>
      </c>
      <c r="AU250">
        <v>3</v>
      </c>
    </row>
    <row r="251" spans="1:47">
      <c r="A251" t="s">
        <v>1846</v>
      </c>
      <c r="B251">
        <v>2</v>
      </c>
      <c r="C251" s="72">
        <v>45385</v>
      </c>
      <c r="D251">
        <v>11</v>
      </c>
      <c r="E251" s="173">
        <v>0.44444444444444442</v>
      </c>
      <c r="F251" t="s">
        <v>78</v>
      </c>
      <c r="G251" t="s">
        <v>25</v>
      </c>
      <c r="H251" t="s">
        <v>164</v>
      </c>
      <c r="I251" t="s">
        <v>645</v>
      </c>
      <c r="J251" t="s">
        <v>603</v>
      </c>
      <c r="K251" t="s">
        <v>1847</v>
      </c>
      <c r="L251" t="s">
        <v>108</v>
      </c>
      <c r="M251" t="s">
        <v>1029</v>
      </c>
      <c r="N251">
        <v>967555800</v>
      </c>
      <c r="O251" t="s">
        <v>265</v>
      </c>
      <c r="P251" s="154">
        <v>13030402</v>
      </c>
      <c r="Q251" t="s">
        <v>206</v>
      </c>
      <c r="R251" t="s">
        <v>584</v>
      </c>
      <c r="S251" t="s">
        <v>1848</v>
      </c>
      <c r="T251" t="s">
        <v>1849</v>
      </c>
      <c r="U251" t="s">
        <v>1850</v>
      </c>
      <c r="V251" t="s">
        <v>1851</v>
      </c>
      <c r="W251" t="s">
        <v>101</v>
      </c>
      <c r="X251" t="s">
        <v>129</v>
      </c>
      <c r="Y251" s="229">
        <v>2400</v>
      </c>
      <c r="Z251" s="176">
        <v>1080000</v>
      </c>
      <c r="AA251">
        <v>64</v>
      </c>
      <c r="AB251" t="s">
        <v>1407</v>
      </c>
      <c r="AC251" t="s">
        <v>1349</v>
      </c>
      <c r="AD251" s="199">
        <v>1</v>
      </c>
      <c r="AE251" s="199" t="s">
        <v>1292</v>
      </c>
      <c r="AF251" s="179">
        <v>0</v>
      </c>
      <c r="AG251" s="179">
        <v>0</v>
      </c>
      <c r="AH251" s="179">
        <v>0</v>
      </c>
      <c r="AI251" s="179">
        <v>450</v>
      </c>
      <c r="AJ251" s="179">
        <v>0</v>
      </c>
      <c r="AK251" s="179">
        <v>0</v>
      </c>
      <c r="AL251" s="305">
        <v>3</v>
      </c>
      <c r="AM251" s="306">
        <v>2024</v>
      </c>
      <c r="AN251" s="250"/>
      <c r="AP251" t="str">
        <f>IF(BD_Bloqueados[[#This Row],[Analista ]]&lt;&gt;"Ana C",MID(BD_Bloqueados[[#This Row],[ID]],3,5),MID(BD_Bloqueados[[#This Row],[ID]],4,5))</f>
        <v>06424</v>
      </c>
      <c r="AQ251">
        <v>65</v>
      </c>
      <c r="AR251">
        <v>2024</v>
      </c>
      <c r="AS251" s="72">
        <v>45292</v>
      </c>
      <c r="AT251" s="72">
        <v>45356</v>
      </c>
      <c r="AU251">
        <v>3</v>
      </c>
    </row>
    <row r="252" spans="1:47">
      <c r="A252" t="s">
        <v>2117</v>
      </c>
      <c r="B252">
        <v>2</v>
      </c>
      <c r="C252" s="72">
        <v>45385</v>
      </c>
      <c r="D252">
        <v>11</v>
      </c>
      <c r="E252" s="173">
        <v>0.7270833333333333</v>
      </c>
      <c r="F252" t="s">
        <v>109</v>
      </c>
      <c r="G252" t="s">
        <v>28</v>
      </c>
      <c r="H252" t="s">
        <v>81</v>
      </c>
      <c r="I252" t="s">
        <v>190</v>
      </c>
      <c r="J252" t="s">
        <v>599</v>
      </c>
      <c r="K252" t="s">
        <v>1387</v>
      </c>
      <c r="L252" t="s">
        <v>77</v>
      </c>
      <c r="M252" t="s">
        <v>695</v>
      </c>
      <c r="N252">
        <v>5920758</v>
      </c>
      <c r="O252" t="s">
        <v>514</v>
      </c>
      <c r="P252" s="154">
        <v>10003474</v>
      </c>
      <c r="Q252" t="s">
        <v>138</v>
      </c>
      <c r="R252" t="s">
        <v>79</v>
      </c>
      <c r="S252" t="s">
        <v>2118</v>
      </c>
      <c r="T252" t="s">
        <v>2119</v>
      </c>
      <c r="U252" t="s">
        <v>2120</v>
      </c>
      <c r="V252" t="s">
        <v>2121</v>
      </c>
      <c r="W252" t="s">
        <v>101</v>
      </c>
      <c r="X252" t="s">
        <v>129</v>
      </c>
      <c r="Y252" s="229">
        <v>180</v>
      </c>
      <c r="Z252" s="176"/>
      <c r="AA252" t="s">
        <v>2122</v>
      </c>
      <c r="AD252" s="199"/>
      <c r="AE252" s="199"/>
      <c r="AF252" s="179"/>
      <c r="AG252" s="179"/>
      <c r="AH252" s="179"/>
      <c r="AI252" s="179"/>
      <c r="AJ252" s="179"/>
      <c r="AK252" s="179"/>
      <c r="AL252" s="305">
        <v>3</v>
      </c>
      <c r="AM252" s="306">
        <v>2024</v>
      </c>
      <c r="AN252" s="250"/>
      <c r="AP252" t="str">
        <f>IF(BD_Bloqueados[[#This Row],[Analista ]]&lt;&gt;"Ana C",MID(BD_Bloqueados[[#This Row],[ID]],3,5),MID(BD_Bloqueados[[#This Row],[ID]],4,5))</f>
        <v>06424</v>
      </c>
      <c r="AQ252">
        <v>124</v>
      </c>
      <c r="AR252">
        <v>2024</v>
      </c>
      <c r="AS252" s="72">
        <v>45292</v>
      </c>
      <c r="AT252" s="72">
        <v>45415</v>
      </c>
      <c r="AU252">
        <v>5</v>
      </c>
    </row>
    <row r="253" spans="1:47">
      <c r="A253" t="s">
        <v>1922</v>
      </c>
      <c r="B253">
        <v>2</v>
      </c>
      <c r="C253" s="72">
        <v>45385</v>
      </c>
      <c r="D253">
        <v>11</v>
      </c>
      <c r="E253" s="173">
        <v>0.49652777777777773</v>
      </c>
      <c r="F253" t="s">
        <v>78</v>
      </c>
      <c r="G253" t="s">
        <v>22</v>
      </c>
      <c r="H253" t="s">
        <v>164</v>
      </c>
      <c r="I253" t="s">
        <v>87</v>
      </c>
      <c r="J253" t="s">
        <v>603</v>
      </c>
      <c r="K253" t="s">
        <v>1923</v>
      </c>
      <c r="L253" t="s">
        <v>108</v>
      </c>
      <c r="M253" t="s">
        <v>1029</v>
      </c>
      <c r="N253">
        <v>967555800</v>
      </c>
      <c r="O253" t="s">
        <v>1924</v>
      </c>
      <c r="P253" s="154">
        <v>12001408</v>
      </c>
      <c r="Q253" t="s">
        <v>185</v>
      </c>
      <c r="R253" t="s">
        <v>589</v>
      </c>
      <c r="S253" t="s">
        <v>1925</v>
      </c>
      <c r="T253" t="s">
        <v>1926</v>
      </c>
      <c r="U253" t="s">
        <v>1927</v>
      </c>
      <c r="V253" t="s">
        <v>1928</v>
      </c>
      <c r="W253" t="s">
        <v>101</v>
      </c>
      <c r="X253" t="s">
        <v>156</v>
      </c>
      <c r="Y253" s="229">
        <v>270</v>
      </c>
      <c r="Z253" s="176">
        <v>3969.27</v>
      </c>
      <c r="AA253">
        <v>64</v>
      </c>
      <c r="AB253" t="s">
        <v>1491</v>
      </c>
      <c r="AC253" t="s">
        <v>1252</v>
      </c>
      <c r="AD253" s="199">
        <v>1</v>
      </c>
      <c r="AE253" s="199" t="s">
        <v>1292</v>
      </c>
      <c r="AF253" s="179">
        <v>0</v>
      </c>
      <c r="AG253" s="179">
        <v>0</v>
      </c>
      <c r="AH253" s="179">
        <v>0</v>
      </c>
      <c r="AI253" s="179">
        <v>14.701000000000001</v>
      </c>
      <c r="AJ253" s="179">
        <v>0</v>
      </c>
      <c r="AK253" s="179">
        <v>0</v>
      </c>
      <c r="AL253" s="305">
        <v>3</v>
      </c>
      <c r="AM253" s="306">
        <v>2024</v>
      </c>
      <c r="AN253" s="250" t="s">
        <v>1283</v>
      </c>
      <c r="AP253" t="str">
        <f>IF(BD_Bloqueados[[#This Row],[Analista ]]&lt;&gt;"Ana C",MID(BD_Bloqueados[[#This Row],[ID]],3,5),MID(BD_Bloqueados[[#This Row],[ID]],4,5))</f>
        <v>06424</v>
      </c>
      <c r="AQ253">
        <v>65</v>
      </c>
      <c r="AR253">
        <v>2024</v>
      </c>
      <c r="AS253" s="72">
        <v>45292</v>
      </c>
      <c r="AT253" s="72">
        <v>45356</v>
      </c>
      <c r="AU253">
        <v>3</v>
      </c>
    </row>
    <row r="254" spans="1:47">
      <c r="A254" t="s">
        <v>2626</v>
      </c>
      <c r="B254">
        <v>2</v>
      </c>
      <c r="C254" s="72">
        <v>45325</v>
      </c>
      <c r="D254">
        <v>10</v>
      </c>
      <c r="E254" s="173">
        <v>0.44444444444444442</v>
      </c>
      <c r="F254" t="s">
        <v>78</v>
      </c>
      <c r="G254" t="s">
        <v>28</v>
      </c>
      <c r="H254" t="s">
        <v>165</v>
      </c>
      <c r="I254" t="s">
        <v>212</v>
      </c>
      <c r="J254" t="s">
        <v>626</v>
      </c>
      <c r="K254" t="s">
        <v>1184</v>
      </c>
      <c r="L254" t="s">
        <v>108</v>
      </c>
      <c r="M254" t="s">
        <v>1029</v>
      </c>
      <c r="N254">
        <v>967555800</v>
      </c>
      <c r="O254" t="s">
        <v>341</v>
      </c>
      <c r="P254" s="154">
        <v>12000402</v>
      </c>
      <c r="Q254" t="s">
        <v>206</v>
      </c>
      <c r="R254" t="s">
        <v>579</v>
      </c>
      <c r="S254" t="s">
        <v>2627</v>
      </c>
      <c r="T254" t="s">
        <v>2628</v>
      </c>
      <c r="U254" t="s">
        <v>2629</v>
      </c>
      <c r="W254" t="s">
        <v>101</v>
      </c>
      <c r="X254" t="s">
        <v>129</v>
      </c>
      <c r="Y254" s="229">
        <v>55.3</v>
      </c>
      <c r="Z254" s="176">
        <v>137696.99999999997</v>
      </c>
      <c r="AA254">
        <v>62</v>
      </c>
      <c r="AB254" t="s">
        <v>1407</v>
      </c>
      <c r="AC254" t="s">
        <v>1291</v>
      </c>
      <c r="AD254" s="199">
        <v>0.1</v>
      </c>
      <c r="AE254" s="199">
        <v>127.6</v>
      </c>
      <c r="AF254" s="179">
        <v>127.6</v>
      </c>
      <c r="AG254" s="179">
        <v>0</v>
      </c>
      <c r="AH254" s="179">
        <v>72.099999999999994</v>
      </c>
      <c r="AI254" s="179">
        <v>34.700000000000003</v>
      </c>
      <c r="AJ254" s="179">
        <v>0</v>
      </c>
      <c r="AK254" s="179">
        <v>14.6</v>
      </c>
      <c r="AL254" s="305">
        <v>3</v>
      </c>
      <c r="AM254" s="306">
        <v>2024</v>
      </c>
      <c r="AN254" s="250"/>
      <c r="AP254" t="str">
        <f>IF(BD_Bloqueados[[#This Row],[Analista ]]&lt;&gt;"Ana C",MID(BD_Bloqueados[[#This Row],[ID]],3,5),MID(BD_Bloqueados[[#This Row],[ID]],4,5))</f>
        <v>06224</v>
      </c>
      <c r="AQ254">
        <v>124</v>
      </c>
      <c r="AR254">
        <v>2024</v>
      </c>
      <c r="AS254" s="72">
        <v>45292</v>
      </c>
      <c r="AT254" s="72">
        <v>45415</v>
      </c>
      <c r="AU254">
        <v>5</v>
      </c>
    </row>
    <row r="255" spans="1:47">
      <c r="A255" t="s">
        <v>2123</v>
      </c>
      <c r="B255">
        <v>2</v>
      </c>
      <c r="C255" s="72">
        <v>45351</v>
      </c>
      <c r="D255">
        <v>10</v>
      </c>
      <c r="E255" s="173">
        <v>0.55555555555555558</v>
      </c>
      <c r="F255" t="s">
        <v>78</v>
      </c>
      <c r="G255" t="s">
        <v>22</v>
      </c>
      <c r="H255" t="s">
        <v>139</v>
      </c>
      <c r="I255" t="s">
        <v>635</v>
      </c>
      <c r="J255" t="s">
        <v>567</v>
      </c>
      <c r="K255" t="s">
        <v>2124</v>
      </c>
      <c r="L255" t="s">
        <v>108</v>
      </c>
      <c r="M255" t="s">
        <v>1029</v>
      </c>
      <c r="N255">
        <v>967555800</v>
      </c>
      <c r="O255" t="s">
        <v>123</v>
      </c>
      <c r="P255" s="154">
        <v>13030401</v>
      </c>
      <c r="Q255" t="s">
        <v>138</v>
      </c>
      <c r="R255" t="s">
        <v>589</v>
      </c>
      <c r="S255" t="s">
        <v>2125</v>
      </c>
      <c r="T255" t="s">
        <v>2126</v>
      </c>
      <c r="U255" t="s">
        <v>2127</v>
      </c>
      <c r="V255" t="s">
        <v>2128</v>
      </c>
      <c r="W255" t="s">
        <v>101</v>
      </c>
      <c r="X255" t="s">
        <v>102</v>
      </c>
      <c r="Y255" s="229">
        <v>80</v>
      </c>
      <c r="Z255" s="176">
        <v>0</v>
      </c>
      <c r="AA255">
        <v>59</v>
      </c>
      <c r="AB255" t="s">
        <v>1356</v>
      </c>
      <c r="AC255" t="s">
        <v>1349</v>
      </c>
      <c r="AD255" s="199">
        <v>1</v>
      </c>
      <c r="AE255" s="199" t="s">
        <v>1292</v>
      </c>
      <c r="AF255" s="179">
        <v>0</v>
      </c>
      <c r="AG255" s="179">
        <v>0</v>
      </c>
      <c r="AH255" s="179">
        <v>0</v>
      </c>
      <c r="AI255" s="179">
        <v>0</v>
      </c>
      <c r="AJ255" s="179">
        <v>0</v>
      </c>
      <c r="AK255" s="179">
        <v>0</v>
      </c>
      <c r="AL255" s="305">
        <v>2</v>
      </c>
      <c r="AM255" s="306">
        <v>2024</v>
      </c>
      <c r="AN255" s="250"/>
      <c r="AP255" t="str">
        <f>IF(BD_Bloqueados[[#This Row],[Analista ]]&lt;&gt;"Ana C",MID(BD_Bloqueados[[#This Row],[ID]],3,5),MID(BD_Bloqueados[[#This Row],[ID]],4,5))</f>
        <v>06024</v>
      </c>
      <c r="AQ255">
        <v>64</v>
      </c>
      <c r="AR255">
        <v>2024</v>
      </c>
      <c r="AS255" s="72">
        <v>45292</v>
      </c>
      <c r="AT255" s="72">
        <v>45355</v>
      </c>
      <c r="AU255">
        <v>3</v>
      </c>
    </row>
    <row r="256" spans="1:47">
      <c r="A256" t="s">
        <v>2562</v>
      </c>
      <c r="B256">
        <v>2</v>
      </c>
      <c r="C256" s="72">
        <v>45351</v>
      </c>
      <c r="D256">
        <v>10</v>
      </c>
      <c r="E256" s="173">
        <v>0.67847222222222225</v>
      </c>
      <c r="F256" t="s">
        <v>109</v>
      </c>
      <c r="G256" t="s">
        <v>26</v>
      </c>
      <c r="H256" t="s">
        <v>165</v>
      </c>
      <c r="I256" t="s">
        <v>645</v>
      </c>
      <c r="J256" t="s">
        <v>607</v>
      </c>
      <c r="K256" t="s">
        <v>2563</v>
      </c>
      <c r="L256" t="s">
        <v>108</v>
      </c>
      <c r="M256" t="s">
        <v>1029</v>
      </c>
      <c r="N256">
        <v>967555800</v>
      </c>
      <c r="O256" t="s">
        <v>753</v>
      </c>
      <c r="P256" s="154">
        <v>13030301</v>
      </c>
      <c r="Q256" t="s">
        <v>185</v>
      </c>
      <c r="R256" t="s">
        <v>578</v>
      </c>
      <c r="S256" t="s">
        <v>2564</v>
      </c>
      <c r="T256" t="s">
        <v>2565</v>
      </c>
      <c r="U256" t="s">
        <v>2566</v>
      </c>
      <c r="V256" t="s">
        <v>2567</v>
      </c>
      <c r="W256" t="s">
        <v>101</v>
      </c>
      <c r="X256" t="s">
        <v>129</v>
      </c>
      <c r="Y256" s="229">
        <v>4011</v>
      </c>
      <c r="Z256" s="176">
        <v>2240945.6999999997</v>
      </c>
      <c r="AA256">
        <v>60</v>
      </c>
      <c r="AB256" t="s">
        <v>1407</v>
      </c>
      <c r="AC256" t="s">
        <v>1349</v>
      </c>
      <c r="AD256" s="199">
        <v>1</v>
      </c>
      <c r="AE256" s="199" t="s">
        <v>1292</v>
      </c>
      <c r="AF256" s="179">
        <v>0</v>
      </c>
      <c r="AG256" s="179">
        <v>9.3000000000000007</v>
      </c>
      <c r="AH256" s="179">
        <v>465.5</v>
      </c>
      <c r="AI256" s="179">
        <v>63.6</v>
      </c>
      <c r="AJ256" s="179">
        <v>20.3</v>
      </c>
      <c r="AK256" s="179">
        <v>0</v>
      </c>
      <c r="AL256" s="305">
        <v>2</v>
      </c>
      <c r="AM256" s="306">
        <v>2024</v>
      </c>
      <c r="AN256" s="250"/>
      <c r="AP256" t="str">
        <f>IF(BD_Bloqueados[[#This Row],[Analista ]]&lt;&gt;"Ana C",MID(BD_Bloqueados[[#This Row],[ID]],3,5),MID(BD_Bloqueados[[#This Row],[ID]],4,5))</f>
        <v>06024</v>
      </c>
      <c r="AQ256">
        <v>94</v>
      </c>
      <c r="AR256">
        <v>2024</v>
      </c>
      <c r="AS256" s="72">
        <v>45292</v>
      </c>
      <c r="AT256" s="72">
        <v>45385</v>
      </c>
      <c r="AU256">
        <v>4</v>
      </c>
    </row>
    <row r="257" spans="1:47">
      <c r="A257" t="s">
        <v>2129</v>
      </c>
      <c r="B257">
        <v>2</v>
      </c>
      <c r="C257" s="72">
        <v>45350</v>
      </c>
      <c r="D257">
        <v>10</v>
      </c>
      <c r="E257" s="173">
        <v>0.57638888888888895</v>
      </c>
      <c r="F257" t="s">
        <v>78</v>
      </c>
      <c r="G257" t="s">
        <v>25</v>
      </c>
      <c r="H257" t="s">
        <v>187</v>
      </c>
      <c r="I257" t="s">
        <v>212</v>
      </c>
      <c r="J257" t="s">
        <v>633</v>
      </c>
      <c r="K257" t="s">
        <v>2130</v>
      </c>
      <c r="L257" t="s">
        <v>108</v>
      </c>
      <c r="M257" t="s">
        <v>1029</v>
      </c>
      <c r="N257">
        <v>967555800</v>
      </c>
      <c r="O257" t="s">
        <v>265</v>
      </c>
      <c r="P257" s="154">
        <v>13030402</v>
      </c>
      <c r="Q257" t="s">
        <v>138</v>
      </c>
      <c r="R257" t="s">
        <v>640</v>
      </c>
      <c r="S257" t="s">
        <v>2131</v>
      </c>
      <c r="T257" t="s">
        <v>2132</v>
      </c>
      <c r="U257" t="s">
        <v>2133</v>
      </c>
      <c r="W257" t="s">
        <v>101</v>
      </c>
      <c r="X257" t="s">
        <v>129</v>
      </c>
      <c r="Y257" s="229">
        <v>633.6</v>
      </c>
      <c r="Z257" s="176">
        <v>336758.4</v>
      </c>
      <c r="AA257">
        <v>59</v>
      </c>
      <c r="AB257" t="s">
        <v>640</v>
      </c>
      <c r="AC257" t="s">
        <v>1686</v>
      </c>
      <c r="AD257" s="199">
        <v>1</v>
      </c>
      <c r="AE257" s="199" t="s">
        <v>1292</v>
      </c>
      <c r="AF257" s="179">
        <v>0</v>
      </c>
      <c r="AG257" s="179">
        <v>34.299999999999997</v>
      </c>
      <c r="AH257" s="179">
        <v>453.7</v>
      </c>
      <c r="AI257" s="179">
        <v>28.9</v>
      </c>
      <c r="AJ257" s="179">
        <v>0</v>
      </c>
      <c r="AK257" s="179">
        <v>14.6</v>
      </c>
      <c r="AL257" s="305">
        <v>2</v>
      </c>
      <c r="AM257" s="306">
        <v>2024</v>
      </c>
      <c r="AN257" s="250"/>
      <c r="AP257" t="str">
        <f>IF(BD_Bloqueados[[#This Row],[Analista ]]&lt;&gt;"Ana C",MID(BD_Bloqueados[[#This Row],[ID]],3,5),MID(BD_Bloqueados[[#This Row],[ID]],4,5))</f>
        <v>05924</v>
      </c>
      <c r="AQ257">
        <v>94</v>
      </c>
      <c r="AR257">
        <v>2024</v>
      </c>
      <c r="AS257" s="72">
        <v>45292</v>
      </c>
      <c r="AT257" s="72">
        <v>45385</v>
      </c>
      <c r="AU257">
        <v>4</v>
      </c>
    </row>
    <row r="258" spans="1:47">
      <c r="A258" t="s">
        <v>2134</v>
      </c>
      <c r="B258">
        <v>2</v>
      </c>
      <c r="C258" s="72">
        <v>45350</v>
      </c>
      <c r="D258">
        <v>10</v>
      </c>
      <c r="E258" s="173">
        <v>0.4861111111111111</v>
      </c>
      <c r="F258" t="s">
        <v>78</v>
      </c>
      <c r="G258" t="s">
        <v>28</v>
      </c>
      <c r="H258" t="s">
        <v>165</v>
      </c>
      <c r="I258" t="s">
        <v>615</v>
      </c>
      <c r="J258" t="s">
        <v>2135</v>
      </c>
      <c r="K258" t="s">
        <v>2136</v>
      </c>
      <c r="L258" t="s">
        <v>108</v>
      </c>
      <c r="M258" t="s">
        <v>1029</v>
      </c>
      <c r="N258">
        <v>967555800</v>
      </c>
      <c r="O258" t="s">
        <v>324</v>
      </c>
      <c r="P258" s="154">
        <v>13000469</v>
      </c>
      <c r="Q258" t="s">
        <v>138</v>
      </c>
      <c r="R258" t="s">
        <v>585</v>
      </c>
      <c r="S258" t="s">
        <v>2137</v>
      </c>
      <c r="T258" t="s">
        <v>2138</v>
      </c>
      <c r="U258" t="s">
        <v>2139</v>
      </c>
      <c r="W258" t="s">
        <v>101</v>
      </c>
      <c r="Y258" s="229">
        <v>183.75</v>
      </c>
      <c r="Z258" s="176">
        <v>0</v>
      </c>
      <c r="AA258">
        <v>18</v>
      </c>
      <c r="AB258" t="s">
        <v>2140</v>
      </c>
      <c r="AC258" t="s">
        <v>1252</v>
      </c>
      <c r="AD258" s="199"/>
      <c r="AE258" s="199"/>
      <c r="AF258" s="179"/>
      <c r="AG258" s="179"/>
      <c r="AH258" s="179"/>
      <c r="AI258" s="179"/>
      <c r="AJ258" s="179"/>
      <c r="AK258" s="179"/>
      <c r="AL258" s="305">
        <v>2</v>
      </c>
      <c r="AM258" s="306">
        <v>2024</v>
      </c>
      <c r="AN258" s="250" t="s">
        <v>1448</v>
      </c>
      <c r="AP258" t="str">
        <f>IF(BD_Bloqueados[[#This Row],[Analista ]]&lt;&gt;"Ana C",MID(BD_Bloqueados[[#This Row],[ID]],3,5),MID(BD_Bloqueados[[#This Row],[ID]],4,5))</f>
        <v>05924</v>
      </c>
      <c r="AQ258">
        <v>62</v>
      </c>
      <c r="AR258">
        <v>2024</v>
      </c>
      <c r="AS258" s="72">
        <v>45292</v>
      </c>
      <c r="AT258" s="72">
        <v>45353</v>
      </c>
      <c r="AU258">
        <v>3</v>
      </c>
    </row>
    <row r="259" spans="1:47">
      <c r="A259" t="s">
        <v>2141</v>
      </c>
      <c r="B259">
        <v>2</v>
      </c>
      <c r="C259" s="72">
        <v>45349</v>
      </c>
      <c r="D259">
        <v>10</v>
      </c>
      <c r="E259" s="173">
        <v>0.5</v>
      </c>
      <c r="F259" t="s">
        <v>78</v>
      </c>
      <c r="G259" t="s">
        <v>27</v>
      </c>
      <c r="H259" t="s">
        <v>209</v>
      </c>
      <c r="I259" t="s">
        <v>212</v>
      </c>
      <c r="J259" t="s">
        <v>618</v>
      </c>
      <c r="K259" t="s">
        <v>1232</v>
      </c>
      <c r="L259" t="s">
        <v>108</v>
      </c>
      <c r="M259" t="s">
        <v>1029</v>
      </c>
      <c r="N259">
        <v>967555800</v>
      </c>
      <c r="O259" t="s">
        <v>179</v>
      </c>
      <c r="P259" s="154">
        <v>13030505</v>
      </c>
      <c r="Q259" t="s">
        <v>185</v>
      </c>
      <c r="R259" t="s">
        <v>579</v>
      </c>
      <c r="S259" t="s">
        <v>2142</v>
      </c>
      <c r="T259" t="s">
        <v>2143</v>
      </c>
      <c r="U259" t="s">
        <v>2144</v>
      </c>
      <c r="V259" t="s">
        <v>2145</v>
      </c>
      <c r="W259" t="s">
        <v>101</v>
      </c>
      <c r="X259" t="s">
        <v>156</v>
      </c>
      <c r="Y259" s="229">
        <v>243.68</v>
      </c>
      <c r="Z259" s="176">
        <v>89860.411520000009</v>
      </c>
      <c r="AA259">
        <v>58</v>
      </c>
      <c r="AB259" t="s">
        <v>1400</v>
      </c>
      <c r="AC259" t="s">
        <v>1291</v>
      </c>
      <c r="AD259" s="199">
        <v>1</v>
      </c>
      <c r="AE259" s="199" t="s">
        <v>1292</v>
      </c>
      <c r="AF259" s="179">
        <v>17.303999999999998</v>
      </c>
      <c r="AG259" s="179">
        <v>137.364</v>
      </c>
      <c r="AH259" s="179">
        <v>0</v>
      </c>
      <c r="AI259" s="179">
        <v>210.42599999999999</v>
      </c>
      <c r="AJ259" s="179">
        <v>3.67</v>
      </c>
      <c r="AK259" s="179">
        <v>0</v>
      </c>
      <c r="AL259" s="305">
        <v>2</v>
      </c>
      <c r="AM259" s="306">
        <v>2024</v>
      </c>
      <c r="AN259" s="250"/>
      <c r="AP259" t="str">
        <f>IF(BD_Bloqueados[[#This Row],[Analista ]]&lt;&gt;"Ana C",MID(BD_Bloqueados[[#This Row],[ID]],3,5),MID(BD_Bloqueados[[#This Row],[ID]],4,5))</f>
        <v>05824</v>
      </c>
      <c r="AQ259">
        <v>60</v>
      </c>
      <c r="AR259">
        <v>2024</v>
      </c>
      <c r="AS259" s="72">
        <v>45292</v>
      </c>
      <c r="AT259" s="72">
        <v>45351</v>
      </c>
      <c r="AU259">
        <v>2</v>
      </c>
    </row>
    <row r="260" spans="1:47">
      <c r="A260" t="s">
        <v>2146</v>
      </c>
      <c r="B260">
        <v>2</v>
      </c>
      <c r="C260" s="72">
        <v>45349</v>
      </c>
      <c r="D260">
        <v>10</v>
      </c>
      <c r="E260" s="173">
        <v>0.4597222222222222</v>
      </c>
      <c r="F260" t="s">
        <v>78</v>
      </c>
      <c r="G260" t="s">
        <v>27</v>
      </c>
      <c r="H260" t="s">
        <v>189</v>
      </c>
      <c r="I260" t="s">
        <v>212</v>
      </c>
      <c r="J260" t="s">
        <v>618</v>
      </c>
      <c r="K260" t="s">
        <v>2147</v>
      </c>
      <c r="L260" t="s">
        <v>108</v>
      </c>
      <c r="M260" t="s">
        <v>1029</v>
      </c>
      <c r="N260">
        <v>967555800</v>
      </c>
      <c r="O260" t="s">
        <v>195</v>
      </c>
      <c r="P260" s="154">
        <v>13030093</v>
      </c>
      <c r="Q260" t="s">
        <v>138</v>
      </c>
      <c r="R260" t="s">
        <v>589</v>
      </c>
      <c r="S260" t="s">
        <v>2148</v>
      </c>
      <c r="T260" t="s">
        <v>2149</v>
      </c>
      <c r="U260" t="s">
        <v>2150</v>
      </c>
      <c r="V260" t="s">
        <v>2151</v>
      </c>
      <c r="W260" t="s">
        <v>101</v>
      </c>
      <c r="X260" t="s">
        <v>156</v>
      </c>
      <c r="Y260" s="229">
        <v>451.05</v>
      </c>
      <c r="Z260" s="176">
        <v>292508.35000000003</v>
      </c>
      <c r="AA260">
        <v>58</v>
      </c>
      <c r="AB260" t="s">
        <v>1290</v>
      </c>
      <c r="AC260" t="s">
        <v>1349</v>
      </c>
      <c r="AD260" s="199">
        <v>0.46500000000000002</v>
      </c>
      <c r="AE260" s="199" t="s">
        <v>1374</v>
      </c>
      <c r="AF260" s="179">
        <v>20.268000000000001</v>
      </c>
      <c r="AG260" s="179">
        <v>236.845</v>
      </c>
      <c r="AH260" s="179">
        <v>0</v>
      </c>
      <c r="AI260" s="179">
        <v>31.937000000000001</v>
      </c>
      <c r="AJ260" s="179">
        <v>12.505000000000001</v>
      </c>
      <c r="AK260" s="179">
        <v>0</v>
      </c>
      <c r="AL260" s="305">
        <v>2</v>
      </c>
      <c r="AM260" s="306">
        <v>2024</v>
      </c>
      <c r="AN260" s="250"/>
      <c r="AP260" t="str">
        <f>IF(BD_Bloqueados[[#This Row],[Analista ]]&lt;&gt;"Ana C",MID(BD_Bloqueados[[#This Row],[ID]],3,5),MID(BD_Bloqueados[[#This Row],[ID]],4,5))</f>
        <v>05824</v>
      </c>
      <c r="AQ260">
        <v>59</v>
      </c>
      <c r="AR260">
        <v>2024</v>
      </c>
      <c r="AS260" s="72">
        <v>45292</v>
      </c>
      <c r="AT260" s="72">
        <v>45350</v>
      </c>
      <c r="AU260">
        <v>2</v>
      </c>
    </row>
    <row r="261" spans="1:47">
      <c r="A261" t="s">
        <v>2152</v>
      </c>
      <c r="B261">
        <v>2</v>
      </c>
      <c r="C261" s="72">
        <v>45348</v>
      </c>
      <c r="D261">
        <v>10</v>
      </c>
      <c r="E261" s="173">
        <v>0.4826388888888889</v>
      </c>
      <c r="F261" t="s">
        <v>78</v>
      </c>
      <c r="G261" t="s">
        <v>23</v>
      </c>
      <c r="H261" t="s">
        <v>164</v>
      </c>
      <c r="I261" t="s">
        <v>635</v>
      </c>
      <c r="J261" t="s">
        <v>567</v>
      </c>
      <c r="K261" t="s">
        <v>2153</v>
      </c>
      <c r="L261" t="s">
        <v>108</v>
      </c>
      <c r="M261" t="s">
        <v>1029</v>
      </c>
      <c r="N261">
        <v>967555800</v>
      </c>
      <c r="O261" t="s">
        <v>285</v>
      </c>
      <c r="P261" s="154">
        <v>13030597</v>
      </c>
      <c r="Q261" t="s">
        <v>206</v>
      </c>
      <c r="R261" t="s">
        <v>578</v>
      </c>
      <c r="S261" t="s">
        <v>2154</v>
      </c>
      <c r="T261" t="s">
        <v>2155</v>
      </c>
      <c r="U261" t="s">
        <v>2156</v>
      </c>
      <c r="V261" t="s">
        <v>2157</v>
      </c>
      <c r="W261" t="s">
        <v>101</v>
      </c>
      <c r="Y261" s="229">
        <v>6720</v>
      </c>
      <c r="Z261" s="176">
        <v>0</v>
      </c>
      <c r="AA261">
        <v>57</v>
      </c>
      <c r="AB261" t="s">
        <v>1407</v>
      </c>
      <c r="AC261" t="s">
        <v>1252</v>
      </c>
      <c r="AD261" s="199"/>
      <c r="AE261" s="199"/>
      <c r="AF261" s="179"/>
      <c r="AG261" s="179"/>
      <c r="AH261" s="179"/>
      <c r="AI261" s="179"/>
      <c r="AJ261" s="179"/>
      <c r="AK261" s="179"/>
      <c r="AL261" s="305">
        <v>2</v>
      </c>
      <c r="AM261" s="306">
        <v>2024</v>
      </c>
      <c r="AN261" s="250" t="s">
        <v>2158</v>
      </c>
      <c r="AP261" t="str">
        <f>IF(BD_Bloqueados[[#This Row],[Analista ]]&lt;&gt;"Ana C",MID(BD_Bloqueados[[#This Row],[ID]],3,5),MID(BD_Bloqueados[[#This Row],[ID]],4,5))</f>
        <v>05724</v>
      </c>
      <c r="AQ261">
        <v>59</v>
      </c>
      <c r="AR261">
        <v>2024</v>
      </c>
      <c r="AS261" s="72">
        <v>45292</v>
      </c>
      <c r="AT261" s="72">
        <v>45350</v>
      </c>
      <c r="AU261">
        <v>2</v>
      </c>
    </row>
    <row r="262" spans="1:47">
      <c r="A262" t="s">
        <v>2159</v>
      </c>
      <c r="B262">
        <v>2</v>
      </c>
      <c r="C262" s="72">
        <v>45346</v>
      </c>
      <c r="D262">
        <v>9</v>
      </c>
      <c r="E262" s="173">
        <v>0.68402777777777779</v>
      </c>
      <c r="F262" t="s">
        <v>109</v>
      </c>
      <c r="G262" t="s">
        <v>29</v>
      </c>
      <c r="H262" t="s">
        <v>166</v>
      </c>
      <c r="I262" t="s">
        <v>635</v>
      </c>
      <c r="J262" t="s">
        <v>618</v>
      </c>
      <c r="K262" t="s">
        <v>2160</v>
      </c>
      <c r="L262" t="s">
        <v>108</v>
      </c>
      <c r="M262" t="s">
        <v>1029</v>
      </c>
      <c r="N262">
        <v>967555800</v>
      </c>
      <c r="O262" t="s">
        <v>820</v>
      </c>
      <c r="P262" s="154">
        <v>13030607</v>
      </c>
      <c r="Q262" t="s">
        <v>185</v>
      </c>
      <c r="R262" t="s">
        <v>596</v>
      </c>
      <c r="S262" t="s">
        <v>2161</v>
      </c>
      <c r="T262" t="s">
        <v>2162</v>
      </c>
      <c r="U262" t="s">
        <v>1660</v>
      </c>
      <c r="V262" t="s">
        <v>2163</v>
      </c>
      <c r="W262" t="s">
        <v>101</v>
      </c>
      <c r="X262" t="s">
        <v>102</v>
      </c>
      <c r="Y262" s="229">
        <v>1659</v>
      </c>
      <c r="Z262" s="176">
        <v>0</v>
      </c>
      <c r="AA262">
        <v>55</v>
      </c>
      <c r="AB262" t="s">
        <v>1441</v>
      </c>
      <c r="AC262" t="s">
        <v>1252</v>
      </c>
      <c r="AD262" s="199"/>
      <c r="AE262" s="199"/>
      <c r="AF262" s="179"/>
      <c r="AG262" s="179"/>
      <c r="AH262" s="179"/>
      <c r="AI262" s="179"/>
      <c r="AJ262" s="179"/>
      <c r="AK262" s="179"/>
      <c r="AL262" s="305">
        <v>2</v>
      </c>
      <c r="AM262" s="306">
        <v>2024</v>
      </c>
      <c r="AN262" s="250" t="s">
        <v>1283</v>
      </c>
      <c r="AP262" t="str">
        <f>IF(BD_Bloqueados[[#This Row],[Analista ]]&lt;&gt;"Ana C",MID(BD_Bloqueados[[#This Row],[ID]],3,5),MID(BD_Bloqueados[[#This Row],[ID]],4,5))</f>
        <v>05524</v>
      </c>
      <c r="AQ262">
        <v>58</v>
      </c>
      <c r="AR262">
        <v>2024</v>
      </c>
      <c r="AS262" s="72">
        <v>45292</v>
      </c>
      <c r="AT262" s="72">
        <v>45349</v>
      </c>
      <c r="AU262">
        <v>2</v>
      </c>
    </row>
    <row r="263" spans="1:47">
      <c r="A263" t="s">
        <v>2164</v>
      </c>
      <c r="B263">
        <v>2</v>
      </c>
      <c r="C263" s="72">
        <v>45345</v>
      </c>
      <c r="D263">
        <v>9</v>
      </c>
      <c r="E263" s="173">
        <v>0.66666666666666663</v>
      </c>
      <c r="F263" t="s">
        <v>109</v>
      </c>
      <c r="G263" t="s">
        <v>22</v>
      </c>
      <c r="H263" t="s">
        <v>164</v>
      </c>
      <c r="I263" t="s">
        <v>581</v>
      </c>
      <c r="J263" t="s">
        <v>567</v>
      </c>
      <c r="K263" t="s">
        <v>2165</v>
      </c>
      <c r="L263" t="s">
        <v>108</v>
      </c>
      <c r="M263" t="s">
        <v>1029</v>
      </c>
      <c r="N263">
        <v>967555800</v>
      </c>
      <c r="O263" t="s">
        <v>150</v>
      </c>
      <c r="P263" s="154">
        <v>13030403</v>
      </c>
      <c r="Q263" t="s">
        <v>138</v>
      </c>
      <c r="R263" t="s">
        <v>596</v>
      </c>
      <c r="S263" t="s">
        <v>2166</v>
      </c>
      <c r="T263" t="s">
        <v>2167</v>
      </c>
      <c r="U263" t="s">
        <v>2168</v>
      </c>
      <c r="V263" t="s">
        <v>2169</v>
      </c>
      <c r="W263" t="s">
        <v>101</v>
      </c>
      <c r="X263" t="s">
        <v>102</v>
      </c>
      <c r="Y263" s="229">
        <v>0</v>
      </c>
      <c r="Z263" s="176">
        <v>0</v>
      </c>
      <c r="AA263" t="s">
        <v>2170</v>
      </c>
      <c r="AB263" t="s">
        <v>620</v>
      </c>
      <c r="AC263" t="s">
        <v>1252</v>
      </c>
      <c r="AD263" s="199"/>
      <c r="AE263" s="199"/>
      <c r="AF263" s="179"/>
      <c r="AG263" s="179"/>
      <c r="AH263" s="179"/>
      <c r="AI263" s="179"/>
      <c r="AJ263" s="179"/>
      <c r="AK263" s="179"/>
      <c r="AL263" s="305">
        <v>2</v>
      </c>
      <c r="AM263" s="306">
        <v>2024</v>
      </c>
      <c r="AN263" s="250" t="s">
        <v>2171</v>
      </c>
      <c r="AP263" t="str">
        <f>IF(BD_Bloqueados[[#This Row],[Analista ]]&lt;&gt;"Ana C",MID(BD_Bloqueados[[#This Row],[ID]],3,5),MID(BD_Bloqueados[[#This Row],[ID]],4,5))</f>
        <v>05424</v>
      </c>
      <c r="AQ263">
        <v>58</v>
      </c>
      <c r="AR263">
        <v>2024</v>
      </c>
      <c r="AS263" s="72">
        <v>45292</v>
      </c>
      <c r="AT263" s="72">
        <v>45349</v>
      </c>
      <c r="AU263">
        <v>2</v>
      </c>
    </row>
    <row r="264" spans="1:47">
      <c r="A264" t="s">
        <v>2172</v>
      </c>
      <c r="B264">
        <v>2</v>
      </c>
      <c r="C264" s="72">
        <v>45345</v>
      </c>
      <c r="D264">
        <v>9</v>
      </c>
      <c r="E264" s="173">
        <v>0.61944444444444446</v>
      </c>
      <c r="F264" t="s">
        <v>109</v>
      </c>
      <c r="G264" t="s">
        <v>31</v>
      </c>
      <c r="H264" t="s">
        <v>84</v>
      </c>
      <c r="I264" t="s">
        <v>635</v>
      </c>
      <c r="J264" t="s">
        <v>567</v>
      </c>
      <c r="K264" t="s">
        <v>2173</v>
      </c>
      <c r="L264" t="s">
        <v>108</v>
      </c>
      <c r="M264" t="s">
        <v>1029</v>
      </c>
      <c r="N264">
        <v>967555800</v>
      </c>
      <c r="O264" t="s">
        <v>99</v>
      </c>
      <c r="P264" s="154">
        <v>13001756</v>
      </c>
      <c r="Q264" t="s">
        <v>138</v>
      </c>
      <c r="R264" t="s">
        <v>589</v>
      </c>
      <c r="S264" t="s">
        <v>2174</v>
      </c>
      <c r="T264" t="s">
        <v>2175</v>
      </c>
      <c r="U264" t="s">
        <v>2176</v>
      </c>
      <c r="V264" t="s">
        <v>2177</v>
      </c>
      <c r="W264" t="s">
        <v>101</v>
      </c>
      <c r="X264" t="s">
        <v>102</v>
      </c>
      <c r="Y264" s="229">
        <v>316.8</v>
      </c>
      <c r="Z264" s="176">
        <v>0</v>
      </c>
      <c r="AA264">
        <v>53</v>
      </c>
      <c r="AB264" t="s">
        <v>1290</v>
      </c>
      <c r="AC264" t="s">
        <v>1252</v>
      </c>
      <c r="AD264" s="199"/>
      <c r="AE264" s="199"/>
      <c r="AF264" s="179"/>
      <c r="AG264" s="179"/>
      <c r="AH264" s="179"/>
      <c r="AI264" s="179"/>
      <c r="AJ264" s="179"/>
      <c r="AK264" s="179"/>
      <c r="AL264" s="305">
        <v>2</v>
      </c>
      <c r="AM264" s="306">
        <v>2024</v>
      </c>
      <c r="AN264" s="250" t="s">
        <v>2158</v>
      </c>
      <c r="AP264" t="str">
        <f>IF(BD_Bloqueados[[#This Row],[Analista ]]&lt;&gt;"Ana C",MID(BD_Bloqueados[[#This Row],[ID]],3,5),MID(BD_Bloqueados[[#This Row],[ID]],4,5))</f>
        <v>05424</v>
      </c>
      <c r="AQ264">
        <v>57</v>
      </c>
      <c r="AR264">
        <v>2024</v>
      </c>
      <c r="AS264" s="72">
        <v>45292</v>
      </c>
      <c r="AT264" s="72">
        <v>45348</v>
      </c>
      <c r="AU264">
        <v>2</v>
      </c>
    </row>
    <row r="265" spans="1:47">
      <c r="A265" t="s">
        <v>2178</v>
      </c>
      <c r="B265">
        <v>2</v>
      </c>
      <c r="C265" s="72">
        <v>45344</v>
      </c>
      <c r="D265">
        <v>9</v>
      </c>
      <c r="E265" s="173">
        <v>0.89583333333333337</v>
      </c>
      <c r="F265" t="s">
        <v>136</v>
      </c>
      <c r="G265" t="s">
        <v>27</v>
      </c>
      <c r="H265" t="s">
        <v>677</v>
      </c>
      <c r="I265" t="s">
        <v>259</v>
      </c>
      <c r="J265" t="s">
        <v>2179</v>
      </c>
      <c r="K265" t="s">
        <v>2180</v>
      </c>
      <c r="L265" t="s">
        <v>77</v>
      </c>
      <c r="M265" t="s">
        <v>705</v>
      </c>
      <c r="N265">
        <v>76057769</v>
      </c>
      <c r="O265" t="s">
        <v>895</v>
      </c>
      <c r="P265" s="154">
        <v>10000520</v>
      </c>
      <c r="Q265" t="s">
        <v>138</v>
      </c>
      <c r="R265" t="s">
        <v>585</v>
      </c>
      <c r="S265" t="s">
        <v>2181</v>
      </c>
      <c r="T265" t="s">
        <v>2182</v>
      </c>
      <c r="U265" t="s">
        <v>1160</v>
      </c>
      <c r="V265" t="s">
        <v>2183</v>
      </c>
      <c r="W265" t="s">
        <v>101</v>
      </c>
      <c r="Y265" s="229"/>
      <c r="Z265" s="176">
        <v>0</v>
      </c>
      <c r="AA265">
        <v>5200324</v>
      </c>
      <c r="AB265" t="s">
        <v>2184</v>
      </c>
      <c r="AC265" t="s">
        <v>1686</v>
      </c>
      <c r="AD265" s="199"/>
      <c r="AE265" s="199"/>
      <c r="AF265" s="179"/>
      <c r="AG265" s="179"/>
      <c r="AH265" s="179"/>
      <c r="AI265" s="179"/>
      <c r="AJ265" s="179"/>
      <c r="AK265" s="179"/>
      <c r="AL265" s="305">
        <v>2</v>
      </c>
      <c r="AM265" s="306">
        <v>2024</v>
      </c>
      <c r="AN265" s="250"/>
      <c r="AP265" t="str">
        <f>IF(BD_Bloqueados[[#This Row],[Analista ]]&lt;&gt;"Ana C",MID(BD_Bloqueados[[#This Row],[ID]],3,5),MID(BD_Bloqueados[[#This Row],[ID]],4,5))</f>
        <v>05324</v>
      </c>
      <c r="AQ265">
        <v>55</v>
      </c>
      <c r="AR265">
        <v>2024</v>
      </c>
      <c r="AS265" s="72">
        <v>45292</v>
      </c>
      <c r="AT265" s="72">
        <v>45346</v>
      </c>
      <c r="AU265">
        <v>2</v>
      </c>
    </row>
    <row r="266" spans="1:47">
      <c r="A266" t="s">
        <v>2185</v>
      </c>
      <c r="B266">
        <v>2</v>
      </c>
      <c r="C266" s="72">
        <v>45344</v>
      </c>
      <c r="D266">
        <v>9</v>
      </c>
      <c r="E266" s="173">
        <v>0.7631944444444444</v>
      </c>
      <c r="F266" t="s">
        <v>109</v>
      </c>
      <c r="G266" t="s">
        <v>29</v>
      </c>
      <c r="H266" t="s">
        <v>166</v>
      </c>
      <c r="I266" t="s">
        <v>635</v>
      </c>
      <c r="J266" t="s">
        <v>618</v>
      </c>
      <c r="K266" t="s">
        <v>2186</v>
      </c>
      <c r="L266" t="s">
        <v>108</v>
      </c>
      <c r="M266" t="s">
        <v>1029</v>
      </c>
      <c r="N266">
        <v>967555800</v>
      </c>
      <c r="O266" t="s">
        <v>820</v>
      </c>
      <c r="P266" s="154">
        <v>13030607</v>
      </c>
      <c r="Q266" t="s">
        <v>185</v>
      </c>
      <c r="R266" t="s">
        <v>596</v>
      </c>
      <c r="S266" t="s">
        <v>2187</v>
      </c>
      <c r="T266" t="s">
        <v>2188</v>
      </c>
      <c r="U266" t="s">
        <v>1660</v>
      </c>
      <c r="V266" t="s">
        <v>2189</v>
      </c>
      <c r="W266" t="s">
        <v>101</v>
      </c>
      <c r="X266" t="s">
        <v>102</v>
      </c>
      <c r="Y266" s="229">
        <v>207.36</v>
      </c>
      <c r="Z266" s="176">
        <v>0</v>
      </c>
      <c r="AA266">
        <v>53</v>
      </c>
      <c r="AB266" t="s">
        <v>2190</v>
      </c>
      <c r="AC266" t="s">
        <v>1252</v>
      </c>
      <c r="AD266" s="199"/>
      <c r="AE266" s="199"/>
      <c r="AF266" s="179"/>
      <c r="AG266" s="179"/>
      <c r="AH266" s="179"/>
      <c r="AI266" s="179"/>
      <c r="AJ266" s="179"/>
      <c r="AK266" s="179"/>
      <c r="AL266" s="305">
        <v>2</v>
      </c>
      <c r="AM266" s="306">
        <v>2024</v>
      </c>
      <c r="AN266" s="250" t="s">
        <v>1448</v>
      </c>
      <c r="AP266" t="str">
        <f>IF(BD_Bloqueados[[#This Row],[Analista ]]&lt;&gt;"Ana C",MID(BD_Bloqueados[[#This Row],[ID]],3,5),MID(BD_Bloqueados[[#This Row],[ID]],4,5))</f>
        <v>05324</v>
      </c>
      <c r="AQ266">
        <v>54</v>
      </c>
      <c r="AR266">
        <v>2024</v>
      </c>
      <c r="AS266" s="72">
        <v>45292</v>
      </c>
      <c r="AT266" s="72">
        <v>45345</v>
      </c>
      <c r="AU266">
        <v>2</v>
      </c>
    </row>
    <row r="267" spans="1:47">
      <c r="A267" t="s">
        <v>2191</v>
      </c>
      <c r="B267">
        <v>2</v>
      </c>
      <c r="C267" s="72">
        <v>45344</v>
      </c>
      <c r="D267">
        <v>9</v>
      </c>
      <c r="E267" s="173">
        <v>0.68958333333333333</v>
      </c>
      <c r="F267" t="s">
        <v>109</v>
      </c>
      <c r="G267" t="s">
        <v>26</v>
      </c>
      <c r="H267" t="s">
        <v>82</v>
      </c>
      <c r="I267" t="s">
        <v>635</v>
      </c>
      <c r="J267" t="s">
        <v>567</v>
      </c>
      <c r="K267" t="s">
        <v>2192</v>
      </c>
      <c r="L267" t="s">
        <v>108</v>
      </c>
      <c r="M267" t="s">
        <v>1029</v>
      </c>
      <c r="N267">
        <v>967555800</v>
      </c>
      <c r="O267" t="s">
        <v>753</v>
      </c>
      <c r="P267" s="154">
        <v>13030301</v>
      </c>
      <c r="Q267" t="s">
        <v>138</v>
      </c>
      <c r="R267" t="s">
        <v>585</v>
      </c>
      <c r="S267" t="s">
        <v>2193</v>
      </c>
      <c r="T267" t="s">
        <v>2194</v>
      </c>
      <c r="U267" t="s">
        <v>2195</v>
      </c>
      <c r="V267" t="s">
        <v>2196</v>
      </c>
      <c r="W267" t="s">
        <v>101</v>
      </c>
      <c r="X267" t="s">
        <v>102</v>
      </c>
      <c r="Y267" s="229"/>
      <c r="Z267" s="176">
        <v>0</v>
      </c>
      <c r="AA267">
        <v>53</v>
      </c>
      <c r="AB267" t="s">
        <v>2197</v>
      </c>
      <c r="AC267" t="s">
        <v>1252</v>
      </c>
      <c r="AD267" s="199"/>
      <c r="AE267" s="199"/>
      <c r="AF267" s="179"/>
      <c r="AG267" s="179"/>
      <c r="AH267" s="179"/>
      <c r="AI267" s="179"/>
      <c r="AJ267" s="179"/>
      <c r="AK267" s="179"/>
      <c r="AL267" s="305">
        <v>2</v>
      </c>
      <c r="AM267" s="306">
        <v>2024</v>
      </c>
      <c r="AN267" s="250" t="s">
        <v>1283</v>
      </c>
      <c r="AP267" t="str">
        <f>IF(BD_Bloqueados[[#This Row],[Analista ]]&lt;&gt;"Ana C",MID(BD_Bloqueados[[#This Row],[ID]],3,5),MID(BD_Bloqueados[[#This Row],[ID]],4,5))</f>
        <v>05324</v>
      </c>
      <c r="AQ267">
        <v>54</v>
      </c>
      <c r="AR267">
        <v>2024</v>
      </c>
      <c r="AS267" s="72">
        <v>45292</v>
      </c>
      <c r="AT267" s="72">
        <v>45345</v>
      </c>
      <c r="AU267">
        <v>2</v>
      </c>
    </row>
    <row r="268" spans="1:47">
      <c r="A268" t="s">
        <v>2198</v>
      </c>
      <c r="B268">
        <v>2</v>
      </c>
      <c r="C268" s="72">
        <v>45343</v>
      </c>
      <c r="D268">
        <v>9</v>
      </c>
      <c r="E268" s="173">
        <v>0.59027777777777779</v>
      </c>
      <c r="F268" t="s">
        <v>109</v>
      </c>
      <c r="G268" t="s">
        <v>28</v>
      </c>
      <c r="H268" t="s">
        <v>139</v>
      </c>
      <c r="I268" t="s">
        <v>635</v>
      </c>
      <c r="J268" t="s">
        <v>618</v>
      </c>
      <c r="K268" t="s">
        <v>1270</v>
      </c>
      <c r="L268" t="s">
        <v>108</v>
      </c>
      <c r="M268" t="s">
        <v>1029</v>
      </c>
      <c r="N268">
        <v>967555800</v>
      </c>
      <c r="O268" t="s">
        <v>362</v>
      </c>
      <c r="P268" s="154">
        <v>12001369</v>
      </c>
      <c r="Q268" t="s">
        <v>138</v>
      </c>
      <c r="R268" t="s">
        <v>589</v>
      </c>
      <c r="S268" t="s">
        <v>2199</v>
      </c>
      <c r="T268" t="s">
        <v>2200</v>
      </c>
      <c r="U268" t="s">
        <v>2201</v>
      </c>
      <c r="V268" t="s">
        <v>2202</v>
      </c>
      <c r="W268" t="s">
        <v>101</v>
      </c>
      <c r="X268" t="s">
        <v>102</v>
      </c>
      <c r="Y268" s="229">
        <v>1040</v>
      </c>
      <c r="Z268" s="176">
        <v>0</v>
      </c>
      <c r="AA268">
        <v>52</v>
      </c>
      <c r="AB268" t="s">
        <v>1356</v>
      </c>
      <c r="AC268" t="s">
        <v>1291</v>
      </c>
      <c r="AD268" s="199"/>
      <c r="AE268" s="199"/>
      <c r="AF268" s="179"/>
      <c r="AG268" s="179"/>
      <c r="AH268" s="179"/>
      <c r="AI268" s="179"/>
      <c r="AJ268" s="179"/>
      <c r="AK268" s="179"/>
      <c r="AL268" s="305">
        <v>2</v>
      </c>
      <c r="AM268" s="306">
        <v>2024</v>
      </c>
      <c r="AN268" s="250"/>
      <c r="AP268" t="str">
        <f>IF(BD_Bloqueados[[#This Row],[Analista ]]&lt;&gt;"Ana C",MID(BD_Bloqueados[[#This Row],[ID]],3,5),MID(BD_Bloqueados[[#This Row],[ID]],4,5))</f>
        <v>05224</v>
      </c>
      <c r="AQ268">
        <v>53</v>
      </c>
      <c r="AR268">
        <v>2024</v>
      </c>
      <c r="AS268" s="72">
        <v>45292</v>
      </c>
      <c r="AT268" s="72">
        <v>45344</v>
      </c>
      <c r="AU268">
        <v>2</v>
      </c>
    </row>
    <row r="269" spans="1:47">
      <c r="A269" t="s">
        <v>2203</v>
      </c>
      <c r="B269">
        <v>2</v>
      </c>
      <c r="C269" s="72">
        <v>45343</v>
      </c>
      <c r="D269">
        <v>9</v>
      </c>
      <c r="E269" s="173">
        <v>0.89583333333333337</v>
      </c>
      <c r="F269" t="s">
        <v>136</v>
      </c>
      <c r="G269" t="s">
        <v>25</v>
      </c>
      <c r="H269" t="s">
        <v>164</v>
      </c>
      <c r="I269" t="s">
        <v>259</v>
      </c>
      <c r="J269" t="s">
        <v>2204</v>
      </c>
      <c r="K269" t="s">
        <v>2205</v>
      </c>
      <c r="L269" t="s">
        <v>108</v>
      </c>
      <c r="M269" t="s">
        <v>1029</v>
      </c>
      <c r="N269">
        <v>967555800</v>
      </c>
      <c r="O269" t="s">
        <v>239</v>
      </c>
      <c r="P269" s="154">
        <v>13030098</v>
      </c>
      <c r="Q269" t="s">
        <v>138</v>
      </c>
      <c r="R269" t="s">
        <v>589</v>
      </c>
      <c r="S269" t="s">
        <v>2206</v>
      </c>
      <c r="T269" t="s">
        <v>2207</v>
      </c>
      <c r="U269" t="s">
        <v>1978</v>
      </c>
      <c r="V269" t="s">
        <v>2208</v>
      </c>
      <c r="W269" t="s">
        <v>101</v>
      </c>
      <c r="X269" t="s">
        <v>102</v>
      </c>
      <c r="Y269" s="229"/>
      <c r="Z269" s="176">
        <v>0</v>
      </c>
      <c r="AA269">
        <v>51</v>
      </c>
      <c r="AB269" t="s">
        <v>1356</v>
      </c>
      <c r="AC269" t="s">
        <v>1349</v>
      </c>
      <c r="AD269" s="199"/>
      <c r="AE269" s="199"/>
      <c r="AF269" s="179"/>
      <c r="AG269" s="179"/>
      <c r="AH269" s="179"/>
      <c r="AI269" s="179"/>
      <c r="AJ269" s="179"/>
      <c r="AK269" s="179"/>
      <c r="AL269" s="305">
        <v>2</v>
      </c>
      <c r="AM269" s="306">
        <v>2024</v>
      </c>
      <c r="AN269" s="250"/>
      <c r="AP269" t="str">
        <f>IF(BD_Bloqueados[[#This Row],[Analista ]]&lt;&gt;"Ana C",MID(BD_Bloqueados[[#This Row],[ID]],3,5),MID(BD_Bloqueados[[#This Row],[ID]],4,5))</f>
        <v>05224</v>
      </c>
      <c r="AQ269">
        <v>53</v>
      </c>
      <c r="AR269">
        <v>2024</v>
      </c>
      <c r="AS269" s="72">
        <v>45292</v>
      </c>
      <c r="AT269" s="72">
        <v>45344</v>
      </c>
      <c r="AU269">
        <v>2</v>
      </c>
    </row>
    <row r="270" spans="1:47">
      <c r="A270" t="s">
        <v>2209</v>
      </c>
      <c r="B270">
        <v>2</v>
      </c>
      <c r="C270" s="72">
        <v>45341</v>
      </c>
      <c r="D270">
        <v>9</v>
      </c>
      <c r="E270" s="173">
        <v>0.39583333333333331</v>
      </c>
      <c r="F270" t="s">
        <v>78</v>
      </c>
      <c r="G270" t="s">
        <v>24</v>
      </c>
      <c r="H270" t="s">
        <v>82</v>
      </c>
      <c r="I270" t="s">
        <v>87</v>
      </c>
      <c r="J270" t="s">
        <v>169</v>
      </c>
      <c r="K270" t="s">
        <v>2210</v>
      </c>
      <c r="L270" t="s">
        <v>108</v>
      </c>
      <c r="M270" t="s">
        <v>1029</v>
      </c>
      <c r="N270">
        <v>967555800</v>
      </c>
      <c r="O270" t="s">
        <v>95</v>
      </c>
      <c r="P270" s="154">
        <v>12001398</v>
      </c>
      <c r="Q270" t="s">
        <v>138</v>
      </c>
      <c r="R270" t="s">
        <v>79</v>
      </c>
      <c r="S270" t="s">
        <v>2211</v>
      </c>
      <c r="T270" t="s">
        <v>2212</v>
      </c>
      <c r="U270" t="s">
        <v>2213</v>
      </c>
      <c r="V270" t="s">
        <v>2214</v>
      </c>
      <c r="W270" t="s">
        <v>101</v>
      </c>
      <c r="X270" t="s">
        <v>129</v>
      </c>
      <c r="Y270" s="229">
        <v>383.58</v>
      </c>
      <c r="Z270" s="176">
        <v>267278.54399999999</v>
      </c>
      <c r="AA270">
        <v>50</v>
      </c>
      <c r="AB270" t="s">
        <v>2215</v>
      </c>
      <c r="AC270" t="s">
        <v>2216</v>
      </c>
      <c r="AD270" s="199">
        <v>1</v>
      </c>
      <c r="AE270" s="199" t="s">
        <v>1292</v>
      </c>
      <c r="AF270" s="179">
        <v>585.29999999999995</v>
      </c>
      <c r="AG270" s="179">
        <v>4</v>
      </c>
      <c r="AH270" s="179">
        <v>0</v>
      </c>
      <c r="AI270" s="179">
        <v>77.5</v>
      </c>
      <c r="AJ270" s="179">
        <v>0</v>
      </c>
      <c r="AK270" s="179">
        <v>30</v>
      </c>
      <c r="AL270" s="305">
        <v>2</v>
      </c>
      <c r="AM270" s="306">
        <v>2024</v>
      </c>
      <c r="AN270" s="250"/>
      <c r="AP270" t="str">
        <f>IF(BD_Bloqueados[[#This Row],[Analista ]]&lt;&gt;"Ana C",MID(BD_Bloqueados[[#This Row],[ID]],3,5),MID(BD_Bloqueados[[#This Row],[ID]],4,5))</f>
        <v>05024</v>
      </c>
      <c r="AQ270">
        <v>53</v>
      </c>
      <c r="AR270">
        <v>2024</v>
      </c>
      <c r="AS270" s="72">
        <v>45292</v>
      </c>
      <c r="AT270" s="72">
        <v>45344</v>
      </c>
      <c r="AU270">
        <v>2</v>
      </c>
    </row>
    <row r="271" spans="1:47">
      <c r="A271" t="s">
        <v>2217</v>
      </c>
      <c r="B271">
        <v>2</v>
      </c>
      <c r="C271" s="72">
        <v>45339</v>
      </c>
      <c r="D271">
        <v>8</v>
      </c>
      <c r="E271" s="173">
        <v>0.83333333333333337</v>
      </c>
      <c r="F271" t="s">
        <v>136</v>
      </c>
      <c r="G271" t="s">
        <v>22</v>
      </c>
      <c r="H271" t="s">
        <v>139</v>
      </c>
      <c r="I271" t="s">
        <v>635</v>
      </c>
      <c r="J271" t="s">
        <v>567</v>
      </c>
      <c r="K271" t="s">
        <v>2218</v>
      </c>
      <c r="L271" t="s">
        <v>108</v>
      </c>
      <c r="M271" t="s">
        <v>1029</v>
      </c>
      <c r="N271">
        <v>967555800</v>
      </c>
      <c r="O271" t="s">
        <v>123</v>
      </c>
      <c r="P271" s="154">
        <v>13030401</v>
      </c>
      <c r="Q271" t="s">
        <v>138</v>
      </c>
      <c r="R271" t="s">
        <v>589</v>
      </c>
      <c r="S271" t="s">
        <v>2219</v>
      </c>
      <c r="T271" t="s">
        <v>2220</v>
      </c>
      <c r="U271" t="s">
        <v>2221</v>
      </c>
      <c r="V271" t="s">
        <v>2222</v>
      </c>
      <c r="W271" t="s">
        <v>101</v>
      </c>
      <c r="X271" t="s">
        <v>102</v>
      </c>
      <c r="Y271" s="229">
        <v>1920</v>
      </c>
      <c r="Z271" s="176">
        <v>0</v>
      </c>
      <c r="AA271">
        <v>47</v>
      </c>
      <c r="AB271" t="s">
        <v>1356</v>
      </c>
      <c r="AC271" t="s">
        <v>1349</v>
      </c>
      <c r="AD271" s="199"/>
      <c r="AE271" s="199"/>
      <c r="AF271" s="179"/>
      <c r="AG271" s="179"/>
      <c r="AH271" s="179"/>
      <c r="AI271" s="179"/>
      <c r="AJ271" s="179"/>
      <c r="AK271" s="179"/>
      <c r="AL271" s="305">
        <v>2</v>
      </c>
      <c r="AM271" s="306">
        <v>2024</v>
      </c>
      <c r="AN271" s="250"/>
      <c r="AP271" t="str">
        <f>IF(BD_Bloqueados[[#This Row],[Analista ]]&lt;&gt;"Ana C",MID(BD_Bloqueados[[#This Row],[ID]],3,5),MID(BD_Bloqueados[[#This Row],[ID]],4,5))</f>
        <v>04824</v>
      </c>
      <c r="AQ271">
        <v>52</v>
      </c>
      <c r="AR271">
        <v>2024</v>
      </c>
      <c r="AS271" s="72">
        <v>45292</v>
      </c>
      <c r="AT271" s="72">
        <v>45343</v>
      </c>
      <c r="AU271">
        <v>2</v>
      </c>
    </row>
    <row r="272" spans="1:47">
      <c r="A272" t="s">
        <v>2223</v>
      </c>
      <c r="B272">
        <v>2</v>
      </c>
      <c r="C272" s="72">
        <v>45339</v>
      </c>
      <c r="D272">
        <v>8</v>
      </c>
      <c r="E272" s="173">
        <v>0.97499999999999998</v>
      </c>
      <c r="F272" t="s">
        <v>136</v>
      </c>
      <c r="G272" t="s">
        <v>22</v>
      </c>
      <c r="H272" t="s">
        <v>139</v>
      </c>
      <c r="I272" t="s">
        <v>635</v>
      </c>
      <c r="J272" t="s">
        <v>567</v>
      </c>
      <c r="K272" t="s">
        <v>2218</v>
      </c>
      <c r="L272" t="s">
        <v>108</v>
      </c>
      <c r="M272" t="s">
        <v>1029</v>
      </c>
      <c r="N272">
        <v>967555800</v>
      </c>
      <c r="O272" t="s">
        <v>123</v>
      </c>
      <c r="P272" s="154">
        <v>13030401</v>
      </c>
      <c r="Q272" t="s">
        <v>138</v>
      </c>
      <c r="R272" t="s">
        <v>589</v>
      </c>
      <c r="S272" t="s">
        <v>2224</v>
      </c>
      <c r="T272" t="s">
        <v>2225</v>
      </c>
      <c r="U272" t="s">
        <v>2226</v>
      </c>
      <c r="V272" t="s">
        <v>2227</v>
      </c>
      <c r="W272" t="s">
        <v>101</v>
      </c>
      <c r="X272" t="s">
        <v>102</v>
      </c>
      <c r="Y272" s="229">
        <v>8160</v>
      </c>
      <c r="Z272" s="176">
        <v>0</v>
      </c>
      <c r="AA272">
        <v>47</v>
      </c>
      <c r="AB272" t="s">
        <v>1512</v>
      </c>
      <c r="AC272" t="s">
        <v>1252</v>
      </c>
      <c r="AD272" s="199"/>
      <c r="AE272" s="199"/>
      <c r="AF272" s="179"/>
      <c r="AG272" s="179"/>
      <c r="AH272" s="179"/>
      <c r="AI272" s="179"/>
      <c r="AJ272" s="179"/>
      <c r="AK272" s="179"/>
      <c r="AL272" s="305">
        <v>2</v>
      </c>
      <c r="AM272" s="306">
        <v>2024</v>
      </c>
      <c r="AN272" s="250" t="s">
        <v>1283</v>
      </c>
      <c r="AP272" t="str">
        <f>IF(BD_Bloqueados[[#This Row],[Analista ]]&lt;&gt;"Ana C",MID(BD_Bloqueados[[#This Row],[ID]],3,5),MID(BD_Bloqueados[[#This Row],[ID]],4,5))</f>
        <v>04824</v>
      </c>
      <c r="AQ272">
        <v>52</v>
      </c>
      <c r="AR272">
        <v>2024</v>
      </c>
      <c r="AS272" s="72">
        <v>45292</v>
      </c>
      <c r="AT272" s="72">
        <v>45343</v>
      </c>
      <c r="AU272">
        <v>2</v>
      </c>
    </row>
    <row r="273" spans="1:47">
      <c r="A273" t="s">
        <v>2228</v>
      </c>
      <c r="B273">
        <v>2</v>
      </c>
      <c r="C273" s="72">
        <v>45339</v>
      </c>
      <c r="D273">
        <v>8</v>
      </c>
      <c r="E273" s="173">
        <v>0.97499999999999998</v>
      </c>
      <c r="F273" t="s">
        <v>136</v>
      </c>
      <c r="G273" t="s">
        <v>22</v>
      </c>
      <c r="H273" t="s">
        <v>186</v>
      </c>
      <c r="I273" t="s">
        <v>635</v>
      </c>
      <c r="J273" t="s">
        <v>567</v>
      </c>
      <c r="K273" t="s">
        <v>2218</v>
      </c>
      <c r="L273" t="s">
        <v>108</v>
      </c>
      <c r="M273" t="s">
        <v>1029</v>
      </c>
      <c r="N273">
        <v>967555800</v>
      </c>
      <c r="O273" t="s">
        <v>123</v>
      </c>
      <c r="P273" s="154">
        <v>13030401</v>
      </c>
      <c r="Q273" t="s">
        <v>80</v>
      </c>
      <c r="R273" t="s">
        <v>589</v>
      </c>
      <c r="S273" t="s">
        <v>2229</v>
      </c>
      <c r="T273" t="s">
        <v>2230</v>
      </c>
      <c r="U273" t="s">
        <v>2231</v>
      </c>
      <c r="V273" t="s">
        <v>2232</v>
      </c>
      <c r="W273" t="s">
        <v>101</v>
      </c>
      <c r="X273" t="s">
        <v>102</v>
      </c>
      <c r="Y273" s="229">
        <v>8160</v>
      </c>
      <c r="Z273" s="176">
        <v>0</v>
      </c>
      <c r="AA273">
        <v>47</v>
      </c>
      <c r="AB273" t="s">
        <v>1491</v>
      </c>
      <c r="AC273" t="s">
        <v>1252</v>
      </c>
      <c r="AD273" s="199"/>
      <c r="AE273" s="199"/>
      <c r="AF273" s="179"/>
      <c r="AG273" s="179"/>
      <c r="AH273" s="179"/>
      <c r="AI273" s="179"/>
      <c r="AJ273" s="179"/>
      <c r="AK273" s="179"/>
      <c r="AL273" s="305">
        <v>2</v>
      </c>
      <c r="AM273" s="306">
        <v>2024</v>
      </c>
      <c r="AN273" s="250" t="s">
        <v>1283</v>
      </c>
      <c r="AP273" t="str">
        <f>IF(BD_Bloqueados[[#This Row],[Analista ]]&lt;&gt;"Ana C",MID(BD_Bloqueados[[#This Row],[ID]],3,5),MID(BD_Bloqueados[[#This Row],[ID]],4,5))</f>
        <v>04824</v>
      </c>
      <c r="AQ273">
        <v>50</v>
      </c>
      <c r="AR273">
        <v>2024</v>
      </c>
      <c r="AS273" s="72">
        <v>45292</v>
      </c>
      <c r="AT273" s="72">
        <v>45341</v>
      </c>
      <c r="AU273">
        <v>2</v>
      </c>
    </row>
    <row r="274" spans="1:47">
      <c r="A274" t="s">
        <v>2233</v>
      </c>
      <c r="B274">
        <v>2</v>
      </c>
      <c r="C274" s="72">
        <v>45338</v>
      </c>
      <c r="D274">
        <v>8</v>
      </c>
      <c r="E274" s="173">
        <v>4.8611111111111112E-2</v>
      </c>
      <c r="F274" t="s">
        <v>136</v>
      </c>
      <c r="G274" t="s">
        <v>27</v>
      </c>
      <c r="H274" t="s">
        <v>189</v>
      </c>
      <c r="I274" t="s">
        <v>615</v>
      </c>
      <c r="J274" t="s">
        <v>599</v>
      </c>
      <c r="K274" t="s">
        <v>2234</v>
      </c>
      <c r="L274" t="s">
        <v>108</v>
      </c>
      <c r="M274" t="s">
        <v>1029</v>
      </c>
      <c r="N274">
        <v>967555800</v>
      </c>
      <c r="O274" t="s">
        <v>771</v>
      </c>
      <c r="P274" s="154">
        <v>13030094</v>
      </c>
      <c r="Q274" t="s">
        <v>138</v>
      </c>
      <c r="R274" t="s">
        <v>79</v>
      </c>
      <c r="S274" t="s">
        <v>2235</v>
      </c>
      <c r="T274" t="s">
        <v>2236</v>
      </c>
      <c r="U274" t="s">
        <v>2237</v>
      </c>
      <c r="V274" t="s">
        <v>2238</v>
      </c>
      <c r="W274" t="s">
        <v>101</v>
      </c>
      <c r="X274" t="s">
        <v>156</v>
      </c>
      <c r="Y274" s="229">
        <v>95</v>
      </c>
      <c r="Z274" s="176">
        <v>297557.77419354836</v>
      </c>
      <c r="AA274">
        <v>47</v>
      </c>
      <c r="AB274" t="s">
        <v>1290</v>
      </c>
      <c r="AC274" t="s">
        <v>1252</v>
      </c>
      <c r="AD274" s="199">
        <v>0.46500000000000002</v>
      </c>
      <c r="AE274" s="199" t="s">
        <v>1374</v>
      </c>
      <c r="AF274" s="179">
        <v>963.91099999999994</v>
      </c>
      <c r="AG274" s="179">
        <v>265.60300000000001</v>
      </c>
      <c r="AH274" s="179">
        <v>153.66200000000001</v>
      </c>
      <c r="AI274" s="179">
        <v>59.396999999999998</v>
      </c>
      <c r="AJ274" s="179">
        <v>13.894</v>
      </c>
      <c r="AK274" s="179">
        <v>0</v>
      </c>
      <c r="AL274" s="305">
        <v>2</v>
      </c>
      <c r="AM274" s="306">
        <v>2024</v>
      </c>
      <c r="AN274" s="250" t="s">
        <v>1611</v>
      </c>
      <c r="AP274" t="str">
        <f>IF(BD_Bloqueados[[#This Row],[Analista ]]&lt;&gt;"Ana C",MID(BD_Bloqueados[[#This Row],[ID]],3,5),MID(BD_Bloqueados[[#This Row],[ID]],4,5))</f>
        <v>04724</v>
      </c>
      <c r="AQ274">
        <v>48</v>
      </c>
      <c r="AR274">
        <v>2024</v>
      </c>
      <c r="AS274" s="72">
        <v>45292</v>
      </c>
      <c r="AT274" s="72">
        <v>45339</v>
      </c>
      <c r="AU274">
        <v>2</v>
      </c>
    </row>
    <row r="275" spans="1:47">
      <c r="A275" t="s">
        <v>2239</v>
      </c>
      <c r="B275">
        <v>2</v>
      </c>
      <c r="C275" s="72">
        <v>45338</v>
      </c>
      <c r="D275">
        <v>8</v>
      </c>
      <c r="E275" s="173">
        <v>0.96527777777777779</v>
      </c>
      <c r="F275" t="s">
        <v>136</v>
      </c>
      <c r="G275" t="s">
        <v>32</v>
      </c>
      <c r="H275" t="s">
        <v>114</v>
      </c>
      <c r="I275" t="s">
        <v>635</v>
      </c>
      <c r="J275" t="s">
        <v>567</v>
      </c>
      <c r="K275" t="s">
        <v>2124</v>
      </c>
      <c r="L275" t="s">
        <v>108</v>
      </c>
      <c r="M275" t="s">
        <v>1029</v>
      </c>
      <c r="N275">
        <v>967555800</v>
      </c>
      <c r="O275" t="s">
        <v>200</v>
      </c>
      <c r="P275" s="154">
        <v>13030428</v>
      </c>
      <c r="Q275" t="s">
        <v>80</v>
      </c>
      <c r="R275" t="s">
        <v>589</v>
      </c>
      <c r="S275" t="s">
        <v>2240</v>
      </c>
      <c r="T275" t="s">
        <v>2241</v>
      </c>
      <c r="U275" t="s">
        <v>2242</v>
      </c>
      <c r="V275" t="s">
        <v>2243</v>
      </c>
      <c r="W275" t="s">
        <v>101</v>
      </c>
      <c r="X275" t="s">
        <v>102</v>
      </c>
      <c r="Y275" s="229">
        <v>950.4</v>
      </c>
      <c r="Z275" s="176">
        <v>0</v>
      </c>
      <c r="AA275">
        <v>47</v>
      </c>
      <c r="AB275" t="s">
        <v>1491</v>
      </c>
      <c r="AC275" t="s">
        <v>1252</v>
      </c>
      <c r="AD275" s="199"/>
      <c r="AE275" s="199"/>
      <c r="AF275" s="179"/>
      <c r="AG275" s="179"/>
      <c r="AH275" s="179"/>
      <c r="AI275" s="179"/>
      <c r="AJ275" s="179"/>
      <c r="AK275" s="179"/>
      <c r="AL275" s="305">
        <v>2</v>
      </c>
      <c r="AM275" s="306">
        <v>2024</v>
      </c>
      <c r="AN275" s="250" t="s">
        <v>1283</v>
      </c>
      <c r="AP275" t="str">
        <f>IF(BD_Bloqueados[[#This Row],[Analista ]]&lt;&gt;"Ana C",MID(BD_Bloqueados[[#This Row],[ID]],3,5),MID(BD_Bloqueados[[#This Row],[ID]],4,5))</f>
        <v>04724</v>
      </c>
      <c r="AQ275">
        <v>48</v>
      </c>
      <c r="AR275">
        <v>2024</v>
      </c>
      <c r="AS275" s="72">
        <v>45292</v>
      </c>
      <c r="AT275" s="72">
        <v>45339</v>
      </c>
      <c r="AU275">
        <v>2</v>
      </c>
    </row>
    <row r="276" spans="1:47">
      <c r="A276" t="s">
        <v>2244</v>
      </c>
      <c r="B276">
        <v>2</v>
      </c>
      <c r="C276" s="72">
        <v>45338</v>
      </c>
      <c r="D276">
        <v>8</v>
      </c>
      <c r="E276" s="173">
        <v>0.77777777777777779</v>
      </c>
      <c r="F276" t="s">
        <v>109</v>
      </c>
      <c r="G276" t="s">
        <v>33</v>
      </c>
      <c r="H276" t="s">
        <v>33</v>
      </c>
      <c r="I276" t="s">
        <v>143</v>
      </c>
      <c r="J276" t="s">
        <v>568</v>
      </c>
      <c r="K276" t="s">
        <v>2245</v>
      </c>
      <c r="L276" t="s">
        <v>108</v>
      </c>
      <c r="M276" t="s">
        <v>1029</v>
      </c>
      <c r="N276">
        <v>967555800</v>
      </c>
      <c r="O276" t="s">
        <v>124</v>
      </c>
      <c r="P276" s="154">
        <v>13001004</v>
      </c>
      <c r="Q276" t="s">
        <v>138</v>
      </c>
      <c r="R276" t="s">
        <v>79</v>
      </c>
      <c r="S276" t="s">
        <v>2246</v>
      </c>
      <c r="T276" t="s">
        <v>2247</v>
      </c>
      <c r="U276" t="s">
        <v>2248</v>
      </c>
      <c r="W276" t="s">
        <v>101</v>
      </c>
      <c r="Y276" s="229"/>
      <c r="Z276" s="176">
        <v>0</v>
      </c>
      <c r="AA276">
        <v>24</v>
      </c>
      <c r="AB276" t="s">
        <v>640</v>
      </c>
      <c r="AC276" t="s">
        <v>1252</v>
      </c>
      <c r="AD276" s="199"/>
      <c r="AE276" s="199"/>
      <c r="AF276" s="179"/>
      <c r="AG276" s="179"/>
      <c r="AH276" s="179"/>
      <c r="AI276" s="179"/>
      <c r="AJ276" s="179"/>
      <c r="AK276" s="179"/>
      <c r="AL276" s="305">
        <v>2</v>
      </c>
      <c r="AM276" s="306">
        <v>2024</v>
      </c>
      <c r="AN276" s="250" t="s">
        <v>1737</v>
      </c>
      <c r="AP276" t="str">
        <f>IF(BD_Bloqueados[[#This Row],[Analista ]]&lt;&gt;"Ana C",MID(BD_Bloqueados[[#This Row],[ID]],3,5),MID(BD_Bloqueados[[#This Row],[ID]],4,5))</f>
        <v>04724</v>
      </c>
      <c r="AQ276">
        <v>48</v>
      </c>
      <c r="AR276">
        <v>2024</v>
      </c>
      <c r="AS276" s="72">
        <v>45292</v>
      </c>
      <c r="AT276" s="72">
        <v>45339</v>
      </c>
      <c r="AU276">
        <v>2</v>
      </c>
    </row>
    <row r="277" spans="1:47">
      <c r="A277" t="s">
        <v>2249</v>
      </c>
      <c r="B277">
        <v>2</v>
      </c>
      <c r="C277" s="72">
        <v>45336</v>
      </c>
      <c r="D277">
        <v>8</v>
      </c>
      <c r="E277" s="173">
        <v>0.49722222222222223</v>
      </c>
      <c r="F277" t="s">
        <v>78</v>
      </c>
      <c r="G277" t="s">
        <v>28</v>
      </c>
      <c r="H277" t="s">
        <v>165</v>
      </c>
      <c r="I277" t="s">
        <v>212</v>
      </c>
      <c r="J277" t="s">
        <v>2250</v>
      </c>
      <c r="K277" t="s">
        <v>2251</v>
      </c>
      <c r="L277" t="s">
        <v>108</v>
      </c>
      <c r="M277" t="s">
        <v>1029</v>
      </c>
      <c r="N277">
        <v>967555800</v>
      </c>
      <c r="O277" t="s">
        <v>284</v>
      </c>
      <c r="P277" s="154">
        <v>13030285</v>
      </c>
      <c r="Q277" t="s">
        <v>138</v>
      </c>
      <c r="R277" t="s">
        <v>589</v>
      </c>
      <c r="S277" t="s">
        <v>2252</v>
      </c>
      <c r="T277" t="s">
        <v>1397</v>
      </c>
      <c r="U277" t="s">
        <v>2253</v>
      </c>
      <c r="V277" t="s">
        <v>2254</v>
      </c>
      <c r="W277" t="s">
        <v>101</v>
      </c>
      <c r="X277" t="s">
        <v>102</v>
      </c>
      <c r="Y277" s="229">
        <v>571.52</v>
      </c>
      <c r="Z277" s="176">
        <v>0</v>
      </c>
      <c r="AA277">
        <v>45</v>
      </c>
      <c r="AB277" t="s">
        <v>1356</v>
      </c>
      <c r="AC277" t="s">
        <v>1349</v>
      </c>
      <c r="AD277" s="199"/>
      <c r="AE277" s="199"/>
      <c r="AF277" s="179"/>
      <c r="AG277" s="179"/>
      <c r="AH277" s="179"/>
      <c r="AI277" s="179"/>
      <c r="AJ277" s="179"/>
      <c r="AK277" s="179"/>
      <c r="AL277" s="305">
        <v>2</v>
      </c>
      <c r="AM277" s="306">
        <v>2024</v>
      </c>
      <c r="AN277" s="250"/>
      <c r="AP277" t="str">
        <f>IF(BD_Bloqueados[[#This Row],[Analista ]]&lt;&gt;"Ana C",MID(BD_Bloqueados[[#This Row],[ID]],3,5),MID(BD_Bloqueados[[#This Row],[ID]],4,5))</f>
        <v>04524</v>
      </c>
      <c r="AQ277">
        <v>47</v>
      </c>
      <c r="AR277">
        <v>2024</v>
      </c>
      <c r="AS277" s="72">
        <v>45292</v>
      </c>
      <c r="AT277" s="72">
        <v>45338</v>
      </c>
      <c r="AU277">
        <v>2</v>
      </c>
    </row>
    <row r="278" spans="1:47">
      <c r="A278" t="s">
        <v>2255</v>
      </c>
      <c r="B278">
        <v>2</v>
      </c>
      <c r="C278" s="72">
        <v>45336</v>
      </c>
      <c r="D278">
        <v>8</v>
      </c>
      <c r="E278" s="173">
        <v>0.53125</v>
      </c>
      <c r="F278" t="s">
        <v>78</v>
      </c>
      <c r="G278" t="s">
        <v>23</v>
      </c>
      <c r="H278" t="s">
        <v>139</v>
      </c>
      <c r="I278" t="s">
        <v>259</v>
      </c>
      <c r="J278" t="s">
        <v>2204</v>
      </c>
      <c r="K278" t="s">
        <v>2256</v>
      </c>
      <c r="L278" t="s">
        <v>108</v>
      </c>
      <c r="M278" t="s">
        <v>1029</v>
      </c>
      <c r="N278">
        <v>967555800</v>
      </c>
      <c r="O278" t="s">
        <v>285</v>
      </c>
      <c r="P278" s="154">
        <v>13030597</v>
      </c>
      <c r="Q278" t="s">
        <v>138</v>
      </c>
      <c r="R278" t="s">
        <v>589</v>
      </c>
      <c r="S278" t="s">
        <v>2257</v>
      </c>
      <c r="T278" t="s">
        <v>2258</v>
      </c>
      <c r="U278" t="s">
        <v>2259</v>
      </c>
      <c r="V278" t="s">
        <v>2260</v>
      </c>
      <c r="W278" t="s">
        <v>101</v>
      </c>
      <c r="X278" t="s">
        <v>102</v>
      </c>
      <c r="Y278" s="229"/>
      <c r="Z278" s="176">
        <v>0</v>
      </c>
      <c r="AA278">
        <v>45</v>
      </c>
      <c r="AB278" t="s">
        <v>1356</v>
      </c>
      <c r="AC278" t="s">
        <v>1349</v>
      </c>
      <c r="AD278" s="199"/>
      <c r="AE278" s="199"/>
      <c r="AF278" s="179"/>
      <c r="AG278" s="179"/>
      <c r="AH278" s="179"/>
      <c r="AI278" s="179"/>
      <c r="AJ278" s="179"/>
      <c r="AK278" s="179"/>
      <c r="AL278" s="305">
        <v>2</v>
      </c>
      <c r="AM278" s="306">
        <v>2024</v>
      </c>
      <c r="AN278" s="250"/>
      <c r="AP278" t="str">
        <f>IF(BD_Bloqueados[[#This Row],[Analista ]]&lt;&gt;"Ana C",MID(BD_Bloqueados[[#This Row],[ID]],3,5),MID(BD_Bloqueados[[#This Row],[ID]],4,5))</f>
        <v>04524</v>
      </c>
      <c r="AQ278">
        <v>47</v>
      </c>
      <c r="AR278">
        <v>2024</v>
      </c>
      <c r="AS278" s="72">
        <v>45292</v>
      </c>
      <c r="AT278" s="72">
        <v>45338</v>
      </c>
      <c r="AU278">
        <v>2</v>
      </c>
    </row>
    <row r="279" spans="1:47">
      <c r="A279" t="s">
        <v>2261</v>
      </c>
      <c r="B279">
        <v>2</v>
      </c>
      <c r="C279" s="72">
        <v>45335</v>
      </c>
      <c r="D279">
        <v>8</v>
      </c>
      <c r="E279" s="173">
        <v>0.46527777777777773</v>
      </c>
      <c r="F279" t="s">
        <v>78</v>
      </c>
      <c r="G279" t="s">
        <v>27</v>
      </c>
      <c r="H279" t="s">
        <v>209</v>
      </c>
      <c r="I279" t="s">
        <v>645</v>
      </c>
      <c r="J279" t="s">
        <v>588</v>
      </c>
      <c r="K279" t="s">
        <v>2262</v>
      </c>
      <c r="L279" t="s">
        <v>108</v>
      </c>
      <c r="M279" t="s">
        <v>1029</v>
      </c>
      <c r="N279">
        <v>967555800</v>
      </c>
      <c r="O279" t="s">
        <v>154</v>
      </c>
      <c r="P279" s="154">
        <v>13030471</v>
      </c>
      <c r="Q279" t="s">
        <v>185</v>
      </c>
      <c r="R279" t="s">
        <v>579</v>
      </c>
      <c r="S279" t="s">
        <v>2263</v>
      </c>
      <c r="T279" t="s">
        <v>2264</v>
      </c>
      <c r="U279" t="s">
        <v>2265</v>
      </c>
      <c r="V279" t="s">
        <v>2266</v>
      </c>
      <c r="W279" t="s">
        <v>101</v>
      </c>
      <c r="X279" t="s">
        <v>156</v>
      </c>
      <c r="Y279" s="229">
        <v>38.4</v>
      </c>
      <c r="Z279" s="176">
        <v>16296.96</v>
      </c>
      <c r="AA279">
        <v>44</v>
      </c>
      <c r="AB279" t="s">
        <v>1400</v>
      </c>
      <c r="AC279" t="s">
        <v>1291</v>
      </c>
      <c r="AD279" s="199">
        <v>1</v>
      </c>
      <c r="AE279" s="199" t="s">
        <v>1292</v>
      </c>
      <c r="AF279" s="179">
        <v>17.3</v>
      </c>
      <c r="AG279" s="179">
        <v>132.9</v>
      </c>
      <c r="AH279" s="179">
        <v>0</v>
      </c>
      <c r="AI279" s="179">
        <v>274.2</v>
      </c>
      <c r="AJ279" s="179">
        <v>0</v>
      </c>
      <c r="AK279" s="179">
        <v>0</v>
      </c>
      <c r="AL279" s="305">
        <v>2</v>
      </c>
      <c r="AM279" s="306">
        <v>2024</v>
      </c>
      <c r="AN279" s="250"/>
      <c r="AP279" t="str">
        <f>IF(BD_Bloqueados[[#This Row],[Analista ]]&lt;&gt;"Ana C",MID(BD_Bloqueados[[#This Row],[ID]],3,5),MID(BD_Bloqueados[[#This Row],[ID]],4,5))</f>
        <v>04424</v>
      </c>
      <c r="AQ279">
        <v>47</v>
      </c>
      <c r="AR279">
        <v>2024</v>
      </c>
      <c r="AS279" s="72">
        <v>45292</v>
      </c>
      <c r="AT279" s="72">
        <v>45338</v>
      </c>
      <c r="AU279">
        <v>2</v>
      </c>
    </row>
    <row r="280" spans="1:47">
      <c r="A280" t="s">
        <v>2267</v>
      </c>
      <c r="B280">
        <v>2</v>
      </c>
      <c r="C280" s="72">
        <v>45335</v>
      </c>
      <c r="D280">
        <v>8</v>
      </c>
      <c r="E280" s="173">
        <v>0.97916666666666663</v>
      </c>
      <c r="F280" t="s">
        <v>136</v>
      </c>
      <c r="G280" t="s">
        <v>23</v>
      </c>
      <c r="H280" t="s">
        <v>139</v>
      </c>
      <c r="I280" t="s">
        <v>635</v>
      </c>
      <c r="J280" t="s">
        <v>567</v>
      </c>
      <c r="K280" t="s">
        <v>2268</v>
      </c>
      <c r="L280" t="s">
        <v>108</v>
      </c>
      <c r="M280" t="s">
        <v>1029</v>
      </c>
      <c r="N280">
        <v>967555800</v>
      </c>
      <c r="O280" t="s">
        <v>122</v>
      </c>
      <c r="P280" s="154">
        <v>12001446</v>
      </c>
      <c r="Q280" t="s">
        <v>138</v>
      </c>
      <c r="R280" t="s">
        <v>589</v>
      </c>
      <c r="S280" t="s">
        <v>2269</v>
      </c>
      <c r="T280" t="s">
        <v>2270</v>
      </c>
      <c r="U280" t="s">
        <v>2271</v>
      </c>
      <c r="V280" t="s">
        <v>2272</v>
      </c>
      <c r="W280" t="s">
        <v>101</v>
      </c>
      <c r="X280" t="s">
        <v>102</v>
      </c>
      <c r="Y280" s="229">
        <v>720</v>
      </c>
      <c r="Z280" s="176">
        <v>0</v>
      </c>
      <c r="AA280">
        <v>44</v>
      </c>
      <c r="AB280" t="s">
        <v>1356</v>
      </c>
      <c r="AC280" t="s">
        <v>1291</v>
      </c>
      <c r="AD280" s="199"/>
      <c r="AE280" s="199"/>
      <c r="AF280" s="179"/>
      <c r="AG280" s="179"/>
      <c r="AH280" s="179"/>
      <c r="AI280" s="179"/>
      <c r="AJ280" s="179"/>
      <c r="AK280" s="179"/>
      <c r="AL280" s="305">
        <v>2</v>
      </c>
      <c r="AM280" s="306">
        <v>2024</v>
      </c>
      <c r="AN280" s="250"/>
      <c r="AP280" t="str">
        <f>IF(BD_Bloqueados[[#This Row],[Analista ]]&lt;&gt;"Ana C",MID(BD_Bloqueados[[#This Row],[ID]],3,5),MID(BD_Bloqueados[[#This Row],[ID]],4,5))</f>
        <v>04424</v>
      </c>
      <c r="AQ280">
        <v>45</v>
      </c>
      <c r="AR280">
        <v>2024</v>
      </c>
      <c r="AS280" s="72">
        <v>45292</v>
      </c>
      <c r="AT280" s="72">
        <v>45336</v>
      </c>
      <c r="AU280">
        <v>2</v>
      </c>
    </row>
    <row r="281" spans="1:47">
      <c r="A281" t="s">
        <v>2273</v>
      </c>
      <c r="B281">
        <v>2</v>
      </c>
      <c r="C281" s="72">
        <v>45335</v>
      </c>
      <c r="D281">
        <v>8</v>
      </c>
      <c r="E281" s="173">
        <v>0.99305555555555547</v>
      </c>
      <c r="F281" t="s">
        <v>136</v>
      </c>
      <c r="G281" t="s">
        <v>22</v>
      </c>
      <c r="H281" t="s">
        <v>164</v>
      </c>
      <c r="I281" t="s">
        <v>635</v>
      </c>
      <c r="J281" t="s">
        <v>567</v>
      </c>
      <c r="K281" t="s">
        <v>2274</v>
      </c>
      <c r="L281" t="s">
        <v>108</v>
      </c>
      <c r="M281" t="s">
        <v>1029</v>
      </c>
      <c r="N281">
        <v>967555800</v>
      </c>
      <c r="O281" t="s">
        <v>93</v>
      </c>
      <c r="P281" s="154">
        <v>12001396</v>
      </c>
      <c r="Q281" t="s">
        <v>138</v>
      </c>
      <c r="R281" t="s">
        <v>589</v>
      </c>
      <c r="S281" t="s">
        <v>2275</v>
      </c>
      <c r="T281" t="s">
        <v>2276</v>
      </c>
      <c r="U281" t="s">
        <v>2277</v>
      </c>
      <c r="V281" t="s">
        <v>2278</v>
      </c>
      <c r="W281" t="s">
        <v>101</v>
      </c>
      <c r="X281" t="s">
        <v>102</v>
      </c>
      <c r="Y281" s="229">
        <v>840</v>
      </c>
      <c r="Z281" s="176">
        <v>0</v>
      </c>
      <c r="AA281">
        <v>43</v>
      </c>
      <c r="AB281" t="s">
        <v>1356</v>
      </c>
      <c r="AC281" t="s">
        <v>1349</v>
      </c>
      <c r="AD281" s="199"/>
      <c r="AE281" s="199"/>
      <c r="AF281" s="179"/>
      <c r="AG281" s="179"/>
      <c r="AH281" s="179"/>
      <c r="AI281" s="179"/>
      <c r="AJ281" s="179"/>
      <c r="AK281" s="179"/>
      <c r="AL281" s="305">
        <v>2</v>
      </c>
      <c r="AM281" s="306">
        <v>2024</v>
      </c>
      <c r="AN281" s="250"/>
      <c r="AP281" t="str">
        <f>IF(BD_Bloqueados[[#This Row],[Analista ]]&lt;&gt;"Ana C",MID(BD_Bloqueados[[#This Row],[ID]],3,5),MID(BD_Bloqueados[[#This Row],[ID]],4,5))</f>
        <v>04424</v>
      </c>
      <c r="AQ281">
        <v>45</v>
      </c>
      <c r="AR281">
        <v>2024</v>
      </c>
      <c r="AS281" s="72">
        <v>45292</v>
      </c>
      <c r="AT281" s="72">
        <v>45336</v>
      </c>
      <c r="AU281">
        <v>2</v>
      </c>
    </row>
    <row r="282" spans="1:47">
      <c r="A282" t="s">
        <v>2279</v>
      </c>
      <c r="B282">
        <v>2</v>
      </c>
      <c r="C282" s="72">
        <v>45335</v>
      </c>
      <c r="D282">
        <v>8</v>
      </c>
      <c r="E282" s="173">
        <v>0.83333333333333337</v>
      </c>
      <c r="F282" t="s">
        <v>109</v>
      </c>
      <c r="G282" t="s">
        <v>22</v>
      </c>
      <c r="H282" t="s">
        <v>139</v>
      </c>
      <c r="I282" t="s">
        <v>635</v>
      </c>
      <c r="J282" t="s">
        <v>567</v>
      </c>
      <c r="K282" t="s">
        <v>2268</v>
      </c>
      <c r="L282" t="s">
        <v>108</v>
      </c>
      <c r="M282" t="s">
        <v>1029</v>
      </c>
      <c r="N282">
        <v>967555800</v>
      </c>
      <c r="O282" t="s">
        <v>123</v>
      </c>
      <c r="P282" s="154">
        <v>13030401</v>
      </c>
      <c r="Q282" t="s">
        <v>138</v>
      </c>
      <c r="R282" t="s">
        <v>589</v>
      </c>
      <c r="S282" t="s">
        <v>2280</v>
      </c>
      <c r="T282" t="s">
        <v>2281</v>
      </c>
      <c r="U282" t="s">
        <v>2282</v>
      </c>
      <c r="V282" t="s">
        <v>2272</v>
      </c>
      <c r="W282" t="s">
        <v>101</v>
      </c>
      <c r="X282" t="s">
        <v>102</v>
      </c>
      <c r="Y282" s="229">
        <v>1920</v>
      </c>
      <c r="Z282" s="176">
        <v>0</v>
      </c>
      <c r="AA282">
        <v>44</v>
      </c>
      <c r="AB282" t="s">
        <v>1356</v>
      </c>
      <c r="AC282" t="s">
        <v>1291</v>
      </c>
      <c r="AD282" s="199"/>
      <c r="AE282" s="199"/>
      <c r="AF282" s="179"/>
      <c r="AG282" s="179"/>
      <c r="AH282" s="179"/>
      <c r="AI282" s="179"/>
      <c r="AJ282" s="179"/>
      <c r="AK282" s="179"/>
      <c r="AL282" s="305">
        <v>2</v>
      </c>
      <c r="AM282" s="306">
        <v>2024</v>
      </c>
      <c r="AN282" s="250"/>
      <c r="AP282" t="str">
        <f>IF(BD_Bloqueados[[#This Row],[Analista ]]&lt;&gt;"Ana C",MID(BD_Bloqueados[[#This Row],[ID]],3,5),MID(BD_Bloqueados[[#This Row],[ID]],4,5))</f>
        <v>04424</v>
      </c>
      <c r="AQ282">
        <v>44</v>
      </c>
      <c r="AR282">
        <v>2024</v>
      </c>
      <c r="AS282" s="72">
        <v>45292</v>
      </c>
      <c r="AT282" s="72">
        <v>45335</v>
      </c>
      <c r="AU282">
        <v>2</v>
      </c>
    </row>
    <row r="283" spans="1:47">
      <c r="A283" t="s">
        <v>2283</v>
      </c>
      <c r="B283">
        <v>2</v>
      </c>
      <c r="C283" s="72">
        <v>45628</v>
      </c>
      <c r="D283">
        <v>8</v>
      </c>
      <c r="E283" s="173">
        <v>0.52361111111111114</v>
      </c>
      <c r="F283" t="s">
        <v>78</v>
      </c>
      <c r="G283" t="s">
        <v>28</v>
      </c>
      <c r="H283" t="s">
        <v>81</v>
      </c>
      <c r="I283" t="s">
        <v>212</v>
      </c>
      <c r="J283" t="s">
        <v>618</v>
      </c>
      <c r="K283" t="s">
        <v>1077</v>
      </c>
      <c r="L283" t="s">
        <v>77</v>
      </c>
      <c r="M283" t="s">
        <v>575</v>
      </c>
      <c r="N283">
        <v>76618520</v>
      </c>
      <c r="O283" t="s">
        <v>466</v>
      </c>
      <c r="P283" s="154">
        <v>10000132</v>
      </c>
      <c r="Q283" t="s">
        <v>138</v>
      </c>
      <c r="R283" t="s">
        <v>110</v>
      </c>
      <c r="S283" t="s">
        <v>2284</v>
      </c>
      <c r="T283" t="s">
        <v>2143</v>
      </c>
      <c r="U283" t="s">
        <v>1178</v>
      </c>
      <c r="V283" t="s">
        <v>2285</v>
      </c>
      <c r="W283" t="s">
        <v>101</v>
      </c>
      <c r="Y283" s="229">
        <v>170</v>
      </c>
      <c r="Z283" s="176">
        <v>0</v>
      </c>
      <c r="AA283">
        <v>51603</v>
      </c>
      <c r="AB283" t="s">
        <v>2215</v>
      </c>
      <c r="AC283" t="s">
        <v>1291</v>
      </c>
      <c r="AD283" s="199"/>
      <c r="AE283" s="199"/>
      <c r="AF283" s="179"/>
      <c r="AG283" s="179"/>
      <c r="AH283" s="179"/>
      <c r="AI283" s="179"/>
      <c r="AJ283" s="179"/>
      <c r="AK283" s="179"/>
      <c r="AL283" s="305">
        <v>2</v>
      </c>
      <c r="AM283" s="306">
        <v>2024</v>
      </c>
      <c r="AN283" s="250"/>
      <c r="AP283" t="str">
        <f>IF(BD_Bloqueados[[#This Row],[Analista ]]&lt;&gt;"Ana C",MID(BD_Bloqueados[[#This Row],[ID]],3,5),MID(BD_Bloqueados[[#This Row],[ID]],4,5))</f>
        <v>04324</v>
      </c>
      <c r="AQ283">
        <v>44</v>
      </c>
      <c r="AR283">
        <v>2024</v>
      </c>
      <c r="AS283" s="72">
        <v>45292</v>
      </c>
      <c r="AT283" s="72">
        <v>45335</v>
      </c>
      <c r="AU283">
        <v>2</v>
      </c>
    </row>
    <row r="284" spans="1:47">
      <c r="A284" t="s">
        <v>2296</v>
      </c>
      <c r="B284">
        <v>2</v>
      </c>
      <c r="C284" s="72">
        <v>45628</v>
      </c>
      <c r="D284">
        <v>8</v>
      </c>
      <c r="E284" s="173">
        <v>0.71875</v>
      </c>
      <c r="F284" t="s">
        <v>109</v>
      </c>
      <c r="G284" t="s">
        <v>33</v>
      </c>
      <c r="H284" t="s">
        <v>33</v>
      </c>
      <c r="I284" t="s">
        <v>143</v>
      </c>
      <c r="J284" t="s">
        <v>577</v>
      </c>
      <c r="K284" t="s">
        <v>2297</v>
      </c>
      <c r="L284" t="s">
        <v>108</v>
      </c>
      <c r="M284" t="s">
        <v>1029</v>
      </c>
      <c r="N284">
        <v>967555800</v>
      </c>
      <c r="O284" t="s">
        <v>237</v>
      </c>
      <c r="P284" s="154">
        <v>13030190</v>
      </c>
      <c r="Q284" t="s">
        <v>138</v>
      </c>
      <c r="R284" t="s">
        <v>585</v>
      </c>
      <c r="S284" t="s">
        <v>2298</v>
      </c>
      <c r="T284" t="s">
        <v>2299</v>
      </c>
      <c r="U284" t="s">
        <v>1245</v>
      </c>
      <c r="W284" t="s">
        <v>101</v>
      </c>
      <c r="Y284" s="229"/>
      <c r="Z284" s="176">
        <v>0</v>
      </c>
      <c r="AA284">
        <v>3</v>
      </c>
      <c r="AB284" t="s">
        <v>2300</v>
      </c>
      <c r="AC284" t="s">
        <v>1291</v>
      </c>
      <c r="AD284" s="199"/>
      <c r="AE284" s="199"/>
      <c r="AF284" s="179"/>
      <c r="AG284" s="179"/>
      <c r="AH284" s="179"/>
      <c r="AI284" s="179"/>
      <c r="AJ284" s="179"/>
      <c r="AK284" s="179"/>
      <c r="AL284" s="305">
        <v>2</v>
      </c>
      <c r="AM284" s="306">
        <v>2024</v>
      </c>
      <c r="AN284" s="250"/>
      <c r="AP284" t="str">
        <f>IF(BD_Bloqueados[[#This Row],[Analista ]]&lt;&gt;"Ana C",MID(BD_Bloqueados[[#This Row],[ID]],3,5),MID(BD_Bloqueados[[#This Row],[ID]],4,5))</f>
        <v>04324</v>
      </c>
      <c r="AQ284">
        <v>44</v>
      </c>
      <c r="AR284">
        <v>2024</v>
      </c>
      <c r="AS284" s="72">
        <v>45292</v>
      </c>
      <c r="AT284" s="72">
        <v>45335</v>
      </c>
      <c r="AU284">
        <v>2</v>
      </c>
    </row>
    <row r="285" spans="1:47">
      <c r="A285" t="s">
        <v>2309</v>
      </c>
      <c r="B285">
        <v>2</v>
      </c>
      <c r="C285" s="72">
        <v>45567</v>
      </c>
      <c r="D285">
        <v>7</v>
      </c>
      <c r="E285" s="173">
        <v>0.7993055555555556</v>
      </c>
      <c r="F285" t="s">
        <v>109</v>
      </c>
      <c r="G285" t="s">
        <v>27</v>
      </c>
      <c r="H285" t="s">
        <v>189</v>
      </c>
      <c r="I285" t="s">
        <v>259</v>
      </c>
      <c r="J285" t="s">
        <v>2310</v>
      </c>
      <c r="K285" t="s">
        <v>2311</v>
      </c>
      <c r="L285" t="s">
        <v>108</v>
      </c>
      <c r="M285" t="s">
        <v>1029</v>
      </c>
      <c r="N285">
        <v>967555800</v>
      </c>
      <c r="O285" t="s">
        <v>253</v>
      </c>
      <c r="P285" s="154">
        <v>13030191</v>
      </c>
      <c r="Q285" t="s">
        <v>185</v>
      </c>
      <c r="R285" t="s">
        <v>579</v>
      </c>
      <c r="S285" t="s">
        <v>2312</v>
      </c>
      <c r="T285" t="s">
        <v>1318</v>
      </c>
      <c r="U285" t="s">
        <v>2313</v>
      </c>
      <c r="V285" t="s">
        <v>2314</v>
      </c>
      <c r="W285" t="s">
        <v>101</v>
      </c>
      <c r="Y285" s="229"/>
      <c r="Z285" s="176">
        <v>0</v>
      </c>
      <c r="AA285">
        <v>39</v>
      </c>
      <c r="AB285" t="s">
        <v>2215</v>
      </c>
      <c r="AC285" t="s">
        <v>1291</v>
      </c>
      <c r="AD285" s="199"/>
      <c r="AE285" s="199"/>
      <c r="AF285" s="179"/>
      <c r="AG285" s="179"/>
      <c r="AH285" s="179"/>
      <c r="AI285" s="179"/>
      <c r="AJ285" s="179"/>
      <c r="AK285" s="179"/>
      <c r="AL285" s="305">
        <v>2</v>
      </c>
      <c r="AM285" s="306">
        <v>2024</v>
      </c>
      <c r="AN285" s="250"/>
      <c r="AP285" t="str">
        <f>IF(BD_Bloqueados[[#This Row],[Analista ]]&lt;&gt;"Ana C",MID(BD_Bloqueados[[#This Row],[ID]],3,5),MID(BD_Bloqueados[[#This Row],[ID]],4,5))</f>
        <v>04124</v>
      </c>
      <c r="AQ285">
        <v>44</v>
      </c>
      <c r="AR285">
        <v>2024</v>
      </c>
      <c r="AS285" s="72">
        <v>45292</v>
      </c>
      <c r="AT285" s="72">
        <v>45335</v>
      </c>
      <c r="AU285">
        <v>2</v>
      </c>
    </row>
    <row r="286" spans="1:47">
      <c r="A286" t="s">
        <v>4674</v>
      </c>
      <c r="B286">
        <v>2</v>
      </c>
      <c r="C286" s="308">
        <v>45537</v>
      </c>
      <c r="D286">
        <v>37</v>
      </c>
      <c r="E286" s="173">
        <v>0.6875</v>
      </c>
      <c r="F286" t="s">
        <v>109</v>
      </c>
      <c r="G286" t="s">
        <v>24</v>
      </c>
      <c r="H286" t="s">
        <v>82</v>
      </c>
      <c r="I286" t="s">
        <v>259</v>
      </c>
      <c r="J286" t="s">
        <v>607</v>
      </c>
      <c r="K286" t="s">
        <v>4607</v>
      </c>
      <c r="L286" t="s">
        <v>108</v>
      </c>
      <c r="M286" t="s">
        <v>1029</v>
      </c>
      <c r="N286">
        <v>967555800</v>
      </c>
      <c r="O286" t="s">
        <v>95</v>
      </c>
      <c r="P286" s="154">
        <v>12001398</v>
      </c>
      <c r="Q286" t="s">
        <v>80</v>
      </c>
      <c r="R286" t="s">
        <v>608</v>
      </c>
      <c r="S286" t="s">
        <v>4670</v>
      </c>
      <c r="T286" t="s">
        <v>4672</v>
      </c>
      <c r="U286" t="s">
        <v>4671</v>
      </c>
      <c r="V286" t="s">
        <v>4673</v>
      </c>
      <c r="W286" t="s">
        <v>101</v>
      </c>
      <c r="X286" t="s">
        <v>129</v>
      </c>
      <c r="Y286" s="229">
        <v>375</v>
      </c>
      <c r="Z286" s="176"/>
      <c r="AA286">
        <v>246</v>
      </c>
      <c r="AD286" s="199"/>
      <c r="AE286" s="199"/>
      <c r="AF286" s="179"/>
      <c r="AG286" s="179"/>
      <c r="AH286" s="179"/>
      <c r="AI286" s="179"/>
      <c r="AJ286" s="179"/>
      <c r="AK286" s="179"/>
      <c r="AL286" s="305">
        <v>2</v>
      </c>
      <c r="AM286" s="306">
        <v>2024</v>
      </c>
      <c r="AN286" s="250"/>
      <c r="AP286" t="str">
        <f>IF(BD_Bloqueados[[#This Row],[Analista ]]&lt;&gt;"Ana C",MID(BD_Bloqueados[[#This Row],[ID]],3,5),MID(BD_Bloqueados[[#This Row],[ID]],4,5))</f>
        <v>24624</v>
      </c>
      <c r="AQ286">
        <v>43</v>
      </c>
      <c r="AR286">
        <v>2024</v>
      </c>
      <c r="AS286" s="72">
        <v>45292</v>
      </c>
      <c r="AT286" s="72">
        <v>45334</v>
      </c>
      <c r="AU286">
        <v>2</v>
      </c>
    </row>
    <row r="287" spans="1:47">
      <c r="A287" t="s">
        <v>2315</v>
      </c>
      <c r="B287">
        <v>2</v>
      </c>
      <c r="C287" s="72">
        <v>45537</v>
      </c>
      <c r="D287">
        <v>7</v>
      </c>
      <c r="E287" s="173">
        <v>0.53472222222222221</v>
      </c>
      <c r="F287" t="s">
        <v>78</v>
      </c>
      <c r="G287" t="s">
        <v>27</v>
      </c>
      <c r="H287" t="s">
        <v>140</v>
      </c>
      <c r="I287" t="s">
        <v>615</v>
      </c>
      <c r="J287" t="s">
        <v>618</v>
      </c>
      <c r="K287" t="s">
        <v>2316</v>
      </c>
      <c r="L287" t="s">
        <v>77</v>
      </c>
      <c r="M287" t="s">
        <v>465</v>
      </c>
      <c r="N287">
        <v>77155281</v>
      </c>
      <c r="O287" t="s">
        <v>503</v>
      </c>
      <c r="P287" s="154">
        <v>10003298</v>
      </c>
      <c r="Q287" t="s">
        <v>138</v>
      </c>
      <c r="R287" t="s">
        <v>110</v>
      </c>
      <c r="S287" t="s">
        <v>2317</v>
      </c>
      <c r="T287" t="s">
        <v>2318</v>
      </c>
      <c r="U287" t="s">
        <v>2319</v>
      </c>
      <c r="V287" t="s">
        <v>2320</v>
      </c>
      <c r="W287" t="s">
        <v>101</v>
      </c>
      <c r="Y287" s="229">
        <v>139</v>
      </c>
      <c r="Z287" s="176">
        <v>0</v>
      </c>
      <c r="AA287">
        <v>31</v>
      </c>
      <c r="AB287" t="s">
        <v>2215</v>
      </c>
      <c r="AC287" t="s">
        <v>1291</v>
      </c>
      <c r="AD287" s="199"/>
      <c r="AE287" s="199"/>
      <c r="AF287" s="179"/>
      <c r="AG287" s="179"/>
      <c r="AH287" s="179"/>
      <c r="AI287" s="179"/>
      <c r="AJ287" s="179"/>
      <c r="AK287" s="179"/>
      <c r="AL287" s="305">
        <v>2</v>
      </c>
      <c r="AM287" s="306">
        <v>2024</v>
      </c>
      <c r="AN287" s="250"/>
      <c r="AP287" t="str">
        <f>IF(BD_Bloqueados[[#This Row],[Analista ]]&lt;&gt;"Ana C",MID(BD_Bloqueados[[#This Row],[ID]],3,5),MID(BD_Bloqueados[[#This Row],[ID]],4,5))</f>
        <v>04024</v>
      </c>
      <c r="AQ287">
        <v>12</v>
      </c>
      <c r="AR287">
        <v>2024</v>
      </c>
      <c r="AS287" s="72">
        <v>45292</v>
      </c>
      <c r="AT287" s="72">
        <v>45303</v>
      </c>
      <c r="AU287">
        <v>1</v>
      </c>
    </row>
    <row r="288" spans="1:47">
      <c r="A288" t="s">
        <v>2057</v>
      </c>
      <c r="B288">
        <v>2</v>
      </c>
      <c r="C288" s="72">
        <v>45506</v>
      </c>
      <c r="D288">
        <v>11</v>
      </c>
      <c r="E288" s="173">
        <v>0.42708333333333331</v>
      </c>
      <c r="F288" t="s">
        <v>78</v>
      </c>
      <c r="G288" t="s">
        <v>27</v>
      </c>
      <c r="H288" t="s">
        <v>189</v>
      </c>
      <c r="I288" t="s">
        <v>645</v>
      </c>
      <c r="J288" t="s">
        <v>588</v>
      </c>
      <c r="K288" t="s">
        <v>2058</v>
      </c>
      <c r="L288" t="s">
        <v>108</v>
      </c>
      <c r="M288" t="s">
        <v>1029</v>
      </c>
      <c r="N288">
        <v>967555800</v>
      </c>
      <c r="O288" t="s">
        <v>148</v>
      </c>
      <c r="P288" s="154">
        <v>13030495</v>
      </c>
      <c r="Q288" t="s">
        <v>185</v>
      </c>
      <c r="R288" t="s">
        <v>579</v>
      </c>
      <c r="S288" t="s">
        <v>2059</v>
      </c>
      <c r="T288" t="s">
        <v>2060</v>
      </c>
      <c r="U288" t="s">
        <v>2061</v>
      </c>
      <c r="V288" t="s">
        <v>2062</v>
      </c>
      <c r="W288" t="s">
        <v>101</v>
      </c>
      <c r="X288" t="s">
        <v>156</v>
      </c>
      <c r="Y288" s="229">
        <v>321.60000000000002</v>
      </c>
      <c r="Z288" s="176">
        <v>114210.1296</v>
      </c>
      <c r="AA288">
        <v>68</v>
      </c>
      <c r="AB288" t="s">
        <v>1400</v>
      </c>
      <c r="AC288" t="s">
        <v>1252</v>
      </c>
      <c r="AD288" s="199">
        <v>1</v>
      </c>
      <c r="AE288" s="199" t="s">
        <v>1292</v>
      </c>
      <c r="AF288" s="179">
        <v>20.139000000000003</v>
      </c>
      <c r="AG288" s="179">
        <v>267.09699999999998</v>
      </c>
      <c r="AH288" s="179">
        <v>0</v>
      </c>
      <c r="AI288" s="179">
        <v>54.802</v>
      </c>
      <c r="AJ288" s="179">
        <v>13.093</v>
      </c>
      <c r="AK288" s="179">
        <v>0</v>
      </c>
      <c r="AL288" s="305">
        <v>2</v>
      </c>
      <c r="AM288" s="306">
        <v>2024</v>
      </c>
      <c r="AN288" s="250" t="s">
        <v>1856</v>
      </c>
      <c r="AP288" t="str">
        <f>IF(BD_Bloqueados[[#This Row],[Analista ]]&lt;&gt;"Ana C",MID(BD_Bloqueados[[#This Row],[ID]],3,5),MID(BD_Bloqueados[[#This Row],[ID]],4,5))</f>
        <v>06824</v>
      </c>
      <c r="AQ288">
        <v>23</v>
      </c>
      <c r="AR288">
        <v>2023</v>
      </c>
      <c r="AS288" s="72">
        <v>44927</v>
      </c>
      <c r="AT288" s="72">
        <v>44949</v>
      </c>
      <c r="AU288">
        <v>1</v>
      </c>
    </row>
    <row r="289" spans="1:47">
      <c r="A289" t="s">
        <v>2327</v>
      </c>
      <c r="B289">
        <v>2</v>
      </c>
      <c r="C289" s="72">
        <v>45506</v>
      </c>
      <c r="D289">
        <v>7</v>
      </c>
      <c r="E289" s="173">
        <v>0.43888888888888888</v>
      </c>
      <c r="F289" t="s">
        <v>78</v>
      </c>
      <c r="G289" t="s">
        <v>27</v>
      </c>
      <c r="H289" t="s">
        <v>140</v>
      </c>
      <c r="I289" t="s">
        <v>615</v>
      </c>
      <c r="J289" t="s">
        <v>618</v>
      </c>
      <c r="K289" t="s">
        <v>2316</v>
      </c>
      <c r="L289" t="s">
        <v>108</v>
      </c>
      <c r="M289" t="s">
        <v>1029</v>
      </c>
      <c r="N289">
        <v>967555800</v>
      </c>
      <c r="O289" t="s">
        <v>769</v>
      </c>
      <c r="P289" s="154">
        <v>13030092</v>
      </c>
      <c r="Q289" t="s">
        <v>185</v>
      </c>
      <c r="R289" t="s">
        <v>579</v>
      </c>
      <c r="S289" t="s">
        <v>2328</v>
      </c>
      <c r="T289" t="s">
        <v>2329</v>
      </c>
      <c r="U289" t="s">
        <v>2330</v>
      </c>
      <c r="V289" t="s">
        <v>2331</v>
      </c>
      <c r="W289" t="s">
        <v>101</v>
      </c>
      <c r="X289" t="s">
        <v>156</v>
      </c>
      <c r="Y289" s="229">
        <v>35.6</v>
      </c>
      <c r="Z289" s="176">
        <v>4095.9139784946237</v>
      </c>
      <c r="AA289">
        <v>39</v>
      </c>
      <c r="AB289" t="s">
        <v>1407</v>
      </c>
      <c r="AC289" t="s">
        <v>1252</v>
      </c>
      <c r="AD289" s="199">
        <v>0.46500000000000002</v>
      </c>
      <c r="AE289" s="199" t="s">
        <v>1374</v>
      </c>
      <c r="AF289" s="179">
        <v>0</v>
      </c>
      <c r="AG289" s="179">
        <v>0</v>
      </c>
      <c r="AH289" s="179">
        <v>0</v>
      </c>
      <c r="AI289" s="179">
        <v>53.5</v>
      </c>
      <c r="AJ289" s="179">
        <v>0</v>
      </c>
      <c r="AK289" s="179">
        <v>0</v>
      </c>
      <c r="AL289" s="305">
        <v>2</v>
      </c>
      <c r="AM289" s="306">
        <v>2024</v>
      </c>
      <c r="AN289" s="250" t="s">
        <v>1448</v>
      </c>
      <c r="AP289" t="str">
        <f>IF(BD_Bloqueados[[#This Row],[Analista ]]&lt;&gt;"Ana C",MID(BD_Bloqueados[[#This Row],[ID]],3,5),MID(BD_Bloqueados[[#This Row],[ID]],4,5))</f>
        <v>03924</v>
      </c>
      <c r="AQ289">
        <v>43</v>
      </c>
      <c r="AR289">
        <v>2024</v>
      </c>
      <c r="AS289" s="72">
        <v>45292</v>
      </c>
      <c r="AT289" s="72">
        <v>45334</v>
      </c>
      <c r="AU289">
        <v>2</v>
      </c>
    </row>
    <row r="290" spans="1:47">
      <c r="A290" t="s">
        <v>2332</v>
      </c>
      <c r="B290">
        <v>2</v>
      </c>
      <c r="C290" s="72">
        <v>45506</v>
      </c>
      <c r="D290">
        <v>7</v>
      </c>
      <c r="E290" s="173">
        <v>6.25E-2</v>
      </c>
      <c r="F290" t="s">
        <v>136</v>
      </c>
      <c r="G290" t="s">
        <v>27</v>
      </c>
      <c r="H290" t="s">
        <v>189</v>
      </c>
      <c r="I290" t="s">
        <v>248</v>
      </c>
      <c r="J290" t="s">
        <v>2333</v>
      </c>
      <c r="K290" t="s">
        <v>2334</v>
      </c>
      <c r="L290" t="s">
        <v>108</v>
      </c>
      <c r="M290" t="s">
        <v>1029</v>
      </c>
      <c r="N290">
        <v>967555800</v>
      </c>
      <c r="O290" t="s">
        <v>195</v>
      </c>
      <c r="P290" s="154">
        <v>13030093</v>
      </c>
      <c r="Q290" t="s">
        <v>138</v>
      </c>
      <c r="R290" t="s">
        <v>589</v>
      </c>
      <c r="S290" t="s">
        <v>2335</v>
      </c>
      <c r="T290" t="s">
        <v>2336</v>
      </c>
      <c r="U290" t="s">
        <v>2337</v>
      </c>
      <c r="V290" t="s">
        <v>2338</v>
      </c>
      <c r="W290" t="s">
        <v>101</v>
      </c>
      <c r="X290" t="s">
        <v>156</v>
      </c>
      <c r="Y290" s="229">
        <v>218.55</v>
      </c>
      <c r="Z290" s="176">
        <v>158625</v>
      </c>
      <c r="AA290">
        <v>39</v>
      </c>
      <c r="AB290" t="s">
        <v>1290</v>
      </c>
      <c r="AC290" t="s">
        <v>1252</v>
      </c>
      <c r="AD290" s="199">
        <v>0.46500000000000002</v>
      </c>
      <c r="AE290" s="199" t="s">
        <v>1374</v>
      </c>
      <c r="AF290" s="179">
        <v>20.2</v>
      </c>
      <c r="AG290" s="179">
        <v>263.8</v>
      </c>
      <c r="AH290" s="179">
        <v>0</v>
      </c>
      <c r="AI290" s="179">
        <v>53.5</v>
      </c>
      <c r="AJ290" s="179">
        <v>0</v>
      </c>
      <c r="AK290" s="179">
        <v>0</v>
      </c>
      <c r="AL290" s="305">
        <v>2</v>
      </c>
      <c r="AM290" s="306">
        <v>2024</v>
      </c>
      <c r="AN290" s="250" t="s">
        <v>1611</v>
      </c>
      <c r="AP290" t="str">
        <f>IF(BD_Bloqueados[[#This Row],[Analista ]]&lt;&gt;"Ana C",MID(BD_Bloqueados[[#This Row],[ID]],3,5),MID(BD_Bloqueados[[#This Row],[ID]],4,5))</f>
        <v>03924</v>
      </c>
      <c r="AQ290">
        <v>4</v>
      </c>
      <c r="AR290">
        <v>2023</v>
      </c>
      <c r="AS290" s="72">
        <v>44927</v>
      </c>
      <c r="AT290" s="72">
        <v>44930</v>
      </c>
      <c r="AU290">
        <v>1</v>
      </c>
    </row>
    <row r="291" spans="1:47">
      <c r="A291" t="s">
        <v>2354</v>
      </c>
      <c r="B291">
        <v>2</v>
      </c>
      <c r="C291" s="72">
        <v>45506</v>
      </c>
      <c r="D291">
        <v>7</v>
      </c>
      <c r="E291" s="173">
        <v>0.14583333333333334</v>
      </c>
      <c r="F291" t="s">
        <v>136</v>
      </c>
      <c r="G291" t="s">
        <v>28</v>
      </c>
      <c r="H291" t="s">
        <v>165</v>
      </c>
      <c r="I291" t="s">
        <v>248</v>
      </c>
      <c r="J291" t="s">
        <v>2333</v>
      </c>
      <c r="K291" t="s">
        <v>1209</v>
      </c>
      <c r="L291" t="s">
        <v>108</v>
      </c>
      <c r="M291" t="s">
        <v>1029</v>
      </c>
      <c r="N291">
        <v>967555800</v>
      </c>
      <c r="O291" t="s">
        <v>291</v>
      </c>
      <c r="P291" s="154">
        <v>13030336</v>
      </c>
      <c r="Q291" t="s">
        <v>206</v>
      </c>
      <c r="R291" t="s">
        <v>579</v>
      </c>
      <c r="S291" t="s">
        <v>2355</v>
      </c>
      <c r="T291" t="s">
        <v>2356</v>
      </c>
      <c r="U291" t="s">
        <v>2357</v>
      </c>
      <c r="W291" t="s">
        <v>101</v>
      </c>
      <c r="X291" t="s">
        <v>102</v>
      </c>
      <c r="Y291" s="229">
        <v>1065</v>
      </c>
      <c r="Z291" s="176">
        <v>0</v>
      </c>
      <c r="AA291">
        <v>39</v>
      </c>
      <c r="AB291" t="s">
        <v>1407</v>
      </c>
      <c r="AC291" t="s">
        <v>2216</v>
      </c>
      <c r="AD291" s="199"/>
      <c r="AE291" s="199"/>
      <c r="AF291" s="179"/>
      <c r="AG291" s="179"/>
      <c r="AH291" s="179"/>
      <c r="AI291" s="179"/>
      <c r="AJ291" s="179"/>
      <c r="AK291" s="179"/>
      <c r="AL291" s="305">
        <v>2</v>
      </c>
      <c r="AM291" s="306">
        <v>2024</v>
      </c>
      <c r="AN291" s="250" t="s">
        <v>2358</v>
      </c>
      <c r="AP291" t="str">
        <f>IF(BD_Bloqueados[[#This Row],[Analista ]]&lt;&gt;"Ana C",MID(BD_Bloqueados[[#This Row],[ID]],3,5),MID(BD_Bloqueados[[#This Row],[ID]],4,5))</f>
        <v>03924</v>
      </c>
      <c r="AQ291">
        <v>41</v>
      </c>
      <c r="AR291">
        <v>2024</v>
      </c>
      <c r="AS291" s="72">
        <v>45292</v>
      </c>
      <c r="AT291" s="72">
        <v>45332</v>
      </c>
      <c r="AU291">
        <v>2</v>
      </c>
    </row>
    <row r="292" spans="1:47">
      <c r="A292" t="s">
        <v>2366</v>
      </c>
      <c r="B292">
        <v>2</v>
      </c>
      <c r="C292" s="72">
        <v>45475</v>
      </c>
      <c r="D292">
        <v>7</v>
      </c>
      <c r="E292" s="173">
        <v>0.39652777777777781</v>
      </c>
      <c r="F292" t="s">
        <v>78</v>
      </c>
      <c r="G292" t="s">
        <v>27</v>
      </c>
      <c r="H292" t="s">
        <v>209</v>
      </c>
      <c r="I292" t="s">
        <v>615</v>
      </c>
      <c r="J292" t="s">
        <v>618</v>
      </c>
      <c r="K292" t="s">
        <v>2367</v>
      </c>
      <c r="L292" t="s">
        <v>108</v>
      </c>
      <c r="M292" t="s">
        <v>1029</v>
      </c>
      <c r="N292">
        <v>967555800</v>
      </c>
      <c r="O292" t="s">
        <v>99</v>
      </c>
      <c r="P292" s="154">
        <v>13001756</v>
      </c>
      <c r="Q292" t="s">
        <v>185</v>
      </c>
      <c r="R292" t="s">
        <v>579</v>
      </c>
      <c r="S292" t="s">
        <v>2368</v>
      </c>
      <c r="T292" t="s">
        <v>1397</v>
      </c>
      <c r="U292" t="s">
        <v>2369</v>
      </c>
      <c r="V292" t="s">
        <v>2370</v>
      </c>
      <c r="W292" t="s">
        <v>101</v>
      </c>
      <c r="X292" t="s">
        <v>156</v>
      </c>
      <c r="Y292" s="229">
        <v>48.6</v>
      </c>
      <c r="Z292" s="176">
        <v>14876.460000000001</v>
      </c>
      <c r="AA292" t="s">
        <v>2371</v>
      </c>
      <c r="AB292" t="s">
        <v>1400</v>
      </c>
      <c r="AC292" t="s">
        <v>1291</v>
      </c>
      <c r="AD292" s="199">
        <v>1</v>
      </c>
      <c r="AE292" s="199" t="s">
        <v>1292</v>
      </c>
      <c r="AF292" s="179">
        <v>16.399999999999999</v>
      </c>
      <c r="AG292" s="179">
        <v>119.3</v>
      </c>
      <c r="AH292" s="179">
        <v>0</v>
      </c>
      <c r="AI292" s="179">
        <v>170.4</v>
      </c>
      <c r="AJ292" s="179">
        <v>0</v>
      </c>
      <c r="AK292" s="179">
        <v>0</v>
      </c>
      <c r="AL292" s="305">
        <v>2</v>
      </c>
      <c r="AM292" s="306">
        <v>2024</v>
      </c>
      <c r="AN292" s="250"/>
      <c r="AP292" t="str">
        <f>IF(BD_Bloqueados[[#This Row],[Analista ]]&lt;&gt;"Ana C",MID(BD_Bloqueados[[#This Row],[ID]],3,5),MID(BD_Bloqueados[[#This Row],[ID]],4,5))</f>
        <v>03824</v>
      </c>
      <c r="AQ292">
        <v>40</v>
      </c>
      <c r="AR292">
        <v>2024</v>
      </c>
      <c r="AS292" s="72">
        <v>45292</v>
      </c>
      <c r="AT292" s="72">
        <v>45331</v>
      </c>
      <c r="AU292">
        <v>2</v>
      </c>
    </row>
    <row r="293" spans="1:47">
      <c r="A293" t="s">
        <v>2372</v>
      </c>
      <c r="B293">
        <v>2</v>
      </c>
      <c r="C293" s="72">
        <v>45445</v>
      </c>
      <c r="D293">
        <v>7</v>
      </c>
      <c r="E293" s="173">
        <v>0.56944444444444442</v>
      </c>
      <c r="F293" t="s">
        <v>109</v>
      </c>
      <c r="G293" t="s">
        <v>28</v>
      </c>
      <c r="H293" t="s">
        <v>81</v>
      </c>
      <c r="I293" t="s">
        <v>645</v>
      </c>
      <c r="J293" t="s">
        <v>588</v>
      </c>
      <c r="K293" t="s">
        <v>2373</v>
      </c>
      <c r="L293" t="s">
        <v>77</v>
      </c>
      <c r="M293" t="s">
        <v>694</v>
      </c>
      <c r="N293">
        <v>90828000</v>
      </c>
      <c r="O293" t="s">
        <v>889</v>
      </c>
      <c r="P293" s="154">
        <v>10003731</v>
      </c>
      <c r="Q293" t="s">
        <v>138</v>
      </c>
      <c r="R293" t="s">
        <v>79</v>
      </c>
      <c r="S293" t="s">
        <v>2374</v>
      </c>
      <c r="T293" t="s">
        <v>2375</v>
      </c>
      <c r="U293" t="s">
        <v>2376</v>
      </c>
      <c r="V293" t="s">
        <v>2377</v>
      </c>
      <c r="W293" t="s">
        <v>101</v>
      </c>
      <c r="X293" t="s">
        <v>129</v>
      </c>
      <c r="Y293" s="229">
        <v>400</v>
      </c>
      <c r="Z293" s="176">
        <v>0</v>
      </c>
      <c r="AA293">
        <v>240124</v>
      </c>
      <c r="AB293" t="s">
        <v>2378</v>
      </c>
      <c r="AC293" t="s">
        <v>1252</v>
      </c>
      <c r="AD293" s="199"/>
      <c r="AE293" s="199"/>
      <c r="AF293" s="179"/>
      <c r="AG293" s="179"/>
      <c r="AH293" s="179"/>
      <c r="AI293" s="179"/>
      <c r="AJ293" s="179"/>
      <c r="AK293" s="179"/>
      <c r="AL293" s="305">
        <v>2</v>
      </c>
      <c r="AM293" s="306">
        <v>2024</v>
      </c>
      <c r="AN293" s="250" t="s">
        <v>2379</v>
      </c>
      <c r="AP293" t="str">
        <f>IF(BD_Bloqueados[[#This Row],[Analista ]]&lt;&gt;"Ana C",MID(BD_Bloqueados[[#This Row],[ID]],3,5),MID(BD_Bloqueados[[#This Row],[ID]],4,5))</f>
        <v>03724</v>
      </c>
      <c r="AQ293">
        <v>23</v>
      </c>
      <c r="AR293">
        <v>2023</v>
      </c>
      <c r="AS293" s="72">
        <v>44927</v>
      </c>
      <c r="AT293" s="72">
        <v>44949</v>
      </c>
      <c r="AU293">
        <v>1</v>
      </c>
    </row>
    <row r="294" spans="1:47">
      <c r="A294" t="s">
        <v>2380</v>
      </c>
      <c r="B294">
        <v>2</v>
      </c>
      <c r="C294" s="72">
        <v>45445</v>
      </c>
      <c r="D294">
        <v>7</v>
      </c>
      <c r="E294" s="173">
        <v>0.40972222222222227</v>
      </c>
      <c r="F294" t="s">
        <v>78</v>
      </c>
      <c r="G294" t="s">
        <v>28</v>
      </c>
      <c r="H294" t="s">
        <v>210</v>
      </c>
      <c r="I294" t="s">
        <v>635</v>
      </c>
      <c r="J294" t="s">
        <v>618</v>
      </c>
      <c r="K294" t="s">
        <v>1270</v>
      </c>
      <c r="L294" t="s">
        <v>108</v>
      </c>
      <c r="M294" t="s">
        <v>1029</v>
      </c>
      <c r="N294">
        <v>967555800</v>
      </c>
      <c r="O294" t="s">
        <v>278</v>
      </c>
      <c r="P294" s="154">
        <v>13030284</v>
      </c>
      <c r="Q294" t="s">
        <v>80</v>
      </c>
      <c r="R294" t="s">
        <v>589</v>
      </c>
      <c r="S294" t="s">
        <v>2381</v>
      </c>
      <c r="T294" t="s">
        <v>2382</v>
      </c>
      <c r="U294" t="s">
        <v>2383</v>
      </c>
      <c r="V294" t="s">
        <v>2384</v>
      </c>
      <c r="W294" t="s">
        <v>101</v>
      </c>
      <c r="X294" t="s">
        <v>156</v>
      </c>
      <c r="Y294" s="229">
        <v>722</v>
      </c>
      <c r="Z294" s="176">
        <v>0</v>
      </c>
      <c r="AA294">
        <v>37</v>
      </c>
      <c r="AB294" t="s">
        <v>1363</v>
      </c>
      <c r="AC294" t="s">
        <v>1349</v>
      </c>
      <c r="AD294" s="199"/>
      <c r="AE294" s="199"/>
      <c r="AF294" s="179"/>
      <c r="AG294" s="179"/>
      <c r="AH294" s="179"/>
      <c r="AI294" s="179"/>
      <c r="AJ294" s="179"/>
      <c r="AK294" s="179"/>
      <c r="AL294" s="305">
        <v>2</v>
      </c>
      <c r="AM294" s="306">
        <v>2024</v>
      </c>
      <c r="AN294" s="250"/>
      <c r="AP294" t="str">
        <f>IF(BD_Bloqueados[[#This Row],[Analista ]]&lt;&gt;"Ana C",MID(BD_Bloqueados[[#This Row],[ID]],3,5),MID(BD_Bloqueados[[#This Row],[ID]],4,5))</f>
        <v>03724</v>
      </c>
      <c r="AQ294">
        <v>36</v>
      </c>
      <c r="AR294">
        <v>2024</v>
      </c>
      <c r="AS294" s="72">
        <v>45292</v>
      </c>
      <c r="AT294" s="72">
        <v>45327</v>
      </c>
      <c r="AU294">
        <v>2</v>
      </c>
    </row>
    <row r="295" spans="1:47">
      <c r="A295" t="s">
        <v>2322</v>
      </c>
      <c r="B295">
        <v>2</v>
      </c>
      <c r="C295" s="72">
        <v>45414</v>
      </c>
      <c r="D295">
        <v>7</v>
      </c>
      <c r="E295" s="173">
        <v>0.47291666666666665</v>
      </c>
      <c r="F295" t="s">
        <v>78</v>
      </c>
      <c r="G295" t="s">
        <v>26</v>
      </c>
      <c r="H295" t="s">
        <v>139</v>
      </c>
      <c r="I295" t="s">
        <v>212</v>
      </c>
      <c r="J295" t="s">
        <v>567</v>
      </c>
      <c r="K295" t="s">
        <v>2323</v>
      </c>
      <c r="L295" t="s">
        <v>108</v>
      </c>
      <c r="M295" t="s">
        <v>1029</v>
      </c>
      <c r="N295">
        <v>967555800</v>
      </c>
      <c r="O295" t="s">
        <v>757</v>
      </c>
      <c r="P295" s="154">
        <v>13030602</v>
      </c>
      <c r="Q295" t="s">
        <v>138</v>
      </c>
      <c r="R295" t="s">
        <v>589</v>
      </c>
      <c r="S295" t="s">
        <v>2324</v>
      </c>
      <c r="T295" t="s">
        <v>1949</v>
      </c>
      <c r="U295" t="s">
        <v>1182</v>
      </c>
      <c r="V295" t="s">
        <v>2325</v>
      </c>
      <c r="W295" t="s">
        <v>101</v>
      </c>
      <c r="X295" t="s">
        <v>129</v>
      </c>
      <c r="Y295" s="229">
        <v>1460</v>
      </c>
      <c r="Z295" s="176">
        <v>812197.99999999988</v>
      </c>
      <c r="AA295">
        <v>36</v>
      </c>
      <c r="AB295" t="s">
        <v>2326</v>
      </c>
      <c r="AC295" t="s">
        <v>1349</v>
      </c>
      <c r="AD295" s="199">
        <v>1</v>
      </c>
      <c r="AE295" s="199" t="s">
        <v>1292</v>
      </c>
      <c r="AF295" s="179">
        <v>0</v>
      </c>
      <c r="AG295" s="179">
        <v>9.1999999999999993</v>
      </c>
      <c r="AH295" s="179">
        <v>496.6</v>
      </c>
      <c r="AI295" s="179">
        <v>50.5</v>
      </c>
      <c r="AJ295" s="179">
        <v>0</v>
      </c>
      <c r="AK295" s="179">
        <v>0</v>
      </c>
      <c r="AL295" s="305">
        <v>2</v>
      </c>
      <c r="AM295" s="306">
        <v>2024</v>
      </c>
      <c r="AN295" s="250"/>
      <c r="AP295" t="str">
        <f>IF(BD_Bloqueados[[#This Row],[Analista ]]&lt;&gt;"Ana C",MID(BD_Bloqueados[[#This Row],[ID]],3,5),MID(BD_Bloqueados[[#This Row],[ID]],4,5))</f>
        <v>03624</v>
      </c>
      <c r="AQ295">
        <v>39</v>
      </c>
      <c r="AR295">
        <v>2024</v>
      </c>
      <c r="AS295" s="72">
        <v>45292</v>
      </c>
      <c r="AT295" s="72">
        <v>45330</v>
      </c>
      <c r="AU295">
        <v>2</v>
      </c>
    </row>
    <row r="296" spans="1:47">
      <c r="A296" t="s">
        <v>2385</v>
      </c>
      <c r="B296">
        <v>2</v>
      </c>
      <c r="C296" s="72">
        <v>45353</v>
      </c>
      <c r="D296">
        <v>10</v>
      </c>
      <c r="E296" s="173">
        <v>0.23958333333333334</v>
      </c>
      <c r="F296" t="s">
        <v>136</v>
      </c>
      <c r="G296" t="s">
        <v>25</v>
      </c>
      <c r="H296" t="s">
        <v>81</v>
      </c>
      <c r="I296" t="s">
        <v>87</v>
      </c>
      <c r="J296" t="s">
        <v>169</v>
      </c>
      <c r="K296" t="s">
        <v>2386</v>
      </c>
      <c r="L296" t="s">
        <v>108</v>
      </c>
      <c r="M296" t="s">
        <v>1029</v>
      </c>
      <c r="N296">
        <v>967555800</v>
      </c>
      <c r="O296" t="s">
        <v>265</v>
      </c>
      <c r="P296" s="154">
        <v>13030402</v>
      </c>
      <c r="Q296" t="s">
        <v>206</v>
      </c>
      <c r="R296" t="s">
        <v>578</v>
      </c>
      <c r="S296" t="s">
        <v>2387</v>
      </c>
      <c r="T296" t="s">
        <v>2388</v>
      </c>
      <c r="U296" t="s">
        <v>2389</v>
      </c>
      <c r="V296" t="s">
        <v>2390</v>
      </c>
      <c r="W296" t="s">
        <v>101</v>
      </c>
      <c r="X296" t="s">
        <v>102</v>
      </c>
      <c r="Y296" s="229">
        <v>4320</v>
      </c>
      <c r="Z296" s="176">
        <v>0</v>
      </c>
      <c r="AA296">
        <v>62</v>
      </c>
      <c r="AB296" t="s">
        <v>1407</v>
      </c>
      <c r="AC296" t="s">
        <v>1349</v>
      </c>
      <c r="AD296" s="199"/>
      <c r="AE296" s="199"/>
      <c r="AF296" s="179"/>
      <c r="AG296" s="179"/>
      <c r="AH296" s="179"/>
      <c r="AI296" s="179"/>
      <c r="AJ296" s="179"/>
      <c r="AK296" s="179"/>
      <c r="AL296" s="305">
        <v>2</v>
      </c>
      <c r="AM296" s="306">
        <v>2024</v>
      </c>
      <c r="AN296" s="250"/>
      <c r="AP296" t="str">
        <f>IF(BD_Bloqueados[[#This Row],[Analista ]]&lt;&gt;"Ana C",MID(BD_Bloqueados[[#This Row],[ID]],3,5),MID(BD_Bloqueados[[#This Row],[ID]],4,5))</f>
        <v>06224</v>
      </c>
      <c r="AQ296">
        <v>39</v>
      </c>
      <c r="AR296">
        <v>2024</v>
      </c>
      <c r="AS296" s="72">
        <v>45292</v>
      </c>
      <c r="AT296" s="72">
        <v>45330</v>
      </c>
      <c r="AU296">
        <v>2</v>
      </c>
    </row>
    <row r="297" spans="1:47">
      <c r="A297" t="s">
        <v>2086</v>
      </c>
      <c r="B297">
        <v>2</v>
      </c>
      <c r="C297" s="72">
        <v>45353</v>
      </c>
      <c r="D297">
        <v>6</v>
      </c>
      <c r="E297" s="173">
        <v>0.39583333333333331</v>
      </c>
      <c r="F297" t="s">
        <v>78</v>
      </c>
      <c r="G297" t="s">
        <v>27</v>
      </c>
      <c r="H297" t="s">
        <v>209</v>
      </c>
      <c r="I297" t="s">
        <v>635</v>
      </c>
      <c r="J297" t="s">
        <v>618</v>
      </c>
      <c r="K297" t="s">
        <v>1059</v>
      </c>
      <c r="L297" t="s">
        <v>108</v>
      </c>
      <c r="M297" t="s">
        <v>1029</v>
      </c>
      <c r="N297">
        <v>967555800</v>
      </c>
      <c r="O297" t="s">
        <v>99</v>
      </c>
      <c r="P297" s="154">
        <v>13001756</v>
      </c>
      <c r="Q297" t="s">
        <v>185</v>
      </c>
      <c r="R297" t="s">
        <v>579</v>
      </c>
      <c r="S297" t="s">
        <v>2087</v>
      </c>
      <c r="T297" t="s">
        <v>2088</v>
      </c>
      <c r="U297" t="s">
        <v>2089</v>
      </c>
      <c r="V297" t="s">
        <v>2090</v>
      </c>
      <c r="W297" t="s">
        <v>101</v>
      </c>
      <c r="X297" t="s">
        <v>156</v>
      </c>
      <c r="Y297" s="229">
        <v>128</v>
      </c>
      <c r="Z297" s="176">
        <v>39180.800000000003</v>
      </c>
      <c r="AA297">
        <v>33</v>
      </c>
      <c r="AB297" t="s">
        <v>1400</v>
      </c>
      <c r="AC297" t="s">
        <v>2091</v>
      </c>
      <c r="AD297" s="199">
        <v>1</v>
      </c>
      <c r="AE297" s="199" t="s">
        <v>1292</v>
      </c>
      <c r="AF297" s="179">
        <v>16.399999999999999</v>
      </c>
      <c r="AG297" s="179">
        <v>119.3</v>
      </c>
      <c r="AH297" s="179">
        <v>0</v>
      </c>
      <c r="AI297" s="179">
        <v>170.4</v>
      </c>
      <c r="AJ297" s="179">
        <v>0</v>
      </c>
      <c r="AK297" s="179">
        <v>0</v>
      </c>
      <c r="AL297" s="306">
        <v>2</v>
      </c>
      <c r="AM297" s="306">
        <v>2024</v>
      </c>
      <c r="AN297" s="250"/>
      <c r="AP297" t="str">
        <f>IF(BD_Bloqueados[[#This Row],[Analista ]]&lt;&gt;"Ana C",MID(BD_Bloqueados[[#This Row],[ID]],3,5),MID(BD_Bloqueados[[#This Row],[ID]],4,5))</f>
        <v>03424</v>
      </c>
      <c r="AQ297">
        <v>144</v>
      </c>
      <c r="AR297">
        <v>2024</v>
      </c>
      <c r="AS297" s="72">
        <v>45292</v>
      </c>
      <c r="AT297" s="72">
        <v>45435</v>
      </c>
      <c r="AU297">
        <v>5</v>
      </c>
    </row>
    <row r="298" spans="1:47">
      <c r="A298" t="s">
        <v>2097</v>
      </c>
      <c r="B298">
        <v>2</v>
      </c>
      <c r="C298" s="72">
        <v>45353</v>
      </c>
      <c r="D298">
        <v>6</v>
      </c>
      <c r="E298" s="173">
        <v>0.14583333333333334</v>
      </c>
      <c r="F298" t="s">
        <v>136</v>
      </c>
      <c r="G298" t="s">
        <v>23</v>
      </c>
      <c r="H298" t="s">
        <v>164</v>
      </c>
      <c r="I298" t="s">
        <v>645</v>
      </c>
      <c r="J298" t="s">
        <v>595</v>
      </c>
      <c r="K298" t="s">
        <v>2098</v>
      </c>
      <c r="L298" t="s">
        <v>108</v>
      </c>
      <c r="M298" t="s">
        <v>1029</v>
      </c>
      <c r="N298">
        <v>967555800</v>
      </c>
      <c r="O298" t="s">
        <v>2099</v>
      </c>
      <c r="P298" s="154"/>
      <c r="Q298" t="s">
        <v>138</v>
      </c>
      <c r="R298" t="s">
        <v>585</v>
      </c>
      <c r="S298" t="s">
        <v>2100</v>
      </c>
      <c r="T298" t="s">
        <v>2101</v>
      </c>
      <c r="U298" t="s">
        <v>2102</v>
      </c>
      <c r="V298" t="s">
        <v>2103</v>
      </c>
      <c r="W298" t="s">
        <v>101</v>
      </c>
      <c r="X298" t="s">
        <v>156</v>
      </c>
      <c r="Y298" s="229">
        <v>3780</v>
      </c>
      <c r="Z298" s="176">
        <v>0</v>
      </c>
      <c r="AA298">
        <v>33</v>
      </c>
      <c r="AB298" t="s">
        <v>1356</v>
      </c>
      <c r="AC298" t="s">
        <v>1291</v>
      </c>
      <c r="AD298" s="199">
        <v>1</v>
      </c>
      <c r="AE298" s="199">
        <v>0</v>
      </c>
      <c r="AF298" s="179">
        <v>0</v>
      </c>
      <c r="AG298" s="179">
        <v>0</v>
      </c>
      <c r="AH298" s="179">
        <v>0</v>
      </c>
      <c r="AI298" s="179">
        <v>0</v>
      </c>
      <c r="AJ298" s="179">
        <v>0</v>
      </c>
      <c r="AK298" s="179">
        <v>0</v>
      </c>
      <c r="AL298" s="306">
        <v>2</v>
      </c>
      <c r="AM298" s="306">
        <v>2024</v>
      </c>
      <c r="AN298" s="250"/>
      <c r="AP298" t="str">
        <f>IF(BD_Bloqueados[[#This Row],[Analista ]]&lt;&gt;"Ana C",MID(BD_Bloqueados[[#This Row],[ID]],3,5),MID(BD_Bloqueados[[#This Row],[ID]],4,5))</f>
        <v>03424</v>
      </c>
      <c r="AQ298">
        <v>150</v>
      </c>
      <c r="AR298">
        <v>2024</v>
      </c>
      <c r="AS298" s="72">
        <v>45292</v>
      </c>
      <c r="AT298" s="72">
        <v>45441</v>
      </c>
      <c r="AU298">
        <v>5</v>
      </c>
    </row>
    <row r="299" spans="1:47">
      <c r="A299" t="s">
        <v>2391</v>
      </c>
      <c r="B299">
        <v>2</v>
      </c>
      <c r="C299" s="72">
        <v>45324</v>
      </c>
      <c r="D299">
        <v>6</v>
      </c>
      <c r="E299" s="173">
        <v>0.65972222222222221</v>
      </c>
      <c r="F299" t="s">
        <v>109</v>
      </c>
      <c r="G299" t="s">
        <v>23</v>
      </c>
      <c r="H299" t="s">
        <v>187</v>
      </c>
      <c r="I299" t="s">
        <v>615</v>
      </c>
      <c r="J299" t="s">
        <v>567</v>
      </c>
      <c r="K299" t="s">
        <v>1863</v>
      </c>
      <c r="L299" t="s">
        <v>108</v>
      </c>
      <c r="M299" t="s">
        <v>1029</v>
      </c>
      <c r="N299">
        <v>967555800</v>
      </c>
      <c r="O299" t="s">
        <v>174</v>
      </c>
      <c r="P299" s="154">
        <v>13000270</v>
      </c>
      <c r="Q299" t="s">
        <v>185</v>
      </c>
      <c r="R299" t="s">
        <v>596</v>
      </c>
      <c r="S299" t="s">
        <v>2392</v>
      </c>
      <c r="T299" t="s">
        <v>2393</v>
      </c>
      <c r="U299" t="s">
        <v>2394</v>
      </c>
      <c r="V299" t="s">
        <v>2395</v>
      </c>
      <c r="W299" t="s">
        <v>101</v>
      </c>
      <c r="X299" t="s">
        <v>102</v>
      </c>
      <c r="Y299" s="229">
        <v>239.4</v>
      </c>
      <c r="Z299" s="176">
        <v>0</v>
      </c>
      <c r="AA299">
        <v>33</v>
      </c>
      <c r="AB299" t="s">
        <v>1400</v>
      </c>
      <c r="AC299" t="s">
        <v>1252</v>
      </c>
      <c r="AD299" s="199"/>
      <c r="AE299" s="199"/>
      <c r="AF299" s="179"/>
      <c r="AG299" s="179"/>
      <c r="AH299" s="179"/>
      <c r="AI299" s="179"/>
      <c r="AJ299" s="179"/>
      <c r="AK299" s="179"/>
      <c r="AL299" s="306">
        <v>2</v>
      </c>
      <c r="AM299" s="306">
        <v>2024</v>
      </c>
      <c r="AN299" s="250" t="s">
        <v>2396</v>
      </c>
      <c r="AP299" t="str">
        <f>IF(BD_Bloqueados[[#This Row],[Analista ]]&lt;&gt;"Ana C",MID(BD_Bloqueados[[#This Row],[ID]],3,5),MID(BD_Bloqueados[[#This Row],[ID]],4,5))</f>
        <v>03324</v>
      </c>
      <c r="AQ299">
        <v>145</v>
      </c>
      <c r="AR299">
        <v>2024</v>
      </c>
      <c r="AS299" s="72">
        <v>45292</v>
      </c>
      <c r="AT299" s="72">
        <v>45436</v>
      </c>
      <c r="AU299">
        <v>5</v>
      </c>
    </row>
    <row r="300" spans="1:47">
      <c r="A300" t="s">
        <v>2397</v>
      </c>
      <c r="B300">
        <v>2</v>
      </c>
      <c r="C300" s="72">
        <v>45324</v>
      </c>
      <c r="D300">
        <v>6</v>
      </c>
      <c r="E300" s="173">
        <v>0.64583333333333337</v>
      </c>
      <c r="F300" t="s">
        <v>109</v>
      </c>
      <c r="G300" t="s">
        <v>22</v>
      </c>
      <c r="H300" t="s">
        <v>139</v>
      </c>
      <c r="I300" t="s">
        <v>615</v>
      </c>
      <c r="J300" t="s">
        <v>567</v>
      </c>
      <c r="K300" t="s">
        <v>1863</v>
      </c>
      <c r="L300" t="s">
        <v>108</v>
      </c>
      <c r="M300" t="s">
        <v>1029</v>
      </c>
      <c r="N300">
        <v>967555800</v>
      </c>
      <c r="O300" t="s">
        <v>93</v>
      </c>
      <c r="P300" s="154">
        <v>12001396</v>
      </c>
      <c r="Q300" t="s">
        <v>138</v>
      </c>
      <c r="R300" t="s">
        <v>589</v>
      </c>
      <c r="S300" t="s">
        <v>2398</v>
      </c>
      <c r="T300" t="s">
        <v>2399</v>
      </c>
      <c r="U300" t="s">
        <v>2400</v>
      </c>
      <c r="W300" t="s">
        <v>101</v>
      </c>
      <c r="X300" t="s">
        <v>102</v>
      </c>
      <c r="Y300" s="229">
        <v>480</v>
      </c>
      <c r="Z300" s="176">
        <v>0</v>
      </c>
      <c r="AA300">
        <v>33</v>
      </c>
      <c r="AB300" t="s">
        <v>1356</v>
      </c>
      <c r="AC300" t="s">
        <v>1349</v>
      </c>
      <c r="AD300" s="199"/>
      <c r="AE300" s="199"/>
      <c r="AF300" s="179"/>
      <c r="AG300" s="179"/>
      <c r="AH300" s="179"/>
      <c r="AI300" s="179"/>
      <c r="AJ300" s="179"/>
      <c r="AK300" s="179"/>
      <c r="AL300" s="306">
        <v>2</v>
      </c>
      <c r="AM300" s="306">
        <v>2024</v>
      </c>
      <c r="AN300" s="250"/>
      <c r="AP300" t="str">
        <f>IF(BD_Bloqueados[[#This Row],[Analista ]]&lt;&gt;"Ana C",MID(BD_Bloqueados[[#This Row],[ID]],3,5),MID(BD_Bloqueados[[#This Row],[ID]],4,5))</f>
        <v>03324</v>
      </c>
      <c r="AQ300">
        <v>39</v>
      </c>
      <c r="AR300">
        <v>2024</v>
      </c>
      <c r="AS300" s="72">
        <v>45292</v>
      </c>
      <c r="AT300" s="72">
        <v>45330</v>
      </c>
      <c r="AU300">
        <v>2</v>
      </c>
    </row>
    <row r="301" spans="1:47">
      <c r="A301" t="s">
        <v>2401</v>
      </c>
      <c r="B301">
        <v>2</v>
      </c>
      <c r="C301" s="72">
        <v>45324</v>
      </c>
      <c r="D301">
        <v>6</v>
      </c>
      <c r="E301" s="173">
        <v>0.47916666666666669</v>
      </c>
      <c r="F301" t="s">
        <v>78</v>
      </c>
      <c r="G301" t="s">
        <v>26</v>
      </c>
      <c r="H301" t="s">
        <v>165</v>
      </c>
      <c r="I301" t="s">
        <v>635</v>
      </c>
      <c r="J301" t="s">
        <v>644</v>
      </c>
      <c r="K301" t="s">
        <v>2402</v>
      </c>
      <c r="L301" t="s">
        <v>108</v>
      </c>
      <c r="M301" t="s">
        <v>1029</v>
      </c>
      <c r="N301">
        <v>967555800</v>
      </c>
      <c r="O301" t="s">
        <v>755</v>
      </c>
      <c r="P301" s="154">
        <v>13030601</v>
      </c>
      <c r="Q301" t="s">
        <v>206</v>
      </c>
      <c r="R301" t="s">
        <v>578</v>
      </c>
      <c r="S301" t="s">
        <v>2403</v>
      </c>
      <c r="T301" t="s">
        <v>2404</v>
      </c>
      <c r="U301" t="s">
        <v>2405</v>
      </c>
      <c r="V301" t="s">
        <v>2406</v>
      </c>
      <c r="W301" t="s">
        <v>101</v>
      </c>
      <c r="Y301" s="229">
        <v>2025</v>
      </c>
      <c r="Z301" s="176">
        <v>0</v>
      </c>
      <c r="AA301">
        <v>33</v>
      </c>
      <c r="AB301" t="s">
        <v>1407</v>
      </c>
      <c r="AC301" t="s">
        <v>1252</v>
      </c>
      <c r="AD301" s="199"/>
      <c r="AE301" s="199"/>
      <c r="AF301" s="179"/>
      <c r="AG301" s="179"/>
      <c r="AH301" s="179"/>
      <c r="AI301" s="179"/>
      <c r="AJ301" s="179"/>
      <c r="AK301" s="179"/>
      <c r="AL301" s="306">
        <v>2</v>
      </c>
      <c r="AM301" s="306">
        <v>2024</v>
      </c>
      <c r="AN301" s="250" t="s">
        <v>2358</v>
      </c>
      <c r="AP301" t="str">
        <f>IF(BD_Bloqueados[[#This Row],[Analista ]]&lt;&gt;"Ana C",MID(BD_Bloqueados[[#This Row],[ID]],3,5),MID(BD_Bloqueados[[#This Row],[ID]],4,5))</f>
        <v>03324</v>
      </c>
      <c r="AQ301">
        <v>184</v>
      </c>
      <c r="AR301">
        <v>2024</v>
      </c>
      <c r="AS301" s="72">
        <v>45292</v>
      </c>
      <c r="AT301" s="72">
        <v>45475</v>
      </c>
      <c r="AU301">
        <v>7</v>
      </c>
    </row>
    <row r="302" spans="1:47">
      <c r="A302" t="s">
        <v>2417</v>
      </c>
      <c r="B302">
        <v>2</v>
      </c>
      <c r="C302" s="72">
        <v>45322</v>
      </c>
      <c r="D302">
        <v>6</v>
      </c>
      <c r="E302" s="173">
        <v>0.47916666666666669</v>
      </c>
      <c r="F302" t="s">
        <v>78</v>
      </c>
      <c r="G302" t="s">
        <v>27</v>
      </c>
      <c r="H302" t="s">
        <v>209</v>
      </c>
      <c r="I302" t="s">
        <v>143</v>
      </c>
      <c r="J302" t="s">
        <v>618</v>
      </c>
      <c r="K302" t="s">
        <v>1196</v>
      </c>
      <c r="L302" t="s">
        <v>108</v>
      </c>
      <c r="M302" t="s">
        <v>1029</v>
      </c>
      <c r="N302">
        <v>967555800</v>
      </c>
      <c r="O302" t="s">
        <v>99</v>
      </c>
      <c r="P302" s="154">
        <v>13001756</v>
      </c>
      <c r="Q302" t="s">
        <v>185</v>
      </c>
      <c r="R302" t="s">
        <v>579</v>
      </c>
      <c r="S302" t="s">
        <v>2418</v>
      </c>
      <c r="T302" t="s">
        <v>2419</v>
      </c>
      <c r="U302" t="s">
        <v>2420</v>
      </c>
      <c r="W302" t="s">
        <v>101</v>
      </c>
      <c r="X302" t="s">
        <v>1291</v>
      </c>
      <c r="Y302" s="229"/>
      <c r="Z302" s="176"/>
      <c r="AA302" s="270">
        <v>30</v>
      </c>
      <c r="AD302" s="199"/>
      <c r="AE302" s="199"/>
      <c r="AF302" s="179"/>
      <c r="AG302" s="179"/>
      <c r="AH302" s="179"/>
      <c r="AI302" s="179"/>
      <c r="AJ302" s="179"/>
      <c r="AK302" s="179"/>
      <c r="AL302" s="306">
        <v>1</v>
      </c>
      <c r="AM302" s="306">
        <v>2024</v>
      </c>
      <c r="AN302" s="250"/>
      <c r="AP302" t="str">
        <f>IF(BD_Bloqueados[[#This Row],[Analista ]]&lt;&gt;"Ana C",MID(BD_Bloqueados[[#This Row],[ID]],3,5),MID(BD_Bloqueados[[#This Row],[ID]],4,5))</f>
        <v>03124</v>
      </c>
      <c r="AQ302">
        <v>93</v>
      </c>
      <c r="AR302">
        <v>2024</v>
      </c>
      <c r="AS302" s="72">
        <v>45292</v>
      </c>
      <c r="AT302" s="72">
        <v>45384</v>
      </c>
      <c r="AU302">
        <v>4</v>
      </c>
    </row>
    <row r="303" spans="1:47">
      <c r="A303" t="s">
        <v>2411</v>
      </c>
      <c r="B303">
        <v>2</v>
      </c>
      <c r="C303" s="72">
        <v>45321</v>
      </c>
      <c r="D303">
        <v>6</v>
      </c>
      <c r="E303" s="173">
        <v>0.63402777777777775</v>
      </c>
      <c r="F303" t="s">
        <v>109</v>
      </c>
      <c r="G303" t="s">
        <v>32</v>
      </c>
      <c r="H303" t="s">
        <v>85</v>
      </c>
      <c r="I303" t="s">
        <v>212</v>
      </c>
      <c r="J303" t="s">
        <v>213</v>
      </c>
      <c r="K303" t="s">
        <v>2412</v>
      </c>
      <c r="L303" t="s">
        <v>108</v>
      </c>
      <c r="M303" t="s">
        <v>1029</v>
      </c>
      <c r="N303">
        <v>967555800</v>
      </c>
      <c r="O303" t="s">
        <v>99</v>
      </c>
      <c r="P303" s="154">
        <v>13001756</v>
      </c>
      <c r="Q303" t="s">
        <v>138</v>
      </c>
      <c r="R303" t="s">
        <v>589</v>
      </c>
      <c r="S303" t="s">
        <v>2413</v>
      </c>
      <c r="T303" t="s">
        <v>2414</v>
      </c>
      <c r="U303" t="s">
        <v>2415</v>
      </c>
      <c r="W303" t="s">
        <v>101</v>
      </c>
      <c r="X303" t="s">
        <v>156</v>
      </c>
      <c r="Y303" s="229">
        <v>1101.5999999999999</v>
      </c>
      <c r="Z303" s="176">
        <v>932504.39999999991</v>
      </c>
      <c r="AA303" s="270">
        <v>30</v>
      </c>
      <c r="AB303" t="s">
        <v>1290</v>
      </c>
      <c r="AC303" t="s">
        <v>1252</v>
      </c>
      <c r="AD303" s="199">
        <v>1</v>
      </c>
      <c r="AE303" s="199" t="s">
        <v>1292</v>
      </c>
      <c r="AF303" s="179">
        <v>17.8</v>
      </c>
      <c r="AG303" s="179">
        <v>109.6</v>
      </c>
      <c r="AH303" s="179">
        <v>510.7</v>
      </c>
      <c r="AI303" s="179">
        <v>206.6</v>
      </c>
      <c r="AJ303" s="179">
        <v>1.8</v>
      </c>
      <c r="AK303" s="179">
        <v>0</v>
      </c>
      <c r="AL303" s="306">
        <v>1</v>
      </c>
      <c r="AM303" s="306">
        <v>2024</v>
      </c>
      <c r="AN303" s="250" t="s">
        <v>1611</v>
      </c>
      <c r="AP303" t="str">
        <f>IF(BD_Bloqueados[[#This Row],[Analista ]]&lt;&gt;"Ana C",MID(BD_Bloqueados[[#This Row],[ID]],3,5),MID(BD_Bloqueados[[#This Row],[ID]],4,5))</f>
        <v>03024</v>
      </c>
      <c r="AQ303">
        <v>34</v>
      </c>
      <c r="AR303">
        <v>2024</v>
      </c>
      <c r="AS303" s="72">
        <v>45292</v>
      </c>
      <c r="AT303" s="72">
        <v>45325</v>
      </c>
      <c r="AU303">
        <v>2</v>
      </c>
    </row>
    <row r="304" spans="1:47">
      <c r="A304" t="s">
        <v>2421</v>
      </c>
      <c r="B304">
        <v>2</v>
      </c>
      <c r="C304" s="72">
        <v>45321</v>
      </c>
      <c r="D304">
        <v>6</v>
      </c>
      <c r="E304" s="173">
        <v>0.90277777777777779</v>
      </c>
      <c r="F304" t="s">
        <v>136</v>
      </c>
      <c r="G304" t="s">
        <v>28</v>
      </c>
      <c r="H304" t="s">
        <v>165</v>
      </c>
      <c r="I304" t="s">
        <v>259</v>
      </c>
      <c r="J304" t="s">
        <v>618</v>
      </c>
      <c r="K304" t="s">
        <v>2422</v>
      </c>
      <c r="L304" t="s">
        <v>77</v>
      </c>
      <c r="M304" t="s">
        <v>666</v>
      </c>
      <c r="N304">
        <v>76005927</v>
      </c>
      <c r="O304" t="s">
        <v>391</v>
      </c>
      <c r="P304" s="154">
        <v>11000672</v>
      </c>
      <c r="Q304" t="s">
        <v>206</v>
      </c>
      <c r="R304" t="s">
        <v>579</v>
      </c>
      <c r="S304" t="s">
        <v>2423</v>
      </c>
      <c r="T304" t="s">
        <v>2424</v>
      </c>
      <c r="U304" t="s">
        <v>2425</v>
      </c>
      <c r="V304" t="s">
        <v>2426</v>
      </c>
      <c r="W304" t="s">
        <v>101</v>
      </c>
      <c r="X304" t="s">
        <v>1718</v>
      </c>
      <c r="Y304" s="229">
        <v>12.2</v>
      </c>
      <c r="Z304" s="176"/>
      <c r="AA304" s="270">
        <v>135364</v>
      </c>
      <c r="AD304" s="199"/>
      <c r="AE304" s="199"/>
      <c r="AF304" s="179"/>
      <c r="AG304" s="179"/>
      <c r="AH304" s="179"/>
      <c r="AI304" s="179"/>
      <c r="AJ304" s="179"/>
      <c r="AK304" s="179"/>
      <c r="AL304" s="306">
        <v>1</v>
      </c>
      <c r="AM304" s="306">
        <v>2024</v>
      </c>
      <c r="AN304" s="250"/>
      <c r="AP304" t="str">
        <f>IF(BD_Bloqueados[[#This Row],[Analista ]]&lt;&gt;"Ana C",MID(BD_Bloqueados[[#This Row],[ID]],3,5),MID(BD_Bloqueados[[#This Row],[ID]],4,5))</f>
        <v>03024</v>
      </c>
      <c r="AQ304">
        <v>34</v>
      </c>
      <c r="AR304">
        <v>2024</v>
      </c>
      <c r="AS304" s="72">
        <v>45292</v>
      </c>
      <c r="AT304" s="72">
        <v>45325</v>
      </c>
      <c r="AU304">
        <v>2</v>
      </c>
    </row>
    <row r="305" spans="1:47">
      <c r="A305" t="s">
        <v>2433</v>
      </c>
      <c r="B305">
        <v>2</v>
      </c>
      <c r="C305" s="72">
        <v>45321</v>
      </c>
      <c r="D305">
        <v>6</v>
      </c>
      <c r="E305" s="173">
        <v>0.75</v>
      </c>
      <c r="F305" t="s">
        <v>109</v>
      </c>
      <c r="G305" t="s">
        <v>28</v>
      </c>
      <c r="H305" t="s">
        <v>81</v>
      </c>
      <c r="I305" t="s">
        <v>190</v>
      </c>
      <c r="J305" t="s">
        <v>618</v>
      </c>
      <c r="K305" t="s">
        <v>2434</v>
      </c>
      <c r="L305" t="s">
        <v>108</v>
      </c>
      <c r="M305" t="s">
        <v>1029</v>
      </c>
      <c r="N305">
        <v>967555800</v>
      </c>
      <c r="O305" t="s">
        <v>347</v>
      </c>
      <c r="P305" s="154">
        <v>12000409</v>
      </c>
      <c r="Q305" t="s">
        <v>138</v>
      </c>
      <c r="R305" t="s">
        <v>585</v>
      </c>
      <c r="S305" t="s">
        <v>2435</v>
      </c>
      <c r="T305" t="s">
        <v>2436</v>
      </c>
      <c r="U305" t="s">
        <v>2437</v>
      </c>
      <c r="V305" t="s">
        <v>2438</v>
      </c>
      <c r="W305" t="s">
        <v>101</v>
      </c>
      <c r="X305" t="s">
        <v>102</v>
      </c>
      <c r="Y305" s="229">
        <v>666</v>
      </c>
      <c r="Z305" s="176">
        <v>0</v>
      </c>
      <c r="AA305" s="270">
        <v>30</v>
      </c>
      <c r="AD305" s="199"/>
      <c r="AE305" s="199"/>
      <c r="AF305" s="179"/>
      <c r="AG305" s="179"/>
      <c r="AH305" s="179"/>
      <c r="AI305" s="179"/>
      <c r="AJ305" s="179"/>
      <c r="AK305" s="179"/>
      <c r="AL305" s="306">
        <v>1</v>
      </c>
      <c r="AM305" s="306">
        <v>2024</v>
      </c>
      <c r="AN305" s="250"/>
      <c r="AP305" t="str">
        <f>IF(BD_Bloqueados[[#This Row],[Analista ]]&lt;&gt;"Ana C",MID(BD_Bloqueados[[#This Row],[ID]],3,5),MID(BD_Bloqueados[[#This Row],[ID]],4,5))</f>
        <v>03024</v>
      </c>
      <c r="AQ305">
        <v>33</v>
      </c>
      <c r="AR305">
        <v>2024</v>
      </c>
      <c r="AS305" s="72">
        <v>45292</v>
      </c>
      <c r="AT305" s="72">
        <v>45324</v>
      </c>
      <c r="AU305">
        <v>2</v>
      </c>
    </row>
    <row r="306" spans="1:47">
      <c r="A306" t="s">
        <v>2439</v>
      </c>
      <c r="B306">
        <v>2</v>
      </c>
      <c r="C306" s="72">
        <v>45316</v>
      </c>
      <c r="D306">
        <v>5</v>
      </c>
      <c r="E306" s="173">
        <v>0.4465277777777778</v>
      </c>
      <c r="F306" t="s">
        <v>78</v>
      </c>
      <c r="G306" t="s">
        <v>27</v>
      </c>
      <c r="H306" t="s">
        <v>189</v>
      </c>
      <c r="I306" t="s">
        <v>635</v>
      </c>
      <c r="J306" t="s">
        <v>618</v>
      </c>
      <c r="K306" t="s">
        <v>2440</v>
      </c>
      <c r="L306" t="s">
        <v>108</v>
      </c>
      <c r="M306" t="s">
        <v>1029</v>
      </c>
      <c r="N306">
        <v>967555800</v>
      </c>
      <c r="O306" t="s">
        <v>195</v>
      </c>
      <c r="P306" s="154">
        <v>13030093</v>
      </c>
      <c r="Q306" t="s">
        <v>185</v>
      </c>
      <c r="R306" t="s">
        <v>579</v>
      </c>
      <c r="S306" t="s">
        <v>2441</v>
      </c>
      <c r="T306" t="s">
        <v>2442</v>
      </c>
      <c r="U306" t="s">
        <v>2443</v>
      </c>
      <c r="V306" t="s">
        <v>2444</v>
      </c>
      <c r="W306" t="s">
        <v>101</v>
      </c>
      <c r="X306" t="s">
        <v>156</v>
      </c>
      <c r="Y306" s="229">
        <v>143.22</v>
      </c>
      <c r="Z306" s="176"/>
      <c r="AA306" s="270" t="s">
        <v>2445</v>
      </c>
      <c r="AD306" s="199"/>
      <c r="AE306" s="199"/>
      <c r="AF306" s="179"/>
      <c r="AG306" s="179"/>
      <c r="AH306" s="179"/>
      <c r="AI306" s="179"/>
      <c r="AJ306" s="179"/>
      <c r="AK306" s="179"/>
      <c r="AL306" s="306">
        <v>1</v>
      </c>
      <c r="AM306" s="306">
        <v>2024</v>
      </c>
      <c r="AN306" s="250"/>
      <c r="AP306" t="str">
        <f>IF(BD_Bloqueados[[#This Row],[Analista ]]&lt;&gt;"Ana C",MID(BD_Bloqueados[[#This Row],[ID]],3,5),MID(BD_Bloqueados[[#This Row],[ID]],4,5))</f>
        <v>02524</v>
      </c>
      <c r="AQ306">
        <v>33</v>
      </c>
      <c r="AR306">
        <v>2024</v>
      </c>
      <c r="AS306" s="72">
        <v>45292</v>
      </c>
      <c r="AT306" s="72">
        <v>45324</v>
      </c>
      <c r="AU306">
        <v>2</v>
      </c>
    </row>
    <row r="307" spans="1:47">
      <c r="A307" t="s">
        <v>2446</v>
      </c>
      <c r="B307">
        <v>2</v>
      </c>
      <c r="C307" s="72">
        <v>45316</v>
      </c>
      <c r="D307">
        <v>5</v>
      </c>
      <c r="E307" s="173">
        <v>0.77777777777777779</v>
      </c>
      <c r="F307" t="s">
        <v>109</v>
      </c>
      <c r="G307" t="s">
        <v>26</v>
      </c>
      <c r="H307" t="s">
        <v>82</v>
      </c>
      <c r="I307" t="s">
        <v>259</v>
      </c>
      <c r="J307" t="s">
        <v>2204</v>
      </c>
      <c r="K307" t="s">
        <v>2447</v>
      </c>
      <c r="L307" t="s">
        <v>108</v>
      </c>
      <c r="M307" t="s">
        <v>1029</v>
      </c>
      <c r="N307">
        <v>967555800</v>
      </c>
      <c r="O307" t="s">
        <v>753</v>
      </c>
      <c r="P307" s="154">
        <v>13030301</v>
      </c>
      <c r="Q307" t="s">
        <v>206</v>
      </c>
      <c r="R307" t="s">
        <v>584</v>
      </c>
      <c r="S307" t="s">
        <v>2448</v>
      </c>
      <c r="T307" t="s">
        <v>2449</v>
      </c>
      <c r="U307" t="s">
        <v>2450</v>
      </c>
      <c r="V307" t="s">
        <v>1318</v>
      </c>
      <c r="W307" t="s">
        <v>101</v>
      </c>
      <c r="X307" t="s">
        <v>1291</v>
      </c>
      <c r="Y307">
        <v>1260</v>
      </c>
      <c r="Z307" s="176"/>
      <c r="AA307" s="270">
        <v>25</v>
      </c>
      <c r="AD307" s="199"/>
      <c r="AE307" s="199"/>
      <c r="AF307" s="179"/>
      <c r="AG307" s="179"/>
      <c r="AH307" s="179"/>
      <c r="AI307" s="179"/>
      <c r="AJ307" s="179"/>
      <c r="AK307" s="179"/>
      <c r="AL307" s="306">
        <v>1</v>
      </c>
      <c r="AM307" s="306">
        <v>2024</v>
      </c>
      <c r="AN307" s="250"/>
      <c r="AP307" t="str">
        <f>IF(BD_Bloqueados[[#This Row],[Analista ]]&lt;&gt;"Ana C",MID(BD_Bloqueados[[#This Row],[ID]],3,5),MID(BD_Bloqueados[[#This Row],[ID]],4,5))</f>
        <v>02524</v>
      </c>
      <c r="AQ307">
        <v>33</v>
      </c>
      <c r="AR307">
        <v>2024</v>
      </c>
      <c r="AS307" s="72">
        <v>45292</v>
      </c>
      <c r="AT307" s="72">
        <v>45324</v>
      </c>
      <c r="AU307">
        <v>2</v>
      </c>
    </row>
    <row r="308" spans="1:47">
      <c r="A308" t="s">
        <v>2038</v>
      </c>
      <c r="B308">
        <v>2</v>
      </c>
      <c r="C308" s="72">
        <v>45315</v>
      </c>
      <c r="D308">
        <v>5</v>
      </c>
      <c r="E308" s="173">
        <v>0.35416666666666669</v>
      </c>
      <c r="F308" t="s">
        <v>78</v>
      </c>
      <c r="G308" t="s">
        <v>22</v>
      </c>
      <c r="H308" t="s">
        <v>164</v>
      </c>
      <c r="I308" t="s">
        <v>87</v>
      </c>
      <c r="J308" t="s">
        <v>576</v>
      </c>
      <c r="K308" t="s">
        <v>2039</v>
      </c>
      <c r="L308" t="s">
        <v>108</v>
      </c>
      <c r="M308" t="s">
        <v>1029</v>
      </c>
      <c r="N308">
        <v>967555800</v>
      </c>
      <c r="O308" t="s">
        <v>298</v>
      </c>
      <c r="P308" s="154">
        <v>12001372</v>
      </c>
      <c r="Q308" t="s">
        <v>80</v>
      </c>
      <c r="R308" t="s">
        <v>608</v>
      </c>
      <c r="S308" t="s">
        <v>2040</v>
      </c>
      <c r="T308" t="s">
        <v>2041</v>
      </c>
      <c r="U308" t="s">
        <v>2042</v>
      </c>
      <c r="V308" t="s">
        <v>2043</v>
      </c>
      <c r="W308" t="s">
        <v>101</v>
      </c>
      <c r="X308" t="s">
        <v>129</v>
      </c>
      <c r="Y308" s="229">
        <v>1252</v>
      </c>
      <c r="Z308" s="176">
        <v>548751.6</v>
      </c>
      <c r="AA308" s="270">
        <v>24</v>
      </c>
      <c r="AB308" t="s">
        <v>1685</v>
      </c>
      <c r="AC308" t="s">
        <v>1252</v>
      </c>
      <c r="AD308" s="199">
        <v>1</v>
      </c>
      <c r="AE308" s="199" t="s">
        <v>1292</v>
      </c>
      <c r="AF308" s="179">
        <v>428.8</v>
      </c>
      <c r="AG308" s="179">
        <v>0</v>
      </c>
      <c r="AH308" s="179">
        <v>0</v>
      </c>
      <c r="AI308" s="179">
        <v>0</v>
      </c>
      <c r="AJ308" s="179">
        <v>0</v>
      </c>
      <c r="AK308" s="179">
        <v>9.5</v>
      </c>
      <c r="AL308" s="306">
        <v>1</v>
      </c>
      <c r="AM308" s="306">
        <v>2024</v>
      </c>
      <c r="AN308" s="250" t="s">
        <v>2044</v>
      </c>
      <c r="AP308" t="str">
        <f>IF(BD_Bloqueados[[#This Row],[Analista ]]&lt;&gt;"Ana C",MID(BD_Bloqueados[[#This Row],[ID]],3,5),MID(BD_Bloqueados[[#This Row],[ID]],4,5))</f>
        <v>02424</v>
      </c>
      <c r="AQ308">
        <v>31</v>
      </c>
      <c r="AR308">
        <v>2024</v>
      </c>
      <c r="AS308" s="72">
        <v>45292</v>
      </c>
      <c r="AT308" s="72">
        <v>45322</v>
      </c>
      <c r="AU308">
        <v>1</v>
      </c>
    </row>
    <row r="309" spans="1:47">
      <c r="A309" t="s">
        <v>2416</v>
      </c>
      <c r="B309">
        <v>2</v>
      </c>
      <c r="C309" s="72">
        <v>45315</v>
      </c>
      <c r="D309">
        <v>5</v>
      </c>
      <c r="E309" s="173">
        <v>0.35416666666666669</v>
      </c>
      <c r="F309" t="s">
        <v>78</v>
      </c>
      <c r="G309" t="s">
        <v>22</v>
      </c>
      <c r="H309" t="s">
        <v>81</v>
      </c>
      <c r="I309" t="s">
        <v>87</v>
      </c>
      <c r="J309" t="s">
        <v>576</v>
      </c>
      <c r="K309" t="s">
        <v>2039</v>
      </c>
      <c r="L309" t="s">
        <v>108</v>
      </c>
      <c r="M309" t="s">
        <v>1029</v>
      </c>
      <c r="N309">
        <v>967555800</v>
      </c>
      <c r="O309" t="s">
        <v>93</v>
      </c>
      <c r="P309" s="154">
        <v>12001396</v>
      </c>
      <c r="Q309" t="s">
        <v>80</v>
      </c>
      <c r="R309" t="s">
        <v>608</v>
      </c>
      <c r="S309" t="s">
        <v>2040</v>
      </c>
      <c r="T309" t="s">
        <v>2042</v>
      </c>
      <c r="U309" t="s">
        <v>2041</v>
      </c>
      <c r="V309" t="s">
        <v>2043</v>
      </c>
      <c r="W309" t="s">
        <v>101</v>
      </c>
      <c r="X309" t="s">
        <v>129</v>
      </c>
      <c r="Y309" s="229">
        <v>400.25</v>
      </c>
      <c r="Z309" s="176">
        <v>204367.65000000002</v>
      </c>
      <c r="AA309" s="270">
        <v>24</v>
      </c>
      <c r="AB309" t="s">
        <v>1685</v>
      </c>
      <c r="AC309" t="s">
        <v>1252</v>
      </c>
      <c r="AD309" s="199">
        <v>1</v>
      </c>
      <c r="AE309" s="199" t="s">
        <v>1292</v>
      </c>
      <c r="AF309" s="179">
        <v>462</v>
      </c>
      <c r="AG309" s="179">
        <v>4.0999999999999996</v>
      </c>
      <c r="AH309" s="179">
        <v>0</v>
      </c>
      <c r="AI309" s="179">
        <v>8.8000000000000007</v>
      </c>
      <c r="AJ309" s="179">
        <v>24</v>
      </c>
      <c r="AK309" s="179">
        <v>11.7</v>
      </c>
      <c r="AL309" s="306">
        <v>1</v>
      </c>
      <c r="AM309" s="306">
        <v>2024</v>
      </c>
      <c r="AN309" s="250" t="s">
        <v>2044</v>
      </c>
      <c r="AP309" t="str">
        <f>IF(BD_Bloqueados[[#This Row],[Analista ]]&lt;&gt;"Ana C",MID(BD_Bloqueados[[#This Row],[ID]],3,5),MID(BD_Bloqueados[[#This Row],[ID]],4,5))</f>
        <v>02424</v>
      </c>
      <c r="AQ309">
        <v>30</v>
      </c>
      <c r="AR309">
        <v>2024</v>
      </c>
      <c r="AS309" s="72">
        <v>45292</v>
      </c>
      <c r="AT309" s="72">
        <v>45321</v>
      </c>
      <c r="AU309">
        <v>1</v>
      </c>
    </row>
    <row r="310" spans="1:47">
      <c r="A310" t="s">
        <v>2451</v>
      </c>
      <c r="B310">
        <v>2</v>
      </c>
      <c r="C310" s="72">
        <v>45315</v>
      </c>
      <c r="D310">
        <v>5</v>
      </c>
      <c r="E310" s="173">
        <v>0.37638888888888888</v>
      </c>
      <c r="F310" t="s">
        <v>78</v>
      </c>
      <c r="G310" t="s">
        <v>28</v>
      </c>
      <c r="H310" t="s">
        <v>165</v>
      </c>
      <c r="I310" t="s">
        <v>645</v>
      </c>
      <c r="J310" t="s">
        <v>618</v>
      </c>
      <c r="K310" t="s">
        <v>2422</v>
      </c>
      <c r="L310" t="s">
        <v>77</v>
      </c>
      <c r="M310" t="s">
        <v>666</v>
      </c>
      <c r="N310">
        <v>76005927</v>
      </c>
      <c r="O310" t="s">
        <v>391</v>
      </c>
      <c r="P310" s="154">
        <v>11000672</v>
      </c>
      <c r="Q310" t="s">
        <v>206</v>
      </c>
      <c r="R310" t="s">
        <v>579</v>
      </c>
      <c r="S310" t="s">
        <v>2452</v>
      </c>
      <c r="T310" t="s">
        <v>2453</v>
      </c>
      <c r="U310" t="s">
        <v>2454</v>
      </c>
      <c r="V310" t="s">
        <v>2455</v>
      </c>
      <c r="W310" t="s">
        <v>101</v>
      </c>
      <c r="X310" t="s">
        <v>1291</v>
      </c>
      <c r="Y310" s="229">
        <v>57.5</v>
      </c>
      <c r="Z310" s="176"/>
      <c r="AA310" s="270">
        <v>134300</v>
      </c>
      <c r="AD310" s="199"/>
      <c r="AE310" s="199"/>
      <c r="AF310" s="179"/>
      <c r="AG310" s="179"/>
      <c r="AH310" s="179"/>
      <c r="AI310" s="179"/>
      <c r="AJ310" s="179"/>
      <c r="AK310" s="179"/>
      <c r="AL310" s="306">
        <v>1</v>
      </c>
      <c r="AM310" s="306">
        <v>2024</v>
      </c>
      <c r="AN310" s="250"/>
      <c r="AP310" t="str">
        <f>IF(BD_Bloqueados[[#This Row],[Analista ]]&lt;&gt;"Ana C",MID(BD_Bloqueados[[#This Row],[ID]],3,5),MID(BD_Bloqueados[[#This Row],[ID]],4,5))</f>
        <v>02424</v>
      </c>
      <c r="AQ310">
        <v>30</v>
      </c>
      <c r="AR310">
        <v>2024</v>
      </c>
      <c r="AS310" s="72">
        <v>45292</v>
      </c>
      <c r="AT310" s="72">
        <v>45321</v>
      </c>
      <c r="AU310">
        <v>1</v>
      </c>
    </row>
    <row r="311" spans="1:47">
      <c r="A311" t="s">
        <v>2427</v>
      </c>
      <c r="B311">
        <v>2</v>
      </c>
      <c r="C311" s="72">
        <v>45314</v>
      </c>
      <c r="D311">
        <v>5</v>
      </c>
      <c r="E311" s="173">
        <v>0.38541666666666669</v>
      </c>
      <c r="F311" t="s">
        <v>78</v>
      </c>
      <c r="G311" t="s">
        <v>25</v>
      </c>
      <c r="H311" t="s">
        <v>187</v>
      </c>
      <c r="I311" t="s">
        <v>635</v>
      </c>
      <c r="J311" t="s">
        <v>595</v>
      </c>
      <c r="K311" t="s">
        <v>2428</v>
      </c>
      <c r="L311" t="s">
        <v>108</v>
      </c>
      <c r="M311" t="s">
        <v>1029</v>
      </c>
      <c r="N311">
        <v>967555800</v>
      </c>
      <c r="O311" t="s">
        <v>238</v>
      </c>
      <c r="P311" s="154">
        <v>13030210</v>
      </c>
      <c r="Q311" t="s">
        <v>185</v>
      </c>
      <c r="R311" t="s">
        <v>596</v>
      </c>
      <c r="S311" t="s">
        <v>2429</v>
      </c>
      <c r="T311" t="s">
        <v>2430</v>
      </c>
      <c r="U311" t="s">
        <v>2431</v>
      </c>
      <c r="V311" t="s">
        <v>2432</v>
      </c>
      <c r="W311" t="s">
        <v>101</v>
      </c>
      <c r="X311" t="s">
        <v>156</v>
      </c>
      <c r="Y311" s="229">
        <v>2872</v>
      </c>
      <c r="Z311" s="176">
        <v>0</v>
      </c>
      <c r="AA311" s="270">
        <v>23</v>
      </c>
      <c r="AB311" t="s">
        <v>1282</v>
      </c>
      <c r="AC311" t="s">
        <v>1252</v>
      </c>
      <c r="AD311" s="199">
        <v>1</v>
      </c>
      <c r="AE311" s="199" t="s">
        <v>1292</v>
      </c>
      <c r="AF311" s="179">
        <v>0</v>
      </c>
      <c r="AG311" s="179">
        <v>0</v>
      </c>
      <c r="AH311" s="179">
        <v>0</v>
      </c>
      <c r="AI311" s="179">
        <v>0</v>
      </c>
      <c r="AJ311" s="179">
        <v>0</v>
      </c>
      <c r="AK311" s="179"/>
      <c r="AL311" s="306">
        <v>1</v>
      </c>
      <c r="AM311" s="306">
        <v>2024</v>
      </c>
      <c r="AN311" s="250" t="s">
        <v>1283</v>
      </c>
      <c r="AP311" t="str">
        <f>IF(BD_Bloqueados[[#This Row],[Analista ]]&lt;&gt;"Ana C",MID(BD_Bloqueados[[#This Row],[ID]],3,5),MID(BD_Bloqueados[[#This Row],[ID]],4,5))</f>
        <v>02324</v>
      </c>
      <c r="AQ311">
        <v>30</v>
      </c>
      <c r="AR311">
        <v>2024</v>
      </c>
      <c r="AS311" s="72">
        <v>45292</v>
      </c>
      <c r="AT311" s="72">
        <v>45321</v>
      </c>
      <c r="AU311">
        <v>1</v>
      </c>
    </row>
    <row r="312" spans="1:47">
      <c r="A312" t="s">
        <v>2456</v>
      </c>
      <c r="B312">
        <v>2</v>
      </c>
      <c r="C312" s="72">
        <v>45313</v>
      </c>
      <c r="D312">
        <v>5</v>
      </c>
      <c r="E312" s="173">
        <v>0.98333333333333339</v>
      </c>
      <c r="F312" t="s">
        <v>136</v>
      </c>
      <c r="G312" t="s">
        <v>29</v>
      </c>
      <c r="H312" t="s">
        <v>211</v>
      </c>
      <c r="I312" t="s">
        <v>615</v>
      </c>
      <c r="J312" t="s">
        <v>618</v>
      </c>
      <c r="K312" t="s">
        <v>2457</v>
      </c>
      <c r="L312" t="s">
        <v>108</v>
      </c>
      <c r="M312" t="s">
        <v>1029</v>
      </c>
      <c r="N312">
        <v>967555800</v>
      </c>
      <c r="O312" t="s">
        <v>193</v>
      </c>
      <c r="P312" s="154">
        <v>13030558</v>
      </c>
      <c r="Q312" t="s">
        <v>80</v>
      </c>
      <c r="R312" t="s">
        <v>589</v>
      </c>
      <c r="S312" t="s">
        <v>2458</v>
      </c>
      <c r="U312" t="s">
        <v>2459</v>
      </c>
      <c r="V312" t="s">
        <v>2460</v>
      </c>
      <c r="W312" t="s">
        <v>101</v>
      </c>
      <c r="X312" t="s">
        <v>156</v>
      </c>
      <c r="Y312" s="229">
        <v>134.16</v>
      </c>
      <c r="Z312" s="176">
        <v>27612</v>
      </c>
      <c r="AA312" s="270">
        <v>22</v>
      </c>
      <c r="AB312" t="s">
        <v>1363</v>
      </c>
      <c r="AC312" t="s">
        <v>1349</v>
      </c>
      <c r="AD312" s="199">
        <v>0.43</v>
      </c>
      <c r="AE312" s="199" t="s">
        <v>1374</v>
      </c>
      <c r="AF312" s="179">
        <v>0</v>
      </c>
      <c r="AG312" s="179">
        <v>0</v>
      </c>
      <c r="AH312" s="179">
        <v>0</v>
      </c>
      <c r="AI312" s="179">
        <v>88.4</v>
      </c>
      <c r="AJ312" s="179">
        <v>0.1</v>
      </c>
      <c r="AK312" s="179">
        <v>0</v>
      </c>
      <c r="AL312" s="306">
        <v>1</v>
      </c>
      <c r="AM312" s="306">
        <v>2024</v>
      </c>
      <c r="AN312" s="250"/>
      <c r="AP312" t="str">
        <f>IF(BD_Bloqueados[[#This Row],[Analista ]]&lt;&gt;"Ana C",MID(BD_Bloqueados[[#This Row],[ID]],3,5),MID(BD_Bloqueados[[#This Row],[ID]],4,5))</f>
        <v>02224</v>
      </c>
      <c r="AQ312">
        <v>25</v>
      </c>
      <c r="AR312">
        <v>2024</v>
      </c>
      <c r="AS312" s="72">
        <v>45292</v>
      </c>
      <c r="AT312" s="72">
        <v>45316</v>
      </c>
      <c r="AU312">
        <v>1</v>
      </c>
    </row>
    <row r="313" spans="1:47">
      <c r="A313" t="s">
        <v>2461</v>
      </c>
      <c r="B313">
        <v>2</v>
      </c>
      <c r="C313" s="72">
        <v>45313</v>
      </c>
      <c r="D313">
        <v>5</v>
      </c>
      <c r="E313" s="173">
        <v>0.6875</v>
      </c>
      <c r="F313" t="s">
        <v>109</v>
      </c>
      <c r="G313" t="s">
        <v>32</v>
      </c>
      <c r="H313" t="s">
        <v>85</v>
      </c>
      <c r="I313" t="s">
        <v>248</v>
      </c>
      <c r="J313" t="s">
        <v>2204</v>
      </c>
      <c r="K313" t="s">
        <v>1524</v>
      </c>
      <c r="L313" t="s">
        <v>108</v>
      </c>
      <c r="M313" t="s">
        <v>1029</v>
      </c>
      <c r="N313">
        <v>967555800</v>
      </c>
      <c r="O313" t="s">
        <v>200</v>
      </c>
      <c r="P313" s="154">
        <v>13030428</v>
      </c>
      <c r="Q313" t="s">
        <v>185</v>
      </c>
      <c r="R313" t="s">
        <v>578</v>
      </c>
      <c r="S313" t="s">
        <v>2462</v>
      </c>
      <c r="T313" t="s">
        <v>1318</v>
      </c>
      <c r="U313" t="s">
        <v>2463</v>
      </c>
      <c r="V313" t="s">
        <v>2464</v>
      </c>
      <c r="W313" t="s">
        <v>101</v>
      </c>
      <c r="X313" t="s">
        <v>156</v>
      </c>
      <c r="Y313" s="229">
        <v>212</v>
      </c>
      <c r="Z313" s="176">
        <v>170660</v>
      </c>
      <c r="AA313" s="270">
        <v>20</v>
      </c>
      <c r="AB313" t="s">
        <v>1400</v>
      </c>
      <c r="AC313" t="s">
        <v>1291</v>
      </c>
      <c r="AD313" s="199">
        <v>1</v>
      </c>
      <c r="AE313" s="199" t="s">
        <v>1292</v>
      </c>
      <c r="AF313" s="179">
        <v>3.4</v>
      </c>
      <c r="AG313" s="179">
        <v>161.80000000000001</v>
      </c>
      <c r="AH313" s="179">
        <v>454.5</v>
      </c>
      <c r="AI313" s="179">
        <v>184</v>
      </c>
      <c r="AJ313" s="179">
        <v>1.3</v>
      </c>
      <c r="AK313" s="179">
        <v>0</v>
      </c>
      <c r="AL313" s="306">
        <v>1</v>
      </c>
      <c r="AM313" s="306">
        <v>2024</v>
      </c>
      <c r="AN313" s="250"/>
      <c r="AP313" t="str">
        <f>IF(BD_Bloqueados[[#This Row],[Analista ]]&lt;&gt;"Ana C",MID(BD_Bloqueados[[#This Row],[ID]],3,5),MID(BD_Bloqueados[[#This Row],[ID]],4,5))</f>
        <v>02224</v>
      </c>
      <c r="AQ313">
        <v>25</v>
      </c>
      <c r="AR313">
        <v>2024</v>
      </c>
      <c r="AS313" s="72">
        <v>45292</v>
      </c>
      <c r="AT313" s="72">
        <v>45316</v>
      </c>
      <c r="AU313">
        <v>1</v>
      </c>
    </row>
    <row r="314" spans="1:47">
      <c r="A314" t="s">
        <v>2465</v>
      </c>
      <c r="B314">
        <v>2</v>
      </c>
      <c r="C314" s="72">
        <v>45313</v>
      </c>
      <c r="D314">
        <v>5</v>
      </c>
      <c r="E314" s="173">
        <v>0.79166666666666663</v>
      </c>
      <c r="F314" t="s">
        <v>109</v>
      </c>
      <c r="G314" t="s">
        <v>25</v>
      </c>
      <c r="H314" t="s">
        <v>139</v>
      </c>
      <c r="I314" t="s">
        <v>87</v>
      </c>
      <c r="J314" t="s">
        <v>2204</v>
      </c>
      <c r="K314" t="s">
        <v>2466</v>
      </c>
      <c r="L314" t="s">
        <v>108</v>
      </c>
      <c r="M314" t="s">
        <v>1029</v>
      </c>
      <c r="N314">
        <v>967555800</v>
      </c>
      <c r="O314" t="s">
        <v>123</v>
      </c>
      <c r="P314" s="154">
        <v>13030401</v>
      </c>
      <c r="Q314" t="s">
        <v>138</v>
      </c>
      <c r="R314" t="s">
        <v>589</v>
      </c>
      <c r="S314" t="s">
        <v>2467</v>
      </c>
      <c r="T314" t="s">
        <v>2468</v>
      </c>
      <c r="U314" t="s">
        <v>2469</v>
      </c>
      <c r="V314" t="s">
        <v>2470</v>
      </c>
      <c r="W314" t="s">
        <v>101</v>
      </c>
      <c r="X314" t="s">
        <v>102</v>
      </c>
      <c r="Y314" s="229">
        <v>3360</v>
      </c>
      <c r="Z314" s="176">
        <v>0</v>
      </c>
      <c r="AA314" s="270">
        <v>22</v>
      </c>
      <c r="AB314" t="s">
        <v>1356</v>
      </c>
      <c r="AC314" t="s">
        <v>1349</v>
      </c>
      <c r="AD314" s="199"/>
      <c r="AE314" s="199"/>
      <c r="AF314" s="179"/>
      <c r="AG314" s="179"/>
      <c r="AH314" s="179"/>
      <c r="AI314" s="179"/>
      <c r="AJ314" s="179"/>
      <c r="AK314" s="179"/>
      <c r="AL314" s="306">
        <v>1</v>
      </c>
      <c r="AM314" s="306">
        <v>2024</v>
      </c>
      <c r="AN314" s="250"/>
      <c r="AP314" t="str">
        <f>IF(BD_Bloqueados[[#This Row],[Analista ]]&lt;&gt;"Ana C",MID(BD_Bloqueados[[#This Row],[ID]],3,5),MID(BD_Bloqueados[[#This Row],[ID]],4,5))</f>
        <v>02224</v>
      </c>
      <c r="AQ314">
        <v>24</v>
      </c>
      <c r="AR314">
        <v>2024</v>
      </c>
      <c r="AS314" s="72">
        <v>45292</v>
      </c>
      <c r="AT314" s="72">
        <v>45315</v>
      </c>
      <c r="AU314">
        <v>1</v>
      </c>
    </row>
    <row r="315" spans="1:47">
      <c r="A315" t="s">
        <v>2484</v>
      </c>
      <c r="B315">
        <v>2</v>
      </c>
      <c r="C315" s="72">
        <v>45311</v>
      </c>
      <c r="D315">
        <v>4</v>
      </c>
      <c r="E315" s="173">
        <v>0.53055555555555556</v>
      </c>
      <c r="F315" t="s">
        <v>78</v>
      </c>
      <c r="G315" t="s">
        <v>28</v>
      </c>
      <c r="H315" t="s">
        <v>165</v>
      </c>
      <c r="I315" t="s">
        <v>635</v>
      </c>
      <c r="J315" t="s">
        <v>618</v>
      </c>
      <c r="K315" t="s">
        <v>1270</v>
      </c>
      <c r="L315" t="s">
        <v>108</v>
      </c>
      <c r="M315" t="s">
        <v>1029</v>
      </c>
      <c r="N315">
        <v>967555800</v>
      </c>
      <c r="O315" t="s">
        <v>324</v>
      </c>
      <c r="P315" s="154">
        <v>13000469</v>
      </c>
      <c r="Q315" t="s">
        <v>185</v>
      </c>
      <c r="R315" t="s">
        <v>600</v>
      </c>
      <c r="S315" t="s">
        <v>2485</v>
      </c>
      <c r="U315" t="s">
        <v>2486</v>
      </c>
      <c r="V315" t="s">
        <v>2487</v>
      </c>
      <c r="W315" t="s">
        <v>101</v>
      </c>
      <c r="X315" t="s">
        <v>102</v>
      </c>
      <c r="Y315" s="229"/>
      <c r="Z315" s="176">
        <v>0</v>
      </c>
      <c r="AA315" s="270">
        <v>12</v>
      </c>
      <c r="AD315" s="199"/>
      <c r="AE315" s="199"/>
      <c r="AF315" s="179"/>
      <c r="AG315" s="179"/>
      <c r="AH315" s="179"/>
      <c r="AI315" s="179"/>
      <c r="AJ315" s="179"/>
      <c r="AK315" s="179"/>
      <c r="AL315" s="306">
        <v>1</v>
      </c>
      <c r="AM315" s="306">
        <v>2024</v>
      </c>
      <c r="AN315" s="250"/>
      <c r="AP315" t="str">
        <f>IF(BD_Bloqueados[[#This Row],[Analista ]]&lt;&gt;"Ana C",MID(BD_Bloqueados[[#This Row],[ID]],3,5),MID(BD_Bloqueados[[#This Row],[ID]],4,5))</f>
        <v>02024</v>
      </c>
      <c r="AQ315">
        <v>24</v>
      </c>
      <c r="AR315">
        <v>2024</v>
      </c>
      <c r="AS315" s="72">
        <v>45292</v>
      </c>
      <c r="AT315" s="72">
        <v>45315</v>
      </c>
      <c r="AU315">
        <v>1</v>
      </c>
    </row>
    <row r="316" spans="1:47">
      <c r="A316" t="s">
        <v>2488</v>
      </c>
      <c r="B316">
        <v>2</v>
      </c>
      <c r="C316" s="72">
        <v>45309</v>
      </c>
      <c r="D316">
        <v>4</v>
      </c>
      <c r="E316" s="173">
        <v>0.15625</v>
      </c>
      <c r="F316" t="s">
        <v>136</v>
      </c>
      <c r="G316" t="s">
        <v>26</v>
      </c>
      <c r="H316" t="s">
        <v>82</v>
      </c>
      <c r="I316" t="s">
        <v>87</v>
      </c>
      <c r="J316" t="s">
        <v>169</v>
      </c>
      <c r="K316" t="s">
        <v>2447</v>
      </c>
      <c r="L316" t="s">
        <v>108</v>
      </c>
      <c r="M316" t="s">
        <v>1029</v>
      </c>
      <c r="N316">
        <v>967555800</v>
      </c>
      <c r="O316" t="s">
        <v>753</v>
      </c>
      <c r="P316" s="154">
        <v>13030301</v>
      </c>
      <c r="Q316" t="s">
        <v>206</v>
      </c>
      <c r="R316" t="s">
        <v>584</v>
      </c>
      <c r="S316" t="s">
        <v>2489</v>
      </c>
      <c r="T316" t="s">
        <v>2490</v>
      </c>
      <c r="U316" t="s">
        <v>2491</v>
      </c>
      <c r="V316" t="s">
        <v>1318</v>
      </c>
      <c r="W316" t="s">
        <v>101</v>
      </c>
      <c r="X316" t="s">
        <v>102</v>
      </c>
      <c r="Y316" s="229">
        <v>4375</v>
      </c>
      <c r="Z316" s="176">
        <v>0</v>
      </c>
      <c r="AA316" s="270">
        <v>18</v>
      </c>
      <c r="AD316" s="199"/>
      <c r="AE316" s="199"/>
      <c r="AF316" s="179"/>
      <c r="AG316" s="179"/>
      <c r="AH316" s="179"/>
      <c r="AI316" s="179"/>
      <c r="AJ316" s="179"/>
      <c r="AK316" s="179"/>
      <c r="AL316" s="306">
        <v>1</v>
      </c>
      <c r="AM316" s="306">
        <v>2024</v>
      </c>
      <c r="AN316" s="250"/>
      <c r="AP316" t="str">
        <f>IF(BD_Bloqueados[[#This Row],[Analista ]]&lt;&gt;"Ana C",MID(BD_Bloqueados[[#This Row],[ID]],3,5),MID(BD_Bloqueados[[#This Row],[ID]],4,5))</f>
        <v>01824</v>
      </c>
      <c r="AQ316">
        <v>23</v>
      </c>
      <c r="AR316">
        <v>2024</v>
      </c>
      <c r="AS316" s="72">
        <v>45292</v>
      </c>
      <c r="AT316" s="72">
        <v>45314</v>
      </c>
      <c r="AU316">
        <v>1</v>
      </c>
    </row>
    <row r="317" spans="1:47">
      <c r="A317" t="s">
        <v>2492</v>
      </c>
      <c r="B317">
        <v>2</v>
      </c>
      <c r="C317" s="72">
        <v>45309</v>
      </c>
      <c r="D317">
        <v>4</v>
      </c>
      <c r="E317" s="173">
        <v>0.47916666666666669</v>
      </c>
      <c r="F317" t="s">
        <v>78</v>
      </c>
      <c r="G317" t="s">
        <v>628</v>
      </c>
      <c r="H317" t="s">
        <v>86</v>
      </c>
      <c r="I317" t="s">
        <v>615</v>
      </c>
      <c r="J317" t="s">
        <v>567</v>
      </c>
      <c r="K317" t="s">
        <v>2493</v>
      </c>
      <c r="L317" t="s">
        <v>108</v>
      </c>
      <c r="M317" t="s">
        <v>1029</v>
      </c>
      <c r="N317">
        <v>967555800</v>
      </c>
      <c r="O317" t="s">
        <v>123</v>
      </c>
      <c r="P317" s="154">
        <v>13030401</v>
      </c>
      <c r="Q317" t="s">
        <v>138</v>
      </c>
      <c r="R317" t="s">
        <v>620</v>
      </c>
      <c r="S317" t="s">
        <v>2494</v>
      </c>
      <c r="T317" t="s">
        <v>2495</v>
      </c>
      <c r="U317" t="s">
        <v>2496</v>
      </c>
      <c r="V317" t="s">
        <v>2497</v>
      </c>
      <c r="W317" t="s">
        <v>101</v>
      </c>
      <c r="X317" t="s">
        <v>102</v>
      </c>
      <c r="Y317" s="229">
        <v>4800</v>
      </c>
      <c r="Z317" s="176"/>
      <c r="AA317" s="270" t="s">
        <v>2498</v>
      </c>
      <c r="AD317" s="199"/>
      <c r="AE317" s="199"/>
      <c r="AF317" s="179"/>
      <c r="AG317" s="179"/>
      <c r="AH317" s="179"/>
      <c r="AI317" s="179"/>
      <c r="AJ317" s="179"/>
      <c r="AK317" s="179"/>
      <c r="AL317" s="306">
        <v>1</v>
      </c>
      <c r="AM317" s="306">
        <v>2024</v>
      </c>
      <c r="AN317" s="250"/>
      <c r="AP317" t="str">
        <f>IF(BD_Bloqueados[[#This Row],[Analista ]]&lt;&gt;"Ana C",MID(BD_Bloqueados[[#This Row],[ID]],3,5),MID(BD_Bloqueados[[#This Row],[ID]],4,5))</f>
        <v>01824</v>
      </c>
      <c r="AQ317">
        <v>22</v>
      </c>
      <c r="AR317">
        <v>2024</v>
      </c>
      <c r="AS317" s="72">
        <v>45292</v>
      </c>
      <c r="AT317" s="72">
        <v>45313</v>
      </c>
      <c r="AU317">
        <v>1</v>
      </c>
    </row>
    <row r="318" spans="1:47">
      <c r="A318" t="s">
        <v>2499</v>
      </c>
      <c r="B318">
        <v>2</v>
      </c>
      <c r="C318" s="72">
        <v>45308</v>
      </c>
      <c r="D318">
        <v>4</v>
      </c>
      <c r="E318" s="173">
        <v>0.75</v>
      </c>
      <c r="F318" t="s">
        <v>109</v>
      </c>
      <c r="G318" t="s">
        <v>33</v>
      </c>
      <c r="H318" t="s">
        <v>33</v>
      </c>
      <c r="I318" t="s">
        <v>190</v>
      </c>
      <c r="J318" t="s">
        <v>572</v>
      </c>
      <c r="K318" t="s">
        <v>2500</v>
      </c>
      <c r="L318" t="s">
        <v>108</v>
      </c>
      <c r="M318" t="s">
        <v>1029</v>
      </c>
      <c r="N318">
        <v>967555800</v>
      </c>
      <c r="O318" t="s">
        <v>309</v>
      </c>
      <c r="P318" s="154">
        <v>13030396</v>
      </c>
      <c r="Q318" t="s">
        <v>185</v>
      </c>
      <c r="R318" t="s">
        <v>600</v>
      </c>
      <c r="S318" t="s">
        <v>2501</v>
      </c>
      <c r="T318" t="s">
        <v>2502</v>
      </c>
      <c r="U318" t="s">
        <v>2503</v>
      </c>
      <c r="V318" t="s">
        <v>2504</v>
      </c>
      <c r="W318" t="s">
        <v>101</v>
      </c>
      <c r="X318" t="s">
        <v>102</v>
      </c>
      <c r="Y318" s="229">
        <v>302.39999999999998</v>
      </c>
      <c r="Z318" s="176">
        <v>0</v>
      </c>
      <c r="AA318" s="270">
        <v>254</v>
      </c>
      <c r="AD318" s="199"/>
      <c r="AE318" s="199"/>
      <c r="AF318" s="179"/>
      <c r="AG318" s="179"/>
      <c r="AH318" s="179"/>
      <c r="AI318" s="179"/>
      <c r="AJ318" s="179"/>
      <c r="AK318" s="179"/>
      <c r="AL318" s="306">
        <v>1</v>
      </c>
      <c r="AM318" s="306">
        <v>2024</v>
      </c>
      <c r="AN318" s="250"/>
      <c r="AP318" t="str">
        <f>IF(BD_Bloqueados[[#This Row],[Analista ]]&lt;&gt;"Ana C",MID(BD_Bloqueados[[#This Row],[ID]],3,5),MID(BD_Bloqueados[[#This Row],[ID]],4,5))</f>
        <v>01724</v>
      </c>
      <c r="AQ318">
        <v>22</v>
      </c>
      <c r="AR318">
        <v>2024</v>
      </c>
      <c r="AS318" s="72">
        <v>45292</v>
      </c>
      <c r="AT318" s="72">
        <v>45313</v>
      </c>
      <c r="AU318">
        <v>1</v>
      </c>
    </row>
    <row r="319" spans="1:47">
      <c r="A319" t="s">
        <v>2505</v>
      </c>
      <c r="B319">
        <v>2</v>
      </c>
      <c r="C319" s="72">
        <v>45308</v>
      </c>
      <c r="D319">
        <v>4</v>
      </c>
      <c r="E319" s="173">
        <v>0.33333333333333331</v>
      </c>
      <c r="F319" t="s">
        <v>78</v>
      </c>
      <c r="G319" t="s">
        <v>27</v>
      </c>
      <c r="H319" t="s">
        <v>189</v>
      </c>
      <c r="I319" t="s">
        <v>635</v>
      </c>
      <c r="J319" t="s">
        <v>618</v>
      </c>
      <c r="K319" t="s">
        <v>2506</v>
      </c>
      <c r="L319" t="s">
        <v>108</v>
      </c>
      <c r="M319" t="s">
        <v>1029</v>
      </c>
      <c r="N319">
        <v>967555800</v>
      </c>
      <c r="O319" t="s">
        <v>272</v>
      </c>
      <c r="P319" s="154">
        <v>13030280</v>
      </c>
      <c r="Q319" t="s">
        <v>80</v>
      </c>
      <c r="R319" t="s">
        <v>589</v>
      </c>
      <c r="S319" t="s">
        <v>2507</v>
      </c>
      <c r="T319" t="s">
        <v>2508</v>
      </c>
      <c r="U319" t="s">
        <v>2509</v>
      </c>
      <c r="V319" t="s">
        <v>2510</v>
      </c>
      <c r="W319" t="s">
        <v>101</v>
      </c>
      <c r="X319" t="s">
        <v>102</v>
      </c>
      <c r="Y319" s="229">
        <v>2371.6</v>
      </c>
      <c r="Z319" s="176">
        <v>0</v>
      </c>
      <c r="AA319" s="270">
        <v>17</v>
      </c>
      <c r="AD319" s="199"/>
      <c r="AE319" s="199"/>
      <c r="AF319" s="179"/>
      <c r="AG319" s="179"/>
      <c r="AH319" s="179"/>
      <c r="AI319" s="179"/>
      <c r="AJ319" s="179"/>
      <c r="AK319" s="179"/>
      <c r="AL319" s="306">
        <v>1</v>
      </c>
      <c r="AM319" s="306">
        <v>2024</v>
      </c>
      <c r="AN319" s="250"/>
      <c r="AP319" t="str">
        <f>IF(BD_Bloqueados[[#This Row],[Analista ]]&lt;&gt;"Ana C",MID(BD_Bloqueados[[#This Row],[ID]],3,5),MID(BD_Bloqueados[[#This Row],[ID]],4,5))</f>
        <v>01724</v>
      </c>
      <c r="AQ319">
        <v>22</v>
      </c>
      <c r="AR319">
        <v>2024</v>
      </c>
      <c r="AS319" s="72">
        <v>45292</v>
      </c>
      <c r="AT319" s="72">
        <v>45313</v>
      </c>
      <c r="AU319">
        <v>1</v>
      </c>
    </row>
    <row r="320" spans="1:47">
      <c r="A320" t="s">
        <v>2511</v>
      </c>
      <c r="B320">
        <v>2</v>
      </c>
      <c r="C320" s="72">
        <v>45308</v>
      </c>
      <c r="D320">
        <v>4</v>
      </c>
      <c r="E320" s="173">
        <v>0.33333333333333331</v>
      </c>
      <c r="F320" t="s">
        <v>78</v>
      </c>
      <c r="G320" t="s">
        <v>27</v>
      </c>
      <c r="H320" t="s">
        <v>209</v>
      </c>
      <c r="I320" t="s">
        <v>635</v>
      </c>
      <c r="J320" t="s">
        <v>618</v>
      </c>
      <c r="K320" t="s">
        <v>2512</v>
      </c>
      <c r="L320" t="s">
        <v>108</v>
      </c>
      <c r="M320" t="s">
        <v>1029</v>
      </c>
      <c r="N320">
        <v>967555800</v>
      </c>
      <c r="O320" t="s">
        <v>99</v>
      </c>
      <c r="P320" s="154">
        <v>13001756</v>
      </c>
      <c r="Q320" t="s">
        <v>80</v>
      </c>
      <c r="R320" t="s">
        <v>589</v>
      </c>
      <c r="S320" t="s">
        <v>2513</v>
      </c>
      <c r="T320" t="s">
        <v>2514</v>
      </c>
      <c r="U320" t="s">
        <v>2509</v>
      </c>
      <c r="V320" t="s">
        <v>2510</v>
      </c>
      <c r="W320" t="s">
        <v>101</v>
      </c>
      <c r="X320" t="s">
        <v>102</v>
      </c>
      <c r="Y320" s="229">
        <v>2916</v>
      </c>
      <c r="Z320" s="176">
        <v>0</v>
      </c>
      <c r="AA320" s="270">
        <v>17</v>
      </c>
      <c r="AD320" s="199"/>
      <c r="AE320" s="199"/>
      <c r="AF320" s="179"/>
      <c r="AG320" s="179"/>
      <c r="AH320" s="179"/>
      <c r="AI320" s="179"/>
      <c r="AJ320" s="179"/>
      <c r="AK320" s="179"/>
      <c r="AL320" s="306">
        <v>1</v>
      </c>
      <c r="AM320" s="306">
        <v>2024</v>
      </c>
      <c r="AN320" s="250"/>
      <c r="AP320" t="str">
        <f>IF(BD_Bloqueados[[#This Row],[Analista ]]&lt;&gt;"Ana C",MID(BD_Bloqueados[[#This Row],[ID]],3,5),MID(BD_Bloqueados[[#This Row],[ID]],4,5))</f>
        <v>01724</v>
      </c>
      <c r="AQ320">
        <v>20</v>
      </c>
      <c r="AR320">
        <v>2024</v>
      </c>
      <c r="AS320" s="72">
        <v>45292</v>
      </c>
      <c r="AT320" s="72">
        <v>45311</v>
      </c>
      <c r="AU320">
        <v>1</v>
      </c>
    </row>
    <row r="321" spans="1:47">
      <c r="A321" t="s">
        <v>2471</v>
      </c>
      <c r="B321">
        <v>2</v>
      </c>
      <c r="C321" s="72">
        <v>45307</v>
      </c>
      <c r="D321">
        <v>4</v>
      </c>
      <c r="E321" s="173">
        <v>0.14583333333333334</v>
      </c>
      <c r="F321" t="s">
        <v>136</v>
      </c>
      <c r="G321" t="s">
        <v>29</v>
      </c>
      <c r="H321" t="s">
        <v>83</v>
      </c>
      <c r="I321" t="s">
        <v>259</v>
      </c>
      <c r="J321" t="s">
        <v>2472</v>
      </c>
      <c r="K321" t="s">
        <v>2473</v>
      </c>
      <c r="L321" t="s">
        <v>108</v>
      </c>
      <c r="M321" t="s">
        <v>1029</v>
      </c>
      <c r="N321">
        <v>967555800</v>
      </c>
      <c r="O321" t="s">
        <v>119</v>
      </c>
      <c r="P321" s="154">
        <v>12001437</v>
      </c>
      <c r="Q321" t="s">
        <v>138</v>
      </c>
      <c r="R321" t="s">
        <v>79</v>
      </c>
      <c r="S321" t="s">
        <v>2474</v>
      </c>
      <c r="T321" t="s">
        <v>2475</v>
      </c>
      <c r="U321" t="s">
        <v>2476</v>
      </c>
      <c r="W321" t="s">
        <v>101</v>
      </c>
      <c r="X321" t="s">
        <v>129</v>
      </c>
      <c r="Y321" s="229">
        <v>744</v>
      </c>
      <c r="Z321" s="176">
        <v>1373458.6046511629</v>
      </c>
      <c r="AA321" s="270">
        <v>16</v>
      </c>
      <c r="AB321" t="s">
        <v>1845</v>
      </c>
      <c r="AC321" t="s">
        <v>1349</v>
      </c>
      <c r="AD321" s="199">
        <v>4.777777777777778E-2</v>
      </c>
      <c r="AE321" s="199" t="s">
        <v>1374</v>
      </c>
      <c r="AF321" s="179">
        <v>76.8</v>
      </c>
      <c r="AG321" s="179">
        <v>5.9</v>
      </c>
      <c r="AH321" s="179">
        <v>0</v>
      </c>
      <c r="AI321" s="179">
        <v>3.8</v>
      </c>
      <c r="AJ321" s="179">
        <v>0</v>
      </c>
      <c r="AK321" s="179">
        <v>1.7</v>
      </c>
      <c r="AL321" s="306">
        <v>1</v>
      </c>
      <c r="AM321" s="306">
        <v>2024</v>
      </c>
      <c r="AN321" s="250"/>
      <c r="AP321" t="str">
        <f>IF(BD_Bloqueados[[#This Row],[Analista ]]&lt;&gt;"Ana C",MID(BD_Bloqueados[[#This Row],[ID]],3,5),MID(BD_Bloqueados[[#This Row],[ID]],4,5))</f>
        <v>01624</v>
      </c>
      <c r="AQ321">
        <v>18</v>
      </c>
      <c r="AR321">
        <v>2024</v>
      </c>
      <c r="AS321" s="72">
        <v>45292</v>
      </c>
      <c r="AT321" s="72">
        <v>45309</v>
      </c>
      <c r="AU321">
        <v>1</v>
      </c>
    </row>
    <row r="322" spans="1:47">
      <c r="A322" t="s">
        <v>2477</v>
      </c>
      <c r="B322">
        <v>2</v>
      </c>
      <c r="C322" s="72">
        <v>45307</v>
      </c>
      <c r="D322">
        <v>4</v>
      </c>
      <c r="E322" s="173">
        <v>8.3333333333333329E-2</v>
      </c>
      <c r="F322" t="s">
        <v>136</v>
      </c>
      <c r="G322" t="s">
        <v>23</v>
      </c>
      <c r="H322" t="s">
        <v>187</v>
      </c>
      <c r="I322" t="s">
        <v>87</v>
      </c>
      <c r="J322" t="s">
        <v>169</v>
      </c>
      <c r="K322" t="s">
        <v>2478</v>
      </c>
      <c r="L322" t="s">
        <v>108</v>
      </c>
      <c r="M322" t="s">
        <v>1029</v>
      </c>
      <c r="N322">
        <v>967555800</v>
      </c>
      <c r="O322" t="s">
        <v>174</v>
      </c>
      <c r="P322" s="154">
        <v>13000270</v>
      </c>
      <c r="Q322" t="s">
        <v>138</v>
      </c>
      <c r="R322" t="s">
        <v>585</v>
      </c>
      <c r="S322" t="s">
        <v>2479</v>
      </c>
      <c r="T322" t="s">
        <v>2480</v>
      </c>
      <c r="U322" t="s">
        <v>2481</v>
      </c>
      <c r="V322" t="s">
        <v>2482</v>
      </c>
      <c r="W322" t="s">
        <v>101</v>
      </c>
      <c r="X322" t="s">
        <v>102</v>
      </c>
      <c r="Y322" s="229">
        <v>957.6</v>
      </c>
      <c r="Z322" s="176">
        <v>0</v>
      </c>
      <c r="AA322" s="270">
        <v>16</v>
      </c>
      <c r="AB322" t="s">
        <v>2483</v>
      </c>
      <c r="AC322" t="s">
        <v>1252</v>
      </c>
      <c r="AD322" s="199"/>
      <c r="AE322" s="199"/>
      <c r="AF322" s="179"/>
      <c r="AG322" s="179"/>
      <c r="AH322" s="179"/>
      <c r="AI322" s="179"/>
      <c r="AJ322" s="179"/>
      <c r="AK322" s="179"/>
      <c r="AL322" s="306">
        <v>1</v>
      </c>
      <c r="AM322" s="306">
        <v>2024</v>
      </c>
      <c r="AN322" s="250"/>
      <c r="AP322" t="str">
        <f>IF(BD_Bloqueados[[#This Row],[Analista ]]&lt;&gt;"Ana C",MID(BD_Bloqueados[[#This Row],[ID]],3,5),MID(BD_Bloqueados[[#This Row],[ID]],4,5))</f>
        <v>01624</v>
      </c>
      <c r="AQ322">
        <v>18</v>
      </c>
      <c r="AR322">
        <v>2024</v>
      </c>
      <c r="AS322" s="72">
        <v>45292</v>
      </c>
      <c r="AT322" s="72">
        <v>45309</v>
      </c>
      <c r="AU322">
        <v>1</v>
      </c>
    </row>
    <row r="323" spans="1:47">
      <c r="A323" t="s">
        <v>2515</v>
      </c>
      <c r="B323">
        <v>2</v>
      </c>
      <c r="C323" s="72">
        <v>45307</v>
      </c>
      <c r="D323">
        <v>4</v>
      </c>
      <c r="E323" s="173">
        <v>0.3263888888888889</v>
      </c>
      <c r="F323" t="s">
        <v>78</v>
      </c>
      <c r="G323" t="s">
        <v>28</v>
      </c>
      <c r="H323" t="s">
        <v>81</v>
      </c>
      <c r="I323" t="s">
        <v>212</v>
      </c>
      <c r="J323" t="s">
        <v>618</v>
      </c>
      <c r="K323" t="s">
        <v>2516</v>
      </c>
      <c r="L323" t="s">
        <v>77</v>
      </c>
      <c r="M323" t="s">
        <v>705</v>
      </c>
      <c r="N323">
        <v>76057769</v>
      </c>
      <c r="O323" t="s">
        <v>469</v>
      </c>
      <c r="P323" s="154">
        <v>10003478</v>
      </c>
      <c r="Q323" t="s">
        <v>138</v>
      </c>
      <c r="R323" t="s">
        <v>585</v>
      </c>
      <c r="S323" t="s">
        <v>2517</v>
      </c>
      <c r="T323" t="s">
        <v>2518</v>
      </c>
      <c r="U323" t="s">
        <v>2519</v>
      </c>
      <c r="V323" t="s">
        <v>2520</v>
      </c>
      <c r="W323" t="s">
        <v>101</v>
      </c>
      <c r="X323" t="s">
        <v>102</v>
      </c>
      <c r="Y323" s="229">
        <v>104</v>
      </c>
      <c r="Z323" s="176">
        <v>0</v>
      </c>
      <c r="AA323" s="270">
        <v>4265123</v>
      </c>
      <c r="AD323" s="199"/>
      <c r="AE323" s="199"/>
      <c r="AF323" s="179"/>
      <c r="AG323" s="179"/>
      <c r="AH323" s="179"/>
      <c r="AI323" s="179"/>
      <c r="AJ323" s="179"/>
      <c r="AK323" s="179"/>
      <c r="AL323" s="306">
        <v>1</v>
      </c>
      <c r="AM323" s="306">
        <v>2024</v>
      </c>
      <c r="AN323" s="250"/>
      <c r="AP323" t="str">
        <f>IF(BD_Bloqueados[[#This Row],[Analista ]]&lt;&gt;"Ana C",MID(BD_Bloqueados[[#This Row],[ID]],3,5),MID(BD_Bloqueados[[#This Row],[ID]],4,5))</f>
        <v>01624</v>
      </c>
      <c r="AQ323">
        <v>17</v>
      </c>
      <c r="AR323">
        <v>2024</v>
      </c>
      <c r="AS323" s="72">
        <v>45292</v>
      </c>
      <c r="AT323" s="72">
        <v>45308</v>
      </c>
      <c r="AU323">
        <v>1</v>
      </c>
    </row>
    <row r="324" spans="1:47">
      <c r="A324" t="s">
        <v>2593</v>
      </c>
      <c r="B324">
        <v>2</v>
      </c>
      <c r="C324" s="72">
        <v>45307</v>
      </c>
      <c r="D324">
        <v>4</v>
      </c>
      <c r="E324" s="173">
        <v>0.14583333333333334</v>
      </c>
      <c r="F324" t="s">
        <v>136</v>
      </c>
      <c r="G324" t="s">
        <v>29</v>
      </c>
      <c r="H324" t="s">
        <v>83</v>
      </c>
      <c r="I324" t="s">
        <v>259</v>
      </c>
      <c r="J324" t="s">
        <v>2472</v>
      </c>
      <c r="K324" t="s">
        <v>2473</v>
      </c>
      <c r="L324" t="s">
        <v>108</v>
      </c>
      <c r="M324" t="s">
        <v>1029</v>
      </c>
      <c r="N324">
        <v>967555800</v>
      </c>
      <c r="O324" t="s">
        <v>193</v>
      </c>
      <c r="P324" s="154">
        <v>13030558</v>
      </c>
      <c r="Q324" t="s">
        <v>138</v>
      </c>
      <c r="R324" t="s">
        <v>79</v>
      </c>
      <c r="S324" t="s">
        <v>2474</v>
      </c>
      <c r="T324" t="s">
        <v>2475</v>
      </c>
      <c r="U324" t="s">
        <v>2476</v>
      </c>
      <c r="W324" t="s">
        <v>101</v>
      </c>
      <c r="X324" t="s">
        <v>129</v>
      </c>
      <c r="Y324" s="229">
        <v>2179</v>
      </c>
      <c r="Z324" s="176">
        <v>4552589.7674418604</v>
      </c>
      <c r="AA324" s="270">
        <v>16</v>
      </c>
      <c r="AB324" t="s">
        <v>1845</v>
      </c>
      <c r="AC324" t="s">
        <v>1349</v>
      </c>
      <c r="AD324" s="199">
        <v>0.43</v>
      </c>
      <c r="AE324" s="199" t="s">
        <v>1374</v>
      </c>
      <c r="AF324" s="179">
        <v>0</v>
      </c>
      <c r="AG324" s="179">
        <v>48.5</v>
      </c>
      <c r="AH324" s="179">
        <v>761.4</v>
      </c>
      <c r="AI324" s="179">
        <v>88.4</v>
      </c>
      <c r="AJ324" s="179">
        <v>0.1</v>
      </c>
      <c r="AK324" s="179">
        <v>0</v>
      </c>
      <c r="AL324" s="306">
        <v>1</v>
      </c>
      <c r="AM324" s="306">
        <v>2024</v>
      </c>
      <c r="AN324" s="250"/>
      <c r="AP324" t="str">
        <f>IF(BD_Bloqueados[[#This Row],[Analista ]]&lt;&gt;"Ana C",MID(BD_Bloqueados[[#This Row],[ID]],3,5),MID(BD_Bloqueados[[#This Row],[ID]],4,5))</f>
        <v>01624</v>
      </c>
      <c r="AQ324">
        <v>17</v>
      </c>
      <c r="AR324">
        <v>2024</v>
      </c>
      <c r="AS324" s="72">
        <v>45292</v>
      </c>
      <c r="AT324" s="72">
        <v>45308</v>
      </c>
      <c r="AU324">
        <v>1</v>
      </c>
    </row>
    <row r="325" spans="1:47">
      <c r="A325" t="s">
        <v>2521</v>
      </c>
      <c r="B325">
        <v>2</v>
      </c>
      <c r="C325" s="72">
        <v>45306</v>
      </c>
      <c r="D325">
        <v>4</v>
      </c>
      <c r="E325" s="173">
        <v>0.9375</v>
      </c>
      <c r="F325" t="s">
        <v>136</v>
      </c>
      <c r="G325" t="s">
        <v>23</v>
      </c>
      <c r="H325" t="s">
        <v>164</v>
      </c>
      <c r="I325" t="s">
        <v>87</v>
      </c>
      <c r="J325" t="s">
        <v>169</v>
      </c>
      <c r="K325" t="s">
        <v>2478</v>
      </c>
      <c r="L325" t="s">
        <v>108</v>
      </c>
      <c r="M325" t="s">
        <v>1029</v>
      </c>
      <c r="N325">
        <v>967555800</v>
      </c>
      <c r="O325" t="s">
        <v>285</v>
      </c>
      <c r="P325" s="154">
        <v>13030597</v>
      </c>
      <c r="Q325" t="s">
        <v>138</v>
      </c>
      <c r="R325" t="s">
        <v>585</v>
      </c>
      <c r="S325" t="s">
        <v>2522</v>
      </c>
      <c r="T325" t="s">
        <v>2523</v>
      </c>
      <c r="U325" t="s">
        <v>2524</v>
      </c>
      <c r="V325" t="s">
        <v>2525</v>
      </c>
      <c r="W325" t="s">
        <v>101</v>
      </c>
      <c r="X325" t="s">
        <v>102</v>
      </c>
      <c r="Y325" s="229">
        <v>957.6</v>
      </c>
      <c r="Z325" s="176">
        <v>0</v>
      </c>
      <c r="AA325" s="270">
        <v>16</v>
      </c>
      <c r="AB325" t="s">
        <v>2483</v>
      </c>
      <c r="AC325" t="s">
        <v>1252</v>
      </c>
      <c r="AD325" s="199"/>
      <c r="AE325" s="199"/>
      <c r="AF325" s="179"/>
      <c r="AG325" s="179"/>
      <c r="AH325" s="179"/>
      <c r="AI325" s="179"/>
      <c r="AJ325" s="179"/>
      <c r="AK325" s="179"/>
      <c r="AL325" s="306">
        <v>1</v>
      </c>
      <c r="AM325" s="306">
        <v>2024</v>
      </c>
      <c r="AN325" s="250"/>
      <c r="AP325" t="str">
        <f>IF(BD_Bloqueados[[#This Row],[Analista ]]&lt;&gt;"Ana C",MID(BD_Bloqueados[[#This Row],[ID]],3,5),MID(BD_Bloqueados[[#This Row],[ID]],4,5))</f>
        <v>01524</v>
      </c>
      <c r="AQ325">
        <v>17</v>
      </c>
      <c r="AR325">
        <v>2024</v>
      </c>
      <c r="AS325" s="72">
        <v>45292</v>
      </c>
      <c r="AT325" s="72">
        <v>45308</v>
      </c>
      <c r="AU325">
        <v>1</v>
      </c>
    </row>
    <row r="326" spans="1:47">
      <c r="A326" t="s">
        <v>2533</v>
      </c>
      <c r="B326">
        <v>2</v>
      </c>
      <c r="C326" s="72">
        <v>45306</v>
      </c>
      <c r="D326">
        <v>4</v>
      </c>
      <c r="E326" s="173">
        <v>0.40277777777777773</v>
      </c>
      <c r="F326" t="s">
        <v>109</v>
      </c>
      <c r="G326" t="s">
        <v>27</v>
      </c>
      <c r="H326" t="s">
        <v>677</v>
      </c>
      <c r="I326" t="s">
        <v>212</v>
      </c>
      <c r="J326" t="s">
        <v>618</v>
      </c>
      <c r="K326" t="s">
        <v>2534</v>
      </c>
      <c r="L326" t="s">
        <v>77</v>
      </c>
      <c r="M326" t="s">
        <v>717</v>
      </c>
      <c r="N326">
        <v>96954210</v>
      </c>
      <c r="O326" t="s">
        <v>507</v>
      </c>
      <c r="P326" s="154">
        <v>10002457</v>
      </c>
      <c r="Q326" t="s">
        <v>138</v>
      </c>
      <c r="R326" t="s">
        <v>110</v>
      </c>
      <c r="S326" t="s">
        <v>2535</v>
      </c>
      <c r="T326" t="s">
        <v>2536</v>
      </c>
      <c r="U326" t="s">
        <v>2537</v>
      </c>
      <c r="V326" t="s">
        <v>2538</v>
      </c>
      <c r="W326" t="s">
        <v>101</v>
      </c>
      <c r="X326" t="s">
        <v>129</v>
      </c>
      <c r="Y326" s="229">
        <v>120</v>
      </c>
      <c r="Z326" s="176"/>
      <c r="AA326" s="270" t="s">
        <v>2539</v>
      </c>
      <c r="AD326" s="199"/>
      <c r="AE326" s="199"/>
      <c r="AF326" s="179"/>
      <c r="AG326" s="179"/>
      <c r="AH326" s="179"/>
      <c r="AI326" s="179"/>
      <c r="AJ326" s="179"/>
      <c r="AK326" s="179"/>
      <c r="AL326" s="306">
        <v>1</v>
      </c>
      <c r="AM326" s="306">
        <v>2024</v>
      </c>
      <c r="AN326" s="250"/>
      <c r="AP326" t="str">
        <f>IF(BD_Bloqueados[[#This Row],[Analista ]]&lt;&gt;"Ana C",MID(BD_Bloqueados[[#This Row],[ID]],3,5),MID(BD_Bloqueados[[#This Row],[ID]],4,5))</f>
        <v>01524</v>
      </c>
      <c r="AQ326">
        <v>16</v>
      </c>
      <c r="AR326">
        <v>2024</v>
      </c>
      <c r="AS326" s="72">
        <v>45292</v>
      </c>
      <c r="AT326" s="72">
        <v>45307</v>
      </c>
      <c r="AU326">
        <v>1</v>
      </c>
    </row>
    <row r="327" spans="1:47">
      <c r="A327" t="s">
        <v>2286</v>
      </c>
      <c r="B327">
        <v>2</v>
      </c>
      <c r="C327" s="72">
        <v>45627</v>
      </c>
      <c r="D327">
        <v>3</v>
      </c>
      <c r="E327" s="173">
        <v>0.70833333333333337</v>
      </c>
      <c r="F327" t="s">
        <v>109</v>
      </c>
      <c r="G327" t="s">
        <v>29</v>
      </c>
      <c r="H327" t="s">
        <v>83</v>
      </c>
      <c r="I327" t="s">
        <v>248</v>
      </c>
      <c r="J327" t="s">
        <v>2250</v>
      </c>
      <c r="K327" t="s">
        <v>2287</v>
      </c>
      <c r="L327" t="s">
        <v>108</v>
      </c>
      <c r="M327" t="s">
        <v>1029</v>
      </c>
      <c r="N327">
        <v>967555800</v>
      </c>
      <c r="O327" t="s">
        <v>193</v>
      </c>
      <c r="P327" s="154">
        <v>13030558</v>
      </c>
      <c r="Q327" t="s">
        <v>138</v>
      </c>
      <c r="R327" t="s">
        <v>79</v>
      </c>
      <c r="S327" t="s">
        <v>2288</v>
      </c>
      <c r="T327" t="s">
        <v>2289</v>
      </c>
      <c r="U327" t="s">
        <v>2290</v>
      </c>
      <c r="W327" t="s">
        <v>101</v>
      </c>
      <c r="X327" t="s">
        <v>129</v>
      </c>
      <c r="Y327" s="229">
        <v>733</v>
      </c>
      <c r="Z327" s="176">
        <v>1587030.2325581396</v>
      </c>
      <c r="AA327" s="270">
        <v>12</v>
      </c>
      <c r="AB327" t="s">
        <v>1845</v>
      </c>
      <c r="AC327" t="s">
        <v>1349</v>
      </c>
      <c r="AD327" s="199">
        <v>0.43</v>
      </c>
      <c r="AE327" s="199" t="s">
        <v>1374</v>
      </c>
      <c r="AF327" s="179">
        <v>0</v>
      </c>
      <c r="AG327" s="179">
        <v>48.5</v>
      </c>
      <c r="AH327" s="179">
        <v>794</v>
      </c>
      <c r="AI327" s="179">
        <v>88.4</v>
      </c>
      <c r="AJ327" s="179">
        <v>0.1</v>
      </c>
      <c r="AK327" s="179">
        <v>0</v>
      </c>
      <c r="AL327" s="306">
        <v>1</v>
      </c>
      <c r="AM327" s="306">
        <v>2024</v>
      </c>
      <c r="AN327" s="250"/>
      <c r="AP327" t="str">
        <f>IF(BD_Bloqueados[[#This Row],[Analista ]]&lt;&gt;"Ana C",MID(BD_Bloqueados[[#This Row],[ID]],3,5),MID(BD_Bloqueados[[#This Row],[ID]],4,5))</f>
        <v>01224</v>
      </c>
      <c r="AQ327">
        <v>16</v>
      </c>
      <c r="AR327">
        <v>2024</v>
      </c>
      <c r="AS327" s="72">
        <v>45292</v>
      </c>
      <c r="AT327" s="72">
        <v>45307</v>
      </c>
      <c r="AU327">
        <v>1</v>
      </c>
    </row>
    <row r="328" spans="1:47">
      <c r="A328" t="s">
        <v>2540</v>
      </c>
      <c r="B328">
        <v>2</v>
      </c>
      <c r="C328" s="72">
        <v>45627</v>
      </c>
      <c r="D328">
        <v>3</v>
      </c>
      <c r="E328" s="173">
        <v>0.70833333333333337</v>
      </c>
      <c r="F328" t="s">
        <v>109</v>
      </c>
      <c r="G328" t="s">
        <v>29</v>
      </c>
      <c r="H328" t="s">
        <v>113</v>
      </c>
      <c r="I328" t="s">
        <v>248</v>
      </c>
      <c r="J328" t="s">
        <v>2250</v>
      </c>
      <c r="K328" t="s">
        <v>2541</v>
      </c>
      <c r="L328" t="s">
        <v>108</v>
      </c>
      <c r="M328" t="s">
        <v>1029</v>
      </c>
      <c r="N328">
        <v>967555800</v>
      </c>
      <c r="O328" t="s">
        <v>235</v>
      </c>
      <c r="P328" s="154">
        <v>13030557</v>
      </c>
      <c r="Q328" t="s">
        <v>138</v>
      </c>
      <c r="R328" t="s">
        <v>79</v>
      </c>
      <c r="S328" t="s">
        <v>2542</v>
      </c>
      <c r="T328" t="s">
        <v>2543</v>
      </c>
      <c r="U328" t="s">
        <v>2544</v>
      </c>
      <c r="W328" t="s">
        <v>101</v>
      </c>
      <c r="X328" t="s">
        <v>129</v>
      </c>
      <c r="Y328" s="229">
        <v>150</v>
      </c>
      <c r="Z328" s="176">
        <v>313395.34883720928</v>
      </c>
      <c r="AA328" s="270">
        <v>12</v>
      </c>
      <c r="AB328" t="s">
        <v>1845</v>
      </c>
      <c r="AC328" t="s">
        <v>1349</v>
      </c>
      <c r="AD328" s="199">
        <v>0.43</v>
      </c>
      <c r="AE328" s="199" t="s">
        <v>1374</v>
      </c>
      <c r="AF328" s="179">
        <v>0</v>
      </c>
      <c r="AG328" s="179">
        <v>48.5</v>
      </c>
      <c r="AH328" s="179">
        <v>761.4</v>
      </c>
      <c r="AI328" s="179">
        <v>88.4</v>
      </c>
      <c r="AJ328" s="179">
        <v>0.1</v>
      </c>
      <c r="AK328" s="179">
        <v>0</v>
      </c>
      <c r="AL328" s="306">
        <v>1</v>
      </c>
      <c r="AM328" s="306">
        <v>2024</v>
      </c>
      <c r="AN328" s="250"/>
      <c r="AP328" t="str">
        <f>IF(BD_Bloqueados[[#This Row],[Analista ]]&lt;&gt;"Ana C",MID(BD_Bloqueados[[#This Row],[ID]],3,5),MID(BD_Bloqueados[[#This Row],[ID]],4,5))</f>
        <v>01224</v>
      </c>
      <c r="AQ328">
        <v>16</v>
      </c>
      <c r="AR328">
        <v>2024</v>
      </c>
      <c r="AS328" s="72">
        <v>45292</v>
      </c>
      <c r="AT328" s="72">
        <v>45307</v>
      </c>
      <c r="AU328">
        <v>1</v>
      </c>
    </row>
    <row r="329" spans="1:47">
      <c r="A329" t="s">
        <v>2568</v>
      </c>
      <c r="B329">
        <v>2</v>
      </c>
      <c r="C329" s="72">
        <v>45627</v>
      </c>
      <c r="D329">
        <v>3</v>
      </c>
      <c r="E329" s="173">
        <v>0.19791666666666666</v>
      </c>
      <c r="F329" t="s">
        <v>136</v>
      </c>
      <c r="G329" t="s">
        <v>31</v>
      </c>
      <c r="H329" t="s">
        <v>84</v>
      </c>
      <c r="I329" t="s">
        <v>635</v>
      </c>
      <c r="J329" t="s">
        <v>595</v>
      </c>
      <c r="K329" t="s">
        <v>2569</v>
      </c>
      <c r="L329" t="s">
        <v>108</v>
      </c>
      <c r="M329" t="s">
        <v>1029</v>
      </c>
      <c r="N329">
        <v>967555800</v>
      </c>
      <c r="O329" t="s">
        <v>200</v>
      </c>
      <c r="P329" s="154">
        <v>13030428</v>
      </c>
      <c r="Q329" t="s">
        <v>185</v>
      </c>
      <c r="R329" t="s">
        <v>578</v>
      </c>
      <c r="S329" t="s">
        <v>2570</v>
      </c>
      <c r="T329" t="s">
        <v>2571</v>
      </c>
      <c r="U329" t="s">
        <v>2572</v>
      </c>
      <c r="V329" t="s">
        <v>2573</v>
      </c>
      <c r="W329" t="s">
        <v>101</v>
      </c>
      <c r="X329" t="s">
        <v>156</v>
      </c>
      <c r="Y329" s="229">
        <v>157.5</v>
      </c>
      <c r="Z329" s="176">
        <v>126787.5</v>
      </c>
      <c r="AA329" s="270">
        <v>12</v>
      </c>
      <c r="AB329" t="s">
        <v>1400</v>
      </c>
      <c r="AC329" t="s">
        <v>1291</v>
      </c>
      <c r="AD329" s="199">
        <v>1</v>
      </c>
      <c r="AE329" s="199" t="s">
        <v>1292</v>
      </c>
      <c r="AF329" s="179">
        <v>3.4</v>
      </c>
      <c r="AG329" s="179">
        <v>161.80000000000001</v>
      </c>
      <c r="AH329" s="179">
        <v>454.5</v>
      </c>
      <c r="AI329" s="179">
        <v>184</v>
      </c>
      <c r="AJ329" s="179">
        <v>1.3</v>
      </c>
      <c r="AK329" s="179">
        <v>0</v>
      </c>
      <c r="AL329" s="306">
        <v>1</v>
      </c>
      <c r="AM329" s="306">
        <v>2024</v>
      </c>
      <c r="AN329" s="250"/>
      <c r="AP329" t="str">
        <f>IF(BD_Bloqueados[[#This Row],[Analista ]]&lt;&gt;"Ana C",MID(BD_Bloqueados[[#This Row],[ID]],3,5),MID(BD_Bloqueados[[#This Row],[ID]],4,5))</f>
        <v>01224</v>
      </c>
      <c r="AQ329">
        <v>15</v>
      </c>
      <c r="AR329">
        <v>2024</v>
      </c>
      <c r="AS329" s="72">
        <v>45292</v>
      </c>
      <c r="AT329" s="72">
        <v>45306</v>
      </c>
      <c r="AU329">
        <v>1</v>
      </c>
    </row>
    <row r="330" spans="1:47">
      <c r="A330" t="s">
        <v>2586</v>
      </c>
      <c r="B330">
        <v>2</v>
      </c>
      <c r="C330" s="72">
        <v>45627</v>
      </c>
      <c r="D330">
        <v>3</v>
      </c>
      <c r="E330" s="173">
        <v>0.96875</v>
      </c>
      <c r="F330" t="s">
        <v>136</v>
      </c>
      <c r="G330" t="s">
        <v>26</v>
      </c>
      <c r="H330" t="s">
        <v>165</v>
      </c>
      <c r="I330" t="s">
        <v>635</v>
      </c>
      <c r="J330" t="s">
        <v>595</v>
      </c>
      <c r="K330" t="s">
        <v>2587</v>
      </c>
      <c r="L330" t="s">
        <v>108</v>
      </c>
      <c r="M330" t="s">
        <v>1029</v>
      </c>
      <c r="N330">
        <v>967555800</v>
      </c>
      <c r="O330" t="s">
        <v>753</v>
      </c>
      <c r="P330" s="154">
        <v>13030301</v>
      </c>
      <c r="Q330" t="s">
        <v>206</v>
      </c>
      <c r="R330" t="s">
        <v>110</v>
      </c>
      <c r="S330" t="s">
        <v>2588</v>
      </c>
      <c r="T330" t="s">
        <v>2589</v>
      </c>
      <c r="U330" t="s">
        <v>2590</v>
      </c>
      <c r="V330" t="s">
        <v>2591</v>
      </c>
      <c r="W330" t="s">
        <v>101</v>
      </c>
      <c r="X330" t="s">
        <v>156</v>
      </c>
      <c r="Y330" s="229"/>
      <c r="Z330" s="176"/>
      <c r="AA330" s="270" t="s">
        <v>2592</v>
      </c>
      <c r="AD330" s="199"/>
      <c r="AE330" s="199"/>
      <c r="AF330" s="179"/>
      <c r="AG330" s="179"/>
      <c r="AH330" s="179"/>
      <c r="AI330" s="179"/>
      <c r="AJ330" s="179"/>
      <c r="AK330" s="179"/>
      <c r="AL330" s="306">
        <v>1</v>
      </c>
      <c r="AM330" s="306">
        <v>2024</v>
      </c>
      <c r="AN330" s="250"/>
      <c r="AP330" t="str">
        <f>IF(BD_Bloqueados[[#This Row],[Analista ]]&lt;&gt;"Ana C",MID(BD_Bloqueados[[#This Row],[ID]],3,5),MID(BD_Bloqueados[[#This Row],[ID]],4,5))</f>
        <v>01224</v>
      </c>
      <c r="AQ330">
        <v>15</v>
      </c>
      <c r="AR330">
        <v>2024</v>
      </c>
      <c r="AS330" s="72">
        <v>45292</v>
      </c>
      <c r="AT330" s="72">
        <v>45306</v>
      </c>
      <c r="AU330">
        <v>1</v>
      </c>
    </row>
    <row r="331" spans="1:47">
      <c r="A331" t="s">
        <v>1814</v>
      </c>
      <c r="B331">
        <v>2</v>
      </c>
      <c r="C331" s="72">
        <v>45597</v>
      </c>
      <c r="D331">
        <v>3</v>
      </c>
      <c r="E331" s="173">
        <v>0.4465277777777778</v>
      </c>
      <c r="F331" t="s">
        <v>78</v>
      </c>
      <c r="G331" t="s">
        <v>26</v>
      </c>
      <c r="H331" t="s">
        <v>82</v>
      </c>
      <c r="I331" t="s">
        <v>212</v>
      </c>
      <c r="J331" t="s">
        <v>1815</v>
      </c>
      <c r="K331" t="s">
        <v>1816</v>
      </c>
      <c r="L331" t="s">
        <v>108</v>
      </c>
      <c r="M331" t="s">
        <v>1029</v>
      </c>
      <c r="N331">
        <v>967555800</v>
      </c>
      <c r="O331" t="s">
        <v>755</v>
      </c>
      <c r="P331" s="154">
        <v>13030601</v>
      </c>
      <c r="Q331" t="s">
        <v>206</v>
      </c>
      <c r="R331" t="s">
        <v>620</v>
      </c>
      <c r="S331" t="s">
        <v>1817</v>
      </c>
      <c r="T331" t="s">
        <v>1818</v>
      </c>
      <c r="U331" t="s">
        <v>1819</v>
      </c>
      <c r="V331" t="s">
        <v>1820</v>
      </c>
      <c r="W331" t="s">
        <v>101</v>
      </c>
      <c r="X331" t="s">
        <v>1291</v>
      </c>
      <c r="Y331" s="229">
        <v>1125</v>
      </c>
      <c r="Z331" s="176"/>
      <c r="AA331" s="270">
        <v>11</v>
      </c>
      <c r="AD331" s="199"/>
      <c r="AE331" s="199"/>
      <c r="AF331" s="179"/>
      <c r="AG331" s="179"/>
      <c r="AH331" s="179"/>
      <c r="AI331" s="179"/>
      <c r="AJ331" s="179"/>
      <c r="AK331" s="179"/>
      <c r="AL331" s="306">
        <v>1</v>
      </c>
      <c r="AM331" s="306">
        <v>2024</v>
      </c>
      <c r="AN331" s="250"/>
      <c r="AP331" t="str">
        <f>IF(BD_Bloqueados[[#This Row],[Analista ]]&lt;&gt;"Ana C",MID(BD_Bloqueados[[#This Row],[ID]],3,5),MID(BD_Bloqueados[[#This Row],[ID]],4,5))</f>
        <v>01124</v>
      </c>
      <c r="AQ331">
        <v>82</v>
      </c>
      <c r="AR331">
        <v>2024</v>
      </c>
      <c r="AS331" s="72">
        <v>45292</v>
      </c>
      <c r="AT331" s="72">
        <v>45373</v>
      </c>
      <c r="AU331">
        <v>3</v>
      </c>
    </row>
    <row r="332" spans="1:47">
      <c r="A332" t="s">
        <v>2594</v>
      </c>
      <c r="B332">
        <v>2</v>
      </c>
      <c r="C332" s="72">
        <v>45566</v>
      </c>
      <c r="D332">
        <v>3</v>
      </c>
      <c r="E332" s="173">
        <v>5.9027777777777783E-2</v>
      </c>
      <c r="F332" t="s">
        <v>136</v>
      </c>
      <c r="G332" t="s">
        <v>31</v>
      </c>
      <c r="H332" t="s">
        <v>84</v>
      </c>
      <c r="I332" t="s">
        <v>635</v>
      </c>
      <c r="J332" t="s">
        <v>595</v>
      </c>
      <c r="K332" t="s">
        <v>2569</v>
      </c>
      <c r="L332" t="s">
        <v>108</v>
      </c>
      <c r="M332" t="s">
        <v>1029</v>
      </c>
      <c r="N332">
        <v>967555800</v>
      </c>
      <c r="O332" t="s">
        <v>97</v>
      </c>
      <c r="P332" s="154">
        <v>13030492</v>
      </c>
      <c r="Q332" t="s">
        <v>138</v>
      </c>
      <c r="R332" t="s">
        <v>589</v>
      </c>
      <c r="S332" t="s">
        <v>2595</v>
      </c>
      <c r="T332" t="s">
        <v>2596</v>
      </c>
      <c r="U332" t="s">
        <v>2597</v>
      </c>
      <c r="V332" t="s">
        <v>2598</v>
      </c>
      <c r="W332" t="s">
        <v>101</v>
      </c>
      <c r="X332" t="s">
        <v>156</v>
      </c>
      <c r="Y332" s="229">
        <v>264</v>
      </c>
      <c r="Z332" s="176">
        <v>520898.39999999997</v>
      </c>
      <c r="AA332" s="270">
        <v>9</v>
      </c>
      <c r="AB332" t="s">
        <v>1290</v>
      </c>
      <c r="AC332" t="s">
        <v>1252</v>
      </c>
      <c r="AD332" s="199">
        <v>1</v>
      </c>
      <c r="AE332" s="199" t="s">
        <v>1292</v>
      </c>
      <c r="AF332" s="179">
        <v>2.8</v>
      </c>
      <c r="AG332" s="179">
        <v>136.5</v>
      </c>
      <c r="AH332" s="179">
        <v>593.5</v>
      </c>
      <c r="AI332" s="179">
        <v>252.2</v>
      </c>
      <c r="AJ332" s="179">
        <v>1.7</v>
      </c>
      <c r="AK332" s="179">
        <v>986.4</v>
      </c>
      <c r="AL332" s="306">
        <v>1</v>
      </c>
      <c r="AM332" s="306">
        <v>2024</v>
      </c>
      <c r="AN332" s="250" t="s">
        <v>1611</v>
      </c>
      <c r="AP332" t="str">
        <f>IF(BD_Bloqueados[[#This Row],[Analista ]]&lt;&gt;"Ana C",MID(BD_Bloqueados[[#This Row],[ID]],3,5),MID(BD_Bloqueados[[#This Row],[ID]],4,5))</f>
        <v>01024</v>
      </c>
      <c r="AQ332">
        <v>12</v>
      </c>
      <c r="AR332">
        <v>2024</v>
      </c>
      <c r="AS332" s="72">
        <v>45292</v>
      </c>
      <c r="AT332" s="72">
        <v>45303</v>
      </c>
      <c r="AU332">
        <v>1</v>
      </c>
    </row>
    <row r="333" spans="1:47">
      <c r="A333" t="s">
        <v>2611</v>
      </c>
      <c r="B333">
        <v>2</v>
      </c>
      <c r="C333" s="72">
        <v>45536</v>
      </c>
      <c r="D333">
        <v>3</v>
      </c>
      <c r="E333" s="173">
        <v>0.3743055555555555</v>
      </c>
      <c r="F333" t="s">
        <v>78</v>
      </c>
      <c r="G333" t="s">
        <v>31</v>
      </c>
      <c r="H333" t="s">
        <v>84</v>
      </c>
      <c r="I333" t="s">
        <v>212</v>
      </c>
      <c r="J333" t="s">
        <v>169</v>
      </c>
      <c r="K333" t="s">
        <v>1524</v>
      </c>
      <c r="L333" t="s">
        <v>108</v>
      </c>
      <c r="M333" t="s">
        <v>1029</v>
      </c>
      <c r="N333">
        <v>967555800</v>
      </c>
      <c r="O333" t="s">
        <v>200</v>
      </c>
      <c r="P333" s="154">
        <v>13030428</v>
      </c>
      <c r="Q333" t="s">
        <v>138</v>
      </c>
      <c r="R333" t="s">
        <v>589</v>
      </c>
      <c r="S333" t="s">
        <v>2612</v>
      </c>
      <c r="T333" t="s">
        <v>2613</v>
      </c>
      <c r="U333" t="s">
        <v>2614</v>
      </c>
      <c r="V333" t="s">
        <v>2615</v>
      </c>
      <c r="W333" t="s">
        <v>101</v>
      </c>
      <c r="X333" t="s">
        <v>156</v>
      </c>
      <c r="Y333" s="229">
        <v>105.6</v>
      </c>
      <c r="Z333" s="176">
        <v>85008</v>
      </c>
      <c r="AA333" s="270">
        <v>9</v>
      </c>
      <c r="AB333" t="s">
        <v>1290</v>
      </c>
      <c r="AC333" t="s">
        <v>1349</v>
      </c>
      <c r="AD333" s="199">
        <v>1</v>
      </c>
      <c r="AE333" s="199" t="s">
        <v>1292</v>
      </c>
      <c r="AF333" s="179">
        <v>3.4</v>
      </c>
      <c r="AG333" s="179">
        <v>161.80000000000001</v>
      </c>
      <c r="AH333" s="179">
        <v>454.5</v>
      </c>
      <c r="AI333" s="179">
        <v>184</v>
      </c>
      <c r="AJ333" s="179">
        <v>1.3</v>
      </c>
      <c r="AK333" s="179">
        <v>0</v>
      </c>
      <c r="AL333" s="306">
        <v>1</v>
      </c>
      <c r="AM333" s="306">
        <v>2024</v>
      </c>
      <c r="AN333" s="250"/>
      <c r="AP333" t="str">
        <f>IF(BD_Bloqueados[[#This Row],[Analista ]]&lt;&gt;"Ana C",MID(BD_Bloqueados[[#This Row],[ID]],3,5),MID(BD_Bloqueados[[#This Row],[ID]],4,5))</f>
        <v>00924</v>
      </c>
      <c r="AQ333">
        <v>51</v>
      </c>
      <c r="AR333">
        <v>2023</v>
      </c>
      <c r="AS333" s="72">
        <v>44927</v>
      </c>
      <c r="AT333" s="72">
        <v>44977</v>
      </c>
      <c r="AU333">
        <v>2</v>
      </c>
    </row>
    <row r="334" spans="1:47">
      <c r="A334" t="s">
        <v>1645</v>
      </c>
      <c r="B334">
        <v>2</v>
      </c>
      <c r="C334" s="72">
        <v>45413</v>
      </c>
      <c r="D334">
        <v>2</v>
      </c>
      <c r="E334" s="173">
        <v>0.30555555555555552</v>
      </c>
      <c r="F334" t="s">
        <v>78</v>
      </c>
      <c r="G334" t="s">
        <v>28</v>
      </c>
      <c r="H334" t="s">
        <v>165</v>
      </c>
      <c r="I334" t="s">
        <v>635</v>
      </c>
      <c r="J334" t="s">
        <v>618</v>
      </c>
      <c r="K334" t="s">
        <v>1270</v>
      </c>
      <c r="L334" t="s">
        <v>108</v>
      </c>
      <c r="M334" t="s">
        <v>1029</v>
      </c>
      <c r="N334">
        <v>967555800</v>
      </c>
      <c r="O334" t="s">
        <v>810</v>
      </c>
      <c r="P334" s="154">
        <v>13030550</v>
      </c>
      <c r="Q334" t="s">
        <v>206</v>
      </c>
      <c r="R334" t="s">
        <v>596</v>
      </c>
      <c r="S334" t="s">
        <v>1646</v>
      </c>
      <c r="T334" t="s">
        <v>1647</v>
      </c>
      <c r="U334" t="s">
        <v>1648</v>
      </c>
      <c r="V334" t="s">
        <v>1649</v>
      </c>
      <c r="W334" t="s">
        <v>101</v>
      </c>
      <c r="X334" t="s">
        <v>102</v>
      </c>
      <c r="Y334" s="229">
        <v>118.8</v>
      </c>
      <c r="Z334" s="176">
        <v>0</v>
      </c>
      <c r="AA334" s="270">
        <v>339</v>
      </c>
      <c r="AD334" s="199"/>
      <c r="AE334" s="199"/>
      <c r="AF334" s="179"/>
      <c r="AG334" s="179"/>
      <c r="AH334" s="179"/>
      <c r="AI334" s="179"/>
      <c r="AJ334" s="179"/>
      <c r="AK334" s="179"/>
      <c r="AL334" s="306">
        <v>1</v>
      </c>
      <c r="AM334" s="306">
        <v>2024</v>
      </c>
      <c r="AN334" s="250"/>
      <c r="AP334" t="str">
        <f>IF(BD_Bloqueados[[#This Row],[Analista ]]&lt;&gt;"Ana C",MID(BD_Bloqueados[[#This Row],[ID]],3,5),MID(BD_Bloqueados[[#This Row],[ID]],4,5))</f>
        <v>00524</v>
      </c>
      <c r="AQ334">
        <v>165</v>
      </c>
      <c r="AR334">
        <v>2023</v>
      </c>
      <c r="AS334" s="72">
        <v>44927</v>
      </c>
      <c r="AT334" s="72">
        <v>45091</v>
      </c>
      <c r="AU334">
        <v>6</v>
      </c>
    </row>
    <row r="335" spans="1:47">
      <c r="A335" t="s">
        <v>1939</v>
      </c>
      <c r="B335">
        <v>2</v>
      </c>
      <c r="C335" s="72">
        <v>45383</v>
      </c>
      <c r="D335">
        <v>2</v>
      </c>
      <c r="E335" s="173">
        <v>0.47083333333333338</v>
      </c>
      <c r="F335" t="s">
        <v>78</v>
      </c>
      <c r="G335" t="s">
        <v>29</v>
      </c>
      <c r="H335" t="s">
        <v>165</v>
      </c>
      <c r="I335" t="s">
        <v>635</v>
      </c>
      <c r="J335" t="s">
        <v>618</v>
      </c>
      <c r="K335" t="s">
        <v>1940</v>
      </c>
      <c r="L335" t="s">
        <v>108</v>
      </c>
      <c r="M335" t="s">
        <v>1029</v>
      </c>
      <c r="N335">
        <v>967555800</v>
      </c>
      <c r="O335" t="s">
        <v>215</v>
      </c>
      <c r="P335" s="154">
        <v>13030560</v>
      </c>
      <c r="Q335" t="s">
        <v>185</v>
      </c>
      <c r="R335" t="s">
        <v>600</v>
      </c>
      <c r="S335" t="s">
        <v>1941</v>
      </c>
      <c r="T335" t="s">
        <v>1942</v>
      </c>
      <c r="U335" t="s">
        <v>1943</v>
      </c>
      <c r="V335" t="s">
        <v>1944</v>
      </c>
      <c r="W335" t="s">
        <v>101</v>
      </c>
      <c r="X335" t="s">
        <v>156</v>
      </c>
      <c r="Y335" s="229">
        <v>1548</v>
      </c>
      <c r="Z335" s="176">
        <v>1095984</v>
      </c>
      <c r="AA335" s="270" t="s">
        <v>1945</v>
      </c>
      <c r="AB335" t="s">
        <v>1736</v>
      </c>
      <c r="AC335" t="s">
        <v>1252</v>
      </c>
      <c r="AD335" s="199">
        <v>1</v>
      </c>
      <c r="AE335" s="199" t="s">
        <v>1292</v>
      </c>
      <c r="AF335" s="179">
        <v>0</v>
      </c>
      <c r="AG335" s="179">
        <v>40.4</v>
      </c>
      <c r="AH335" s="179">
        <v>579.1</v>
      </c>
      <c r="AI335" s="179">
        <v>88.4</v>
      </c>
      <c r="AJ335" s="179">
        <v>0.1</v>
      </c>
      <c r="AK335" s="179">
        <v>0</v>
      </c>
      <c r="AL335" s="306">
        <v>1</v>
      </c>
      <c r="AM335" s="306">
        <v>2024</v>
      </c>
      <c r="AN335" s="250" t="s">
        <v>1737</v>
      </c>
      <c r="AP335" t="str">
        <f>IF(BD_Bloqueados[[#This Row],[Analista ]]&lt;&gt;"Ana C",MID(BD_Bloqueados[[#This Row],[ID]],3,5),MID(BD_Bloqueados[[#This Row],[ID]],4,5))</f>
        <v>00424</v>
      </c>
      <c r="AQ335">
        <v>235</v>
      </c>
      <c r="AR335">
        <v>2022</v>
      </c>
      <c r="AS335" s="72">
        <v>44562</v>
      </c>
      <c r="AT335" s="72">
        <v>44796</v>
      </c>
      <c r="AU335">
        <v>8</v>
      </c>
    </row>
    <row r="336" spans="1:47">
      <c r="A336" t="s">
        <v>1963</v>
      </c>
      <c r="B336">
        <v>2</v>
      </c>
      <c r="C336" s="72">
        <v>45383</v>
      </c>
      <c r="D336">
        <v>2</v>
      </c>
      <c r="E336" s="173">
        <v>0.39583333333333331</v>
      </c>
      <c r="F336" t="s">
        <v>78</v>
      </c>
      <c r="G336" t="s">
        <v>27</v>
      </c>
      <c r="H336" t="s">
        <v>140</v>
      </c>
      <c r="I336" t="s">
        <v>645</v>
      </c>
      <c r="J336" t="s">
        <v>618</v>
      </c>
      <c r="K336" t="s">
        <v>1964</v>
      </c>
      <c r="L336" t="s">
        <v>77</v>
      </c>
      <c r="M336" t="s">
        <v>465</v>
      </c>
      <c r="N336">
        <v>77155281</v>
      </c>
      <c r="O336" t="s">
        <v>315</v>
      </c>
      <c r="P336" s="154">
        <v>10003283</v>
      </c>
      <c r="Q336" t="s">
        <v>206</v>
      </c>
      <c r="R336" t="s">
        <v>110</v>
      </c>
      <c r="S336" t="s">
        <v>1965</v>
      </c>
      <c r="T336" t="s">
        <v>1966</v>
      </c>
      <c r="U336" t="s">
        <v>1967</v>
      </c>
      <c r="V336" t="s">
        <v>1968</v>
      </c>
      <c r="W336" t="s">
        <v>101</v>
      </c>
      <c r="X336" t="s">
        <v>129</v>
      </c>
      <c r="Y336" s="229">
        <v>474</v>
      </c>
      <c r="Z336" s="176"/>
      <c r="AA336" s="270">
        <v>354</v>
      </c>
      <c r="AD336" s="199"/>
      <c r="AE336" s="199"/>
      <c r="AF336" s="179"/>
      <c r="AG336" s="179"/>
      <c r="AH336" s="179"/>
      <c r="AI336" s="179"/>
      <c r="AJ336" s="179"/>
      <c r="AK336" s="179"/>
      <c r="AL336" s="306">
        <v>1</v>
      </c>
      <c r="AM336" s="306">
        <v>2024</v>
      </c>
      <c r="AN336" s="250"/>
      <c r="AP336" t="str">
        <f>IF(BD_Bloqueados[[#This Row],[Analista ]]&lt;&gt;"Ana C",MID(BD_Bloqueados[[#This Row],[ID]],3,5),MID(BD_Bloqueados[[#This Row],[ID]],4,5))</f>
        <v>00424</v>
      </c>
      <c r="AQ336">
        <v>60</v>
      </c>
      <c r="AR336">
        <v>2024</v>
      </c>
      <c r="AS336" s="72">
        <v>45292</v>
      </c>
      <c r="AT336" s="72">
        <v>45351</v>
      </c>
      <c r="AU336">
        <v>2</v>
      </c>
    </row>
    <row r="337" spans="1:47">
      <c r="A337" t="s">
        <v>1980</v>
      </c>
      <c r="B337">
        <v>2</v>
      </c>
      <c r="C337" s="72">
        <v>45383</v>
      </c>
      <c r="D337">
        <v>2</v>
      </c>
      <c r="E337" s="173">
        <v>0.4201388888888889</v>
      </c>
      <c r="F337" t="s">
        <v>78</v>
      </c>
      <c r="G337" t="s">
        <v>29</v>
      </c>
      <c r="H337" t="s">
        <v>113</v>
      </c>
      <c r="I337" t="s">
        <v>635</v>
      </c>
      <c r="J337" t="s">
        <v>618</v>
      </c>
      <c r="K337" t="s">
        <v>1981</v>
      </c>
      <c r="L337" t="s">
        <v>108</v>
      </c>
      <c r="M337" t="s">
        <v>1029</v>
      </c>
      <c r="N337">
        <v>967555800</v>
      </c>
      <c r="O337" t="s">
        <v>235</v>
      </c>
      <c r="P337" s="154">
        <v>13030557</v>
      </c>
      <c r="Q337" t="s">
        <v>185</v>
      </c>
      <c r="R337" t="s">
        <v>596</v>
      </c>
      <c r="S337" t="s">
        <v>1982</v>
      </c>
      <c r="T337" t="s">
        <v>1983</v>
      </c>
      <c r="U337" t="s">
        <v>1984</v>
      </c>
      <c r="V337" t="s">
        <v>1985</v>
      </c>
      <c r="W337" t="s">
        <v>101</v>
      </c>
      <c r="X337" t="s">
        <v>102</v>
      </c>
      <c r="Y337" s="229">
        <v>1857.6</v>
      </c>
      <c r="Z337" s="176">
        <v>0</v>
      </c>
      <c r="AA337" s="270">
        <v>4</v>
      </c>
      <c r="AD337" s="199"/>
      <c r="AE337" s="199"/>
      <c r="AF337" s="179"/>
      <c r="AG337" s="179"/>
      <c r="AH337" s="179"/>
      <c r="AI337" s="179"/>
      <c r="AJ337" s="179"/>
      <c r="AK337" s="179"/>
      <c r="AL337" s="306">
        <v>1</v>
      </c>
      <c r="AM337" s="306">
        <v>2024</v>
      </c>
      <c r="AN337" s="250"/>
      <c r="AP337" t="str">
        <f>IF(BD_Bloqueados[[#This Row],[Analista ]]&lt;&gt;"Ana C",MID(BD_Bloqueados[[#This Row],[ID]],3,5),MID(BD_Bloqueados[[#This Row],[ID]],4,5))</f>
        <v>00424</v>
      </c>
      <c r="AQ337">
        <v>12</v>
      </c>
      <c r="AR337">
        <v>2024</v>
      </c>
      <c r="AS337" s="72">
        <v>45292</v>
      </c>
      <c r="AT337" s="72">
        <v>45303</v>
      </c>
      <c r="AU337">
        <v>1</v>
      </c>
    </row>
    <row r="338" spans="1:47">
      <c r="A338" t="s">
        <v>2407</v>
      </c>
      <c r="B338">
        <v>2</v>
      </c>
      <c r="C338" s="72">
        <v>45323</v>
      </c>
      <c r="D338">
        <v>2</v>
      </c>
      <c r="E338" s="173">
        <v>0.69444444444444453</v>
      </c>
      <c r="F338" t="s">
        <v>109</v>
      </c>
      <c r="G338" t="s">
        <v>28</v>
      </c>
      <c r="H338" t="s">
        <v>165</v>
      </c>
      <c r="I338" t="s">
        <v>259</v>
      </c>
      <c r="J338" t="s">
        <v>618</v>
      </c>
      <c r="K338" t="s">
        <v>1209</v>
      </c>
      <c r="L338" t="s">
        <v>108</v>
      </c>
      <c r="M338" t="s">
        <v>1029</v>
      </c>
      <c r="N338">
        <v>967555800</v>
      </c>
      <c r="O338" t="s">
        <v>341</v>
      </c>
      <c r="P338" s="154">
        <v>12000402</v>
      </c>
      <c r="Q338" t="s">
        <v>206</v>
      </c>
      <c r="R338" t="s">
        <v>584</v>
      </c>
      <c r="S338" t="s">
        <v>2408</v>
      </c>
      <c r="T338" t="s">
        <v>1318</v>
      </c>
      <c r="U338" t="s">
        <v>2409</v>
      </c>
      <c r="V338" t="s">
        <v>2410</v>
      </c>
      <c r="W338" t="s">
        <v>101</v>
      </c>
      <c r="X338" t="s">
        <v>156</v>
      </c>
      <c r="Y338" s="229">
        <v>131.6</v>
      </c>
      <c r="Z338" s="176">
        <v>165538.94736842101</v>
      </c>
      <c r="AA338" s="270">
        <v>2</v>
      </c>
      <c r="AB338" t="s">
        <v>1407</v>
      </c>
      <c r="AC338" t="s">
        <v>1291</v>
      </c>
      <c r="AD338" s="199">
        <v>0.20899999999999999</v>
      </c>
      <c r="AE338" s="199" t="s">
        <v>1292</v>
      </c>
      <c r="AF338" s="179">
        <v>127.4</v>
      </c>
      <c r="AG338" s="179">
        <v>0</v>
      </c>
      <c r="AH338" s="179">
        <v>72.3</v>
      </c>
      <c r="AI338" s="179">
        <v>42.1</v>
      </c>
      <c r="AJ338" s="179">
        <v>6.5</v>
      </c>
      <c r="AK338" s="179">
        <v>14.6</v>
      </c>
      <c r="AL338" s="306">
        <v>1</v>
      </c>
      <c r="AM338" s="306">
        <v>2024</v>
      </c>
      <c r="AN338" s="250"/>
      <c r="AP338" t="str">
        <f>IF(BD_Bloqueados[[#This Row],[Analista ]]&lt;&gt;"Ana C",MID(BD_Bloqueados[[#This Row],[ID]],3,5),MID(BD_Bloqueados[[#This Row],[ID]],4,5))</f>
        <v>00224</v>
      </c>
      <c r="AQ338">
        <v>12</v>
      </c>
      <c r="AR338">
        <v>2024</v>
      </c>
      <c r="AS338" s="72">
        <v>45292</v>
      </c>
      <c r="AT338" s="72">
        <v>45303</v>
      </c>
      <c r="AU338">
        <v>1</v>
      </c>
    </row>
    <row r="339" spans="1:47">
      <c r="A339" t="s">
        <v>2630</v>
      </c>
      <c r="B339">
        <v>2</v>
      </c>
      <c r="C339" s="72">
        <v>45290</v>
      </c>
      <c r="D339">
        <v>53</v>
      </c>
      <c r="E339" s="173">
        <v>0.20833333333333334</v>
      </c>
      <c r="F339" t="s">
        <v>136</v>
      </c>
      <c r="G339" t="s">
        <v>28</v>
      </c>
      <c r="H339" t="s">
        <v>165</v>
      </c>
      <c r="I339" t="s">
        <v>143</v>
      </c>
      <c r="J339" t="s">
        <v>117</v>
      </c>
      <c r="K339" t="s">
        <v>1209</v>
      </c>
      <c r="L339" t="s">
        <v>108</v>
      </c>
      <c r="M339" t="s">
        <v>1029</v>
      </c>
      <c r="N339">
        <v>967555800</v>
      </c>
      <c r="O339" t="s">
        <v>341</v>
      </c>
      <c r="P339" s="154">
        <v>12000402</v>
      </c>
      <c r="Q339" t="s">
        <v>206</v>
      </c>
      <c r="R339" t="s">
        <v>584</v>
      </c>
      <c r="S339" t="s">
        <v>2631</v>
      </c>
      <c r="T339" t="s">
        <v>2632</v>
      </c>
      <c r="U339" t="s">
        <v>2633</v>
      </c>
      <c r="W339" t="s">
        <v>101</v>
      </c>
      <c r="X339" t="s">
        <v>129</v>
      </c>
      <c r="Y339" s="229"/>
      <c r="Z339" s="176"/>
      <c r="AA339">
        <v>364</v>
      </c>
      <c r="AD339" s="199"/>
      <c r="AE339" s="199"/>
      <c r="AF339" s="179"/>
      <c r="AG339" s="179"/>
      <c r="AH339" s="179"/>
      <c r="AI339" s="179"/>
      <c r="AJ339" s="179"/>
      <c r="AK339" s="179"/>
      <c r="AL339">
        <v>12</v>
      </c>
      <c r="AM339">
        <v>2023</v>
      </c>
      <c r="AN339" s="250"/>
      <c r="AP339" t="str">
        <f>IF(BD_Bloqueados[[#This Row],[Analista ]]&lt;&gt;"Ana C",MID(BD_Bloqueados[[#This Row],[ID]],3,5),MID(BD_Bloqueados[[#This Row],[ID]],4,5))</f>
        <v>36423</v>
      </c>
      <c r="AQ339">
        <v>65</v>
      </c>
      <c r="AR339">
        <v>2024</v>
      </c>
      <c r="AS339" s="72">
        <v>45292</v>
      </c>
      <c r="AT339" s="72">
        <v>45356</v>
      </c>
      <c r="AU339">
        <v>3</v>
      </c>
    </row>
    <row r="340" spans="1:47">
      <c r="A340" s="265" t="s">
        <v>2634</v>
      </c>
      <c r="B340">
        <v>2</v>
      </c>
      <c r="C340" s="72">
        <v>45290</v>
      </c>
      <c r="D340">
        <v>53</v>
      </c>
      <c r="E340" s="173">
        <v>0.14583333333333334</v>
      </c>
      <c r="F340" t="s">
        <v>136</v>
      </c>
      <c r="G340" t="s">
        <v>28</v>
      </c>
      <c r="H340" t="s">
        <v>81</v>
      </c>
      <c r="I340" t="s">
        <v>143</v>
      </c>
      <c r="J340" t="s">
        <v>117</v>
      </c>
      <c r="K340" t="s">
        <v>1825</v>
      </c>
      <c r="L340" t="s">
        <v>77</v>
      </c>
      <c r="M340" t="s">
        <v>575</v>
      </c>
      <c r="N340">
        <v>76618520</v>
      </c>
      <c r="O340" t="s">
        <v>593</v>
      </c>
      <c r="P340" s="154">
        <v>10004345</v>
      </c>
      <c r="Q340" t="s">
        <v>138</v>
      </c>
      <c r="R340" t="s">
        <v>110</v>
      </c>
      <c r="S340" t="s">
        <v>2635</v>
      </c>
      <c r="T340" t="s">
        <v>2636</v>
      </c>
      <c r="U340" t="s">
        <v>2637</v>
      </c>
      <c r="W340" t="s">
        <v>101</v>
      </c>
      <c r="X340" t="s">
        <v>129</v>
      </c>
      <c r="Y340" s="229"/>
      <c r="Z340" s="176"/>
      <c r="AA340">
        <v>511305</v>
      </c>
      <c r="AD340" s="199"/>
      <c r="AE340" s="199"/>
      <c r="AF340" s="179"/>
      <c r="AG340" s="179"/>
      <c r="AH340" s="179"/>
      <c r="AI340" s="179"/>
      <c r="AJ340" s="179"/>
      <c r="AK340" s="179"/>
      <c r="AL340">
        <v>12</v>
      </c>
      <c r="AM340">
        <v>2023</v>
      </c>
      <c r="AN340" s="250"/>
      <c r="AP340" t="str">
        <f>IF(BD_Bloqueados[[#This Row],[Analista ]]&lt;&gt;"Ana C",MID(BD_Bloqueados[[#This Row],[ID]],3,5),MID(BD_Bloqueados[[#This Row],[ID]],4,5))</f>
        <v>36423</v>
      </c>
      <c r="AQ340">
        <v>85</v>
      </c>
      <c r="AR340">
        <v>2024</v>
      </c>
      <c r="AS340" s="72">
        <v>45292</v>
      </c>
      <c r="AT340" s="72">
        <v>45376</v>
      </c>
      <c r="AU340">
        <v>3</v>
      </c>
    </row>
    <row r="341" spans="1:47">
      <c r="A341" s="191" t="s">
        <v>2638</v>
      </c>
      <c r="B341">
        <v>2</v>
      </c>
      <c r="C341" s="72">
        <v>45290</v>
      </c>
      <c r="D341">
        <v>53</v>
      </c>
      <c r="E341" s="173">
        <v>0.3611111111111111</v>
      </c>
      <c r="F341" t="s">
        <v>78</v>
      </c>
      <c r="G341" t="s">
        <v>28</v>
      </c>
      <c r="H341" t="s">
        <v>165</v>
      </c>
      <c r="I341" t="s">
        <v>635</v>
      </c>
      <c r="J341" t="s">
        <v>618</v>
      </c>
      <c r="K341" t="s">
        <v>1270</v>
      </c>
      <c r="L341" t="s">
        <v>108</v>
      </c>
      <c r="M341" t="s">
        <v>1029</v>
      </c>
      <c r="N341">
        <v>967555800</v>
      </c>
      <c r="O341" t="s">
        <v>341</v>
      </c>
      <c r="P341" s="154">
        <v>12000402</v>
      </c>
      <c r="Q341" t="s">
        <v>206</v>
      </c>
      <c r="R341" t="s">
        <v>584</v>
      </c>
      <c r="S341" t="s">
        <v>2639</v>
      </c>
      <c r="T341" t="s">
        <v>2640</v>
      </c>
      <c r="U341" t="s">
        <v>2633</v>
      </c>
      <c r="V341" t="s">
        <v>2641</v>
      </c>
      <c r="W341" t="s">
        <v>101</v>
      </c>
      <c r="X341" t="s">
        <v>129</v>
      </c>
      <c r="Y341" s="229">
        <v>155</v>
      </c>
      <c r="Z341" s="176"/>
      <c r="AA341">
        <v>364</v>
      </c>
      <c r="AD341" s="199"/>
      <c r="AE341" s="199"/>
      <c r="AF341" s="179"/>
      <c r="AG341" s="179"/>
      <c r="AH341" s="179"/>
      <c r="AI341" s="179"/>
      <c r="AJ341" s="179"/>
      <c r="AK341" s="179"/>
      <c r="AL341">
        <v>12</v>
      </c>
      <c r="AM341">
        <v>2023</v>
      </c>
      <c r="AN341" s="250"/>
      <c r="AP341" t="str">
        <f>IF(BD_Bloqueados[[#This Row],[Analista ]]&lt;&gt;"Ana C",MID(BD_Bloqueados[[#This Row],[ID]],3,5),MID(BD_Bloqueados[[#This Row],[ID]],4,5))</f>
        <v>36423</v>
      </c>
      <c r="AQ341">
        <v>16</v>
      </c>
      <c r="AR341">
        <v>2024</v>
      </c>
      <c r="AS341" s="72">
        <v>45292</v>
      </c>
      <c r="AT341" s="72">
        <v>45307</v>
      </c>
      <c r="AU341">
        <v>1</v>
      </c>
    </row>
    <row r="342" spans="1:47">
      <c r="A342" t="s">
        <v>2642</v>
      </c>
      <c r="B342">
        <v>2</v>
      </c>
      <c r="C342" s="72">
        <v>45290</v>
      </c>
      <c r="D342">
        <v>53</v>
      </c>
      <c r="E342" s="173">
        <v>0.39583333333333331</v>
      </c>
      <c r="F342" t="s">
        <v>78</v>
      </c>
      <c r="G342" t="s">
        <v>32</v>
      </c>
      <c r="H342" t="s">
        <v>85</v>
      </c>
      <c r="I342" t="s">
        <v>581</v>
      </c>
      <c r="J342" t="s">
        <v>576</v>
      </c>
      <c r="K342" t="s">
        <v>2643</v>
      </c>
      <c r="L342" t="s">
        <v>108</v>
      </c>
      <c r="M342" t="s">
        <v>1029</v>
      </c>
      <c r="N342">
        <v>967555800</v>
      </c>
      <c r="O342" t="s">
        <v>200</v>
      </c>
      <c r="P342" s="154">
        <v>13030428</v>
      </c>
      <c r="Q342" t="s">
        <v>138</v>
      </c>
      <c r="R342" t="s">
        <v>589</v>
      </c>
      <c r="S342" t="s">
        <v>2644</v>
      </c>
      <c r="T342" t="s">
        <v>2645</v>
      </c>
      <c r="U342" t="s">
        <v>2646</v>
      </c>
      <c r="V342" t="s">
        <v>2647</v>
      </c>
      <c r="W342" t="s">
        <v>101</v>
      </c>
      <c r="X342" t="s">
        <v>156</v>
      </c>
      <c r="Y342" s="229">
        <v>127</v>
      </c>
      <c r="Z342" s="176">
        <v>39484.299999999996</v>
      </c>
      <c r="AA342">
        <v>362104</v>
      </c>
      <c r="AB342" t="s">
        <v>1356</v>
      </c>
      <c r="AC342" t="s">
        <v>1291</v>
      </c>
      <c r="AD342" s="199">
        <v>1</v>
      </c>
      <c r="AE342" s="199" t="s">
        <v>1292</v>
      </c>
      <c r="AF342" s="179">
        <v>3</v>
      </c>
      <c r="AG342" s="179">
        <v>157.19999999999999</v>
      </c>
      <c r="AH342" s="179">
        <v>0</v>
      </c>
      <c r="AI342" s="179">
        <v>149.6</v>
      </c>
      <c r="AJ342" s="179">
        <v>1.1000000000000001</v>
      </c>
      <c r="AK342" s="179">
        <v>0</v>
      </c>
      <c r="AL342">
        <v>12</v>
      </c>
      <c r="AM342">
        <v>2023</v>
      </c>
      <c r="AN342" s="250"/>
      <c r="AP342" t="str">
        <f>IF(BD_Bloqueados[[#This Row],[Analista ]]&lt;&gt;"Ana C",MID(BD_Bloqueados[[#This Row],[ID]],3,5),MID(BD_Bloqueados[[#This Row],[ID]],4,5))</f>
        <v>36423</v>
      </c>
      <c r="AQ342">
        <v>10</v>
      </c>
      <c r="AR342">
        <v>2024</v>
      </c>
      <c r="AS342" s="72">
        <v>45292</v>
      </c>
      <c r="AT342" s="72">
        <v>45301</v>
      </c>
      <c r="AU342">
        <v>1</v>
      </c>
    </row>
    <row r="343" spans="1:47">
      <c r="A343" t="s">
        <v>2648</v>
      </c>
      <c r="B343">
        <v>2</v>
      </c>
      <c r="C343" s="72">
        <v>45290</v>
      </c>
      <c r="D343">
        <v>53</v>
      </c>
      <c r="E343" s="173">
        <v>0.39583333333333331</v>
      </c>
      <c r="F343" t="s">
        <v>78</v>
      </c>
      <c r="G343" t="s">
        <v>31</v>
      </c>
      <c r="H343" t="s">
        <v>84</v>
      </c>
      <c r="I343" t="s">
        <v>581</v>
      </c>
      <c r="J343" t="s">
        <v>576</v>
      </c>
      <c r="K343" t="s">
        <v>2649</v>
      </c>
      <c r="L343" t="s">
        <v>108</v>
      </c>
      <c r="M343" t="s">
        <v>1029</v>
      </c>
      <c r="N343">
        <v>967555800</v>
      </c>
      <c r="O343" t="s">
        <v>200</v>
      </c>
      <c r="P343" s="154">
        <v>13030428</v>
      </c>
      <c r="Q343" t="s">
        <v>138</v>
      </c>
      <c r="R343" t="s">
        <v>589</v>
      </c>
      <c r="S343" t="s">
        <v>2650</v>
      </c>
      <c r="T343" t="s">
        <v>2651</v>
      </c>
      <c r="U343" t="s">
        <v>2652</v>
      </c>
      <c r="V343" t="s">
        <v>2653</v>
      </c>
      <c r="W343" t="s">
        <v>101</v>
      </c>
      <c r="X343" t="s">
        <v>156</v>
      </c>
      <c r="Y343" s="229">
        <v>190</v>
      </c>
      <c r="Z343" s="176">
        <v>59070.999999999993</v>
      </c>
      <c r="AA343">
        <v>362104</v>
      </c>
      <c r="AB343" t="s">
        <v>1290</v>
      </c>
      <c r="AC343" t="s">
        <v>1252</v>
      </c>
      <c r="AD343" s="199">
        <v>1</v>
      </c>
      <c r="AE343" s="199" t="s">
        <v>1292</v>
      </c>
      <c r="AF343" s="179">
        <v>3</v>
      </c>
      <c r="AG343" s="179">
        <v>157.19999999999999</v>
      </c>
      <c r="AH343" s="179">
        <v>0</v>
      </c>
      <c r="AI343" s="179">
        <v>149.6</v>
      </c>
      <c r="AJ343" s="179">
        <v>1.1000000000000001</v>
      </c>
      <c r="AK343" s="179">
        <v>0</v>
      </c>
      <c r="AL343">
        <v>12</v>
      </c>
      <c r="AM343">
        <v>2023</v>
      </c>
      <c r="AN343" s="250" t="s">
        <v>1611</v>
      </c>
      <c r="AP343" t="str">
        <f>IF(BD_Bloqueados[[#This Row],[Analista ]]&lt;&gt;"Ana C",MID(BD_Bloqueados[[#This Row],[ID]],3,5),MID(BD_Bloqueados[[#This Row],[ID]],4,5))</f>
        <v>36423</v>
      </c>
      <c r="AQ343">
        <v>304</v>
      </c>
      <c r="AR343">
        <v>2023</v>
      </c>
      <c r="AS343" s="72">
        <v>44927</v>
      </c>
      <c r="AT343" s="72">
        <v>45230</v>
      </c>
      <c r="AU343">
        <v>10</v>
      </c>
    </row>
    <row r="344" spans="1:47">
      <c r="A344" s="265" t="s">
        <v>2654</v>
      </c>
      <c r="B344">
        <v>2</v>
      </c>
      <c r="C344" s="72">
        <v>45288</v>
      </c>
      <c r="D344">
        <v>53</v>
      </c>
      <c r="E344" s="173">
        <v>0.4513888888888889</v>
      </c>
      <c r="F344" t="s">
        <v>78</v>
      </c>
      <c r="G344" t="s">
        <v>27</v>
      </c>
      <c r="H344" t="s">
        <v>209</v>
      </c>
      <c r="I344" t="s">
        <v>212</v>
      </c>
      <c r="J344" t="s">
        <v>618</v>
      </c>
      <c r="K344" t="s">
        <v>2234</v>
      </c>
      <c r="L344" t="s">
        <v>108</v>
      </c>
      <c r="M344" t="s">
        <v>1029</v>
      </c>
      <c r="N344">
        <v>967555800</v>
      </c>
      <c r="O344" t="s">
        <v>99</v>
      </c>
      <c r="P344" s="154">
        <v>13001756</v>
      </c>
      <c r="Q344" t="s">
        <v>185</v>
      </c>
      <c r="R344" t="s">
        <v>579</v>
      </c>
      <c r="S344" t="s">
        <v>2655</v>
      </c>
      <c r="T344" t="s">
        <v>2656</v>
      </c>
      <c r="U344" t="s">
        <v>2657</v>
      </c>
      <c r="W344" t="s">
        <v>101</v>
      </c>
      <c r="X344" t="s">
        <v>156</v>
      </c>
      <c r="Y344" s="229">
        <v>211.5</v>
      </c>
      <c r="Z344" s="176">
        <v>169094.25</v>
      </c>
      <c r="AA344">
        <v>361</v>
      </c>
      <c r="AB344" t="s">
        <v>1400</v>
      </c>
      <c r="AC344" t="s">
        <v>1479</v>
      </c>
      <c r="AD344" s="199">
        <v>1</v>
      </c>
      <c r="AE344" s="199" t="s">
        <v>1292</v>
      </c>
      <c r="AF344" s="179">
        <v>15.7</v>
      </c>
      <c r="AG344" s="179">
        <v>106</v>
      </c>
      <c r="AH344" s="179">
        <v>508.3</v>
      </c>
      <c r="AI344" s="179">
        <v>168</v>
      </c>
      <c r="AJ344" s="179">
        <v>1.5</v>
      </c>
      <c r="AK344" s="179">
        <v>0</v>
      </c>
      <c r="AL344">
        <v>12</v>
      </c>
      <c r="AM344">
        <v>2023</v>
      </c>
      <c r="AN344" s="250"/>
      <c r="AP344" t="str">
        <f>IF(BD_Bloqueados[[#This Row],[Analista ]]&lt;&gt;"Ana C",MID(BD_Bloqueados[[#This Row],[ID]],3,5),MID(BD_Bloqueados[[#This Row],[ID]],4,5))</f>
        <v>36223</v>
      </c>
      <c r="AQ344">
        <v>249</v>
      </c>
      <c r="AR344">
        <v>2023</v>
      </c>
      <c r="AS344" s="72">
        <v>44927</v>
      </c>
      <c r="AT344" s="72">
        <v>45175</v>
      </c>
      <c r="AU344">
        <v>9</v>
      </c>
    </row>
    <row r="345" spans="1:47">
      <c r="A345" s="265" t="s">
        <v>2658</v>
      </c>
      <c r="B345">
        <v>2</v>
      </c>
      <c r="C345" s="72">
        <v>45287</v>
      </c>
      <c r="D345">
        <v>53</v>
      </c>
      <c r="E345" s="173">
        <v>0.13194444444444445</v>
      </c>
      <c r="F345" t="s">
        <v>136</v>
      </c>
      <c r="G345" t="s">
        <v>28</v>
      </c>
      <c r="H345" t="s">
        <v>165</v>
      </c>
      <c r="I345" t="s">
        <v>143</v>
      </c>
      <c r="J345" t="s">
        <v>117</v>
      </c>
      <c r="K345" t="s">
        <v>1209</v>
      </c>
      <c r="L345" t="s">
        <v>108</v>
      </c>
      <c r="M345" t="s">
        <v>1029</v>
      </c>
      <c r="N345">
        <v>967555800</v>
      </c>
      <c r="O345" t="s">
        <v>331</v>
      </c>
      <c r="P345" s="154">
        <v>13000471</v>
      </c>
      <c r="Q345" t="s">
        <v>138</v>
      </c>
      <c r="R345" t="s">
        <v>589</v>
      </c>
      <c r="S345" t="s">
        <v>2659</v>
      </c>
      <c r="T345" t="s">
        <v>2660</v>
      </c>
      <c r="U345" t="s">
        <v>2661</v>
      </c>
      <c r="V345" t="s">
        <v>2662</v>
      </c>
      <c r="W345" t="s">
        <v>101</v>
      </c>
      <c r="X345" t="s">
        <v>102</v>
      </c>
      <c r="Y345" s="229">
        <v>210</v>
      </c>
      <c r="Z345" s="176">
        <v>0</v>
      </c>
      <c r="AA345">
        <v>361</v>
      </c>
      <c r="AB345" t="s">
        <v>1356</v>
      </c>
      <c r="AC345" t="s">
        <v>1349</v>
      </c>
      <c r="AD345" s="199"/>
      <c r="AE345" s="199"/>
      <c r="AF345" s="179"/>
      <c r="AG345" s="179"/>
      <c r="AH345" s="179"/>
      <c r="AI345" s="179"/>
      <c r="AJ345" s="179"/>
      <c r="AK345" s="179"/>
      <c r="AL345">
        <v>12</v>
      </c>
      <c r="AM345">
        <v>2023</v>
      </c>
      <c r="AN345" s="250"/>
      <c r="AP345" t="str">
        <f>IF(BD_Bloqueados[[#This Row],[Analista ]]&lt;&gt;"Ana C",MID(BD_Bloqueados[[#This Row],[ID]],3,5),MID(BD_Bloqueados[[#This Row],[ID]],4,5))</f>
        <v>36123</v>
      </c>
      <c r="AQ345">
        <v>9</v>
      </c>
      <c r="AR345">
        <v>2024</v>
      </c>
      <c r="AS345" s="72">
        <v>45292</v>
      </c>
      <c r="AT345" s="72">
        <v>45300</v>
      </c>
      <c r="AU345">
        <v>1</v>
      </c>
    </row>
    <row r="346" spans="1:47">
      <c r="A346" s="191" t="s">
        <v>2663</v>
      </c>
      <c r="B346">
        <v>2</v>
      </c>
      <c r="C346" s="72">
        <v>45286</v>
      </c>
      <c r="D346">
        <v>53</v>
      </c>
      <c r="E346" s="173">
        <v>0.43611111111111112</v>
      </c>
      <c r="F346" t="s">
        <v>78</v>
      </c>
      <c r="G346" t="s">
        <v>28</v>
      </c>
      <c r="H346" t="s">
        <v>81</v>
      </c>
      <c r="I346" t="s">
        <v>635</v>
      </c>
      <c r="J346" t="s">
        <v>618</v>
      </c>
      <c r="K346" t="s">
        <v>2664</v>
      </c>
      <c r="L346" t="s">
        <v>77</v>
      </c>
      <c r="M346" t="s">
        <v>575</v>
      </c>
      <c r="N346">
        <v>76618520</v>
      </c>
      <c r="O346" t="s">
        <v>466</v>
      </c>
      <c r="P346" s="154">
        <v>10000132</v>
      </c>
      <c r="Q346" t="s">
        <v>138</v>
      </c>
      <c r="R346" t="s">
        <v>110</v>
      </c>
      <c r="S346" t="s">
        <v>2665</v>
      </c>
      <c r="T346" t="s">
        <v>2666</v>
      </c>
      <c r="U346" t="s">
        <v>2667</v>
      </c>
      <c r="V346" t="s">
        <v>2668</v>
      </c>
      <c r="W346" t="s">
        <v>101</v>
      </c>
      <c r="X346" t="s">
        <v>129</v>
      </c>
      <c r="Y346" s="229">
        <v>1260</v>
      </c>
      <c r="Z346" s="176">
        <v>0</v>
      </c>
      <c r="AA346">
        <v>511304</v>
      </c>
      <c r="AD346" s="199"/>
      <c r="AE346" s="199"/>
      <c r="AF346" s="179"/>
      <c r="AG346" s="179"/>
      <c r="AH346" s="179"/>
      <c r="AI346" s="179"/>
      <c r="AJ346" s="179"/>
      <c r="AK346" s="179"/>
      <c r="AL346">
        <v>12</v>
      </c>
      <c r="AM346">
        <v>2023</v>
      </c>
      <c r="AN346" s="250"/>
      <c r="AP346" t="str">
        <f>IF(BD_Bloqueados[[#This Row],[Analista ]]&lt;&gt;"Ana C",MID(BD_Bloqueados[[#This Row],[ID]],3,5),MID(BD_Bloqueados[[#This Row],[ID]],4,5))</f>
        <v>36023</v>
      </c>
      <c r="AQ346">
        <v>130</v>
      </c>
      <c r="AR346">
        <v>2024</v>
      </c>
      <c r="AS346" s="72">
        <v>45292</v>
      </c>
      <c r="AT346" s="72">
        <v>45421</v>
      </c>
      <c r="AU346">
        <v>5</v>
      </c>
    </row>
    <row r="347" spans="1:47">
      <c r="A347" t="s">
        <v>3421</v>
      </c>
      <c r="B347">
        <v>2</v>
      </c>
      <c r="C347" s="72">
        <v>45281</v>
      </c>
      <c r="D347">
        <v>52</v>
      </c>
      <c r="E347" s="173">
        <v>0.5625</v>
      </c>
      <c r="F347" t="s">
        <v>109</v>
      </c>
      <c r="G347" t="s">
        <v>33</v>
      </c>
      <c r="H347" t="s">
        <v>33</v>
      </c>
      <c r="I347" t="s">
        <v>190</v>
      </c>
      <c r="J347" t="s">
        <v>577</v>
      </c>
      <c r="K347" t="s">
        <v>2500</v>
      </c>
      <c r="L347" t="s">
        <v>108</v>
      </c>
      <c r="M347" t="s">
        <v>1029</v>
      </c>
      <c r="N347">
        <v>967555800</v>
      </c>
      <c r="O347" t="s">
        <v>751</v>
      </c>
      <c r="P347" s="154">
        <v>13030605</v>
      </c>
      <c r="Q347" t="s">
        <v>138</v>
      </c>
      <c r="R347" t="s">
        <v>79</v>
      </c>
      <c r="S347" t="s">
        <v>3422</v>
      </c>
      <c r="T347" t="s">
        <v>3423</v>
      </c>
      <c r="U347" t="s">
        <v>3181</v>
      </c>
      <c r="V347" t="s">
        <v>3424</v>
      </c>
      <c r="W347" t="s">
        <v>101</v>
      </c>
      <c r="X347" t="s">
        <v>129</v>
      </c>
      <c r="Y347" s="229">
        <v>1575</v>
      </c>
      <c r="Z347" s="176">
        <v>845302.50000000012</v>
      </c>
      <c r="AA347">
        <v>235</v>
      </c>
      <c r="AB347" t="s">
        <v>3425</v>
      </c>
      <c r="AC347" t="s">
        <v>2792</v>
      </c>
      <c r="AD347" s="199">
        <v>1</v>
      </c>
      <c r="AE347" s="199" t="s">
        <v>1292</v>
      </c>
      <c r="AF347" s="179">
        <v>0</v>
      </c>
      <c r="AG347" s="179">
        <v>7.7</v>
      </c>
      <c r="AH347" s="179">
        <v>487</v>
      </c>
      <c r="AI347" s="179">
        <v>42</v>
      </c>
      <c r="AJ347" s="179">
        <v>0</v>
      </c>
      <c r="AK347" s="179">
        <v>0</v>
      </c>
      <c r="AL347">
        <v>12</v>
      </c>
      <c r="AM347">
        <v>2023</v>
      </c>
      <c r="AN347" s="250"/>
      <c r="AP347" t="str">
        <f>IF(BD_Bloqueados[[#This Row],[Analista ]]&lt;&gt;"Ana C",MID(BD_Bloqueados[[#This Row],[ID]],3,5),MID(BD_Bloqueados[[#This Row],[ID]],4,5))</f>
        <v>35523</v>
      </c>
      <c r="AQ347">
        <v>183</v>
      </c>
      <c r="AR347">
        <v>2024</v>
      </c>
      <c r="AS347" s="72">
        <v>45292</v>
      </c>
      <c r="AT347" s="72">
        <v>45474</v>
      </c>
      <c r="AU347">
        <v>7</v>
      </c>
    </row>
    <row r="348" spans="1:47">
      <c r="A348" t="s">
        <v>2669</v>
      </c>
      <c r="B348">
        <v>2</v>
      </c>
      <c r="C348" s="72">
        <v>45280</v>
      </c>
      <c r="D348">
        <v>52</v>
      </c>
      <c r="E348" s="173">
        <v>0.7729166666666667</v>
      </c>
      <c r="F348" t="s">
        <v>109</v>
      </c>
      <c r="G348" t="s">
        <v>33</v>
      </c>
      <c r="H348" t="s">
        <v>33</v>
      </c>
      <c r="I348" t="s">
        <v>635</v>
      </c>
      <c r="J348" t="s">
        <v>572</v>
      </c>
      <c r="K348" t="s">
        <v>2670</v>
      </c>
      <c r="L348" t="s">
        <v>108</v>
      </c>
      <c r="M348" t="s">
        <v>1029</v>
      </c>
      <c r="N348">
        <v>967555800</v>
      </c>
      <c r="O348" t="s">
        <v>146</v>
      </c>
      <c r="P348" s="154">
        <v>12001436</v>
      </c>
      <c r="Q348" t="s">
        <v>138</v>
      </c>
      <c r="R348" t="s">
        <v>79</v>
      </c>
      <c r="S348" t="s">
        <v>2671</v>
      </c>
      <c r="T348" t="s">
        <v>2672</v>
      </c>
      <c r="U348" t="s">
        <v>2673</v>
      </c>
      <c r="V348" t="s">
        <v>2674</v>
      </c>
      <c r="W348" t="s">
        <v>101</v>
      </c>
      <c r="X348" t="s">
        <v>129</v>
      </c>
      <c r="Y348" s="229">
        <v>6.05</v>
      </c>
      <c r="Z348" s="176">
        <v>12412.583333333332</v>
      </c>
      <c r="AA348">
        <v>354</v>
      </c>
      <c r="AB348" t="s">
        <v>640</v>
      </c>
      <c r="AC348" t="s">
        <v>1686</v>
      </c>
      <c r="AD348" s="199">
        <v>0.30000000000000004</v>
      </c>
      <c r="AE348" s="199" t="s">
        <v>1374</v>
      </c>
      <c r="AF348" s="179">
        <v>0</v>
      </c>
      <c r="AG348" s="179">
        <v>41</v>
      </c>
      <c r="AH348" s="179">
        <v>496.4</v>
      </c>
      <c r="AI348" s="179">
        <v>78</v>
      </c>
      <c r="AJ348" s="179">
        <v>0.1</v>
      </c>
      <c r="AK348" s="179">
        <v>0</v>
      </c>
      <c r="AL348">
        <v>12</v>
      </c>
      <c r="AM348">
        <v>2023</v>
      </c>
      <c r="AN348" s="250"/>
      <c r="AP348" t="str">
        <f>IF(BD_Bloqueados[[#This Row],[Analista ]]&lt;&gt;"Ana C",MID(BD_Bloqueados[[#This Row],[ID]],3,5),MID(BD_Bloqueados[[#This Row],[ID]],4,5))</f>
        <v>35423</v>
      </c>
      <c r="AQ348">
        <v>5</v>
      </c>
      <c r="AR348">
        <v>2024</v>
      </c>
      <c r="AS348" s="72">
        <v>45292</v>
      </c>
      <c r="AT348" s="72">
        <v>45296</v>
      </c>
      <c r="AU348">
        <v>1</v>
      </c>
    </row>
    <row r="349" spans="1:47">
      <c r="A349" s="191" t="s">
        <v>2675</v>
      </c>
      <c r="B349">
        <v>2</v>
      </c>
      <c r="C349" s="72">
        <v>45280</v>
      </c>
      <c r="D349">
        <v>52</v>
      </c>
      <c r="E349" s="173">
        <v>0.40138888888888885</v>
      </c>
      <c r="F349" t="s">
        <v>78</v>
      </c>
      <c r="G349" t="s">
        <v>29</v>
      </c>
      <c r="H349" t="s">
        <v>165</v>
      </c>
      <c r="I349" t="s">
        <v>212</v>
      </c>
      <c r="J349" t="s">
        <v>2676</v>
      </c>
      <c r="K349" t="s">
        <v>1409</v>
      </c>
      <c r="L349" t="s">
        <v>108</v>
      </c>
      <c r="M349" t="s">
        <v>1029</v>
      </c>
      <c r="N349">
        <v>967555800</v>
      </c>
      <c r="O349" t="s">
        <v>818</v>
      </c>
      <c r="P349" s="154">
        <v>13030606</v>
      </c>
      <c r="Q349" t="s">
        <v>138</v>
      </c>
      <c r="R349" t="s">
        <v>79</v>
      </c>
      <c r="S349" t="s">
        <v>2677</v>
      </c>
      <c r="T349" t="s">
        <v>2678</v>
      </c>
      <c r="U349" t="s">
        <v>2679</v>
      </c>
      <c r="W349" t="s">
        <v>101</v>
      </c>
      <c r="X349" t="s">
        <v>1291</v>
      </c>
      <c r="Y349">
        <v>359.42</v>
      </c>
      <c r="Z349" s="176">
        <v>0</v>
      </c>
      <c r="AA349">
        <v>354</v>
      </c>
      <c r="AB349" t="s">
        <v>640</v>
      </c>
      <c r="AC349" t="s">
        <v>1686</v>
      </c>
      <c r="AD349" s="199">
        <v>0.3</v>
      </c>
      <c r="AE349" s="199" t="s">
        <v>1374</v>
      </c>
      <c r="AF349" s="179"/>
      <c r="AG349" s="179"/>
      <c r="AH349" s="179"/>
      <c r="AI349" s="179"/>
      <c r="AJ349" s="179"/>
      <c r="AK349" s="179"/>
      <c r="AL349">
        <v>12</v>
      </c>
      <c r="AM349">
        <v>2023</v>
      </c>
      <c r="AN349" s="250"/>
      <c r="AP349" t="str">
        <f>IF(BD_Bloqueados[[#This Row],[Analista ]]&lt;&gt;"Ana C",MID(BD_Bloqueados[[#This Row],[ID]],3,5),MID(BD_Bloqueados[[#This Row],[ID]],4,5))</f>
        <v>35423</v>
      </c>
      <c r="AQ349">
        <v>4</v>
      </c>
      <c r="AR349">
        <v>2024</v>
      </c>
      <c r="AS349" s="72">
        <v>45292</v>
      </c>
      <c r="AT349" s="72">
        <v>45295</v>
      </c>
      <c r="AU349">
        <v>1</v>
      </c>
    </row>
    <row r="350" spans="1:47">
      <c r="A350" t="s">
        <v>2689</v>
      </c>
      <c r="B350">
        <v>2</v>
      </c>
      <c r="C350" s="72">
        <v>45280</v>
      </c>
      <c r="D350">
        <v>52</v>
      </c>
      <c r="E350" s="173">
        <v>0.95138888888888884</v>
      </c>
      <c r="F350" t="s">
        <v>136</v>
      </c>
      <c r="G350" t="s">
        <v>28</v>
      </c>
      <c r="H350" t="s">
        <v>165</v>
      </c>
      <c r="I350" t="s">
        <v>645</v>
      </c>
      <c r="J350" t="s">
        <v>2681</v>
      </c>
      <c r="K350" t="s">
        <v>2690</v>
      </c>
      <c r="L350" t="s">
        <v>108</v>
      </c>
      <c r="M350" t="s">
        <v>1029</v>
      </c>
      <c r="N350">
        <v>967555800</v>
      </c>
      <c r="O350" t="s">
        <v>327</v>
      </c>
      <c r="P350" s="154">
        <v>13000470</v>
      </c>
      <c r="Q350" t="s">
        <v>138</v>
      </c>
      <c r="R350" t="s">
        <v>79</v>
      </c>
      <c r="S350" t="s">
        <v>2691</v>
      </c>
      <c r="T350" t="s">
        <v>2692</v>
      </c>
      <c r="U350" t="s">
        <v>2693</v>
      </c>
      <c r="V350" t="s">
        <v>2694</v>
      </c>
      <c r="W350" t="s">
        <v>101</v>
      </c>
      <c r="X350" t="s">
        <v>129</v>
      </c>
      <c r="Y350" s="229">
        <v>98</v>
      </c>
      <c r="Z350" s="176">
        <v>299610.5</v>
      </c>
      <c r="AA350" t="s">
        <v>2695</v>
      </c>
      <c r="AB350" t="s">
        <v>1845</v>
      </c>
      <c r="AC350" t="s">
        <v>2696</v>
      </c>
      <c r="AD350" s="199">
        <v>0.4</v>
      </c>
      <c r="AE350" s="199" t="s">
        <v>1374</v>
      </c>
      <c r="AF350" s="179">
        <v>0</v>
      </c>
      <c r="AG350" s="179">
        <v>142.9</v>
      </c>
      <c r="AH350" s="179">
        <v>950.2</v>
      </c>
      <c r="AI350" s="179">
        <v>120.8</v>
      </c>
      <c r="AJ350" s="179">
        <v>9</v>
      </c>
      <c r="AK350" s="179">
        <v>0</v>
      </c>
      <c r="AL350">
        <v>12</v>
      </c>
      <c r="AM350">
        <v>2023</v>
      </c>
      <c r="AN350" s="250"/>
      <c r="AP350" t="str">
        <f>IF(BD_Bloqueados[[#This Row],[Analista ]]&lt;&gt;"Ana C",MID(BD_Bloqueados[[#This Row],[ID]],3,5),MID(BD_Bloqueados[[#This Row],[ID]],4,5))</f>
        <v>35423</v>
      </c>
      <c r="AQ350">
        <v>4</v>
      </c>
      <c r="AR350">
        <v>2024</v>
      </c>
      <c r="AS350" s="72">
        <v>45292</v>
      </c>
      <c r="AT350" s="72">
        <v>45295</v>
      </c>
      <c r="AU350">
        <v>1</v>
      </c>
    </row>
    <row r="351" spans="1:47">
      <c r="A351" t="s">
        <v>2680</v>
      </c>
      <c r="B351">
        <v>2</v>
      </c>
      <c r="C351" s="72">
        <v>45279</v>
      </c>
      <c r="D351">
        <v>52</v>
      </c>
      <c r="E351" s="173">
        <v>0.95138888888888884</v>
      </c>
      <c r="F351" t="s">
        <v>136</v>
      </c>
      <c r="G351" t="s">
        <v>28</v>
      </c>
      <c r="H351" t="s">
        <v>165</v>
      </c>
      <c r="I351" t="s">
        <v>645</v>
      </c>
      <c r="J351" t="s">
        <v>2681</v>
      </c>
      <c r="K351" t="s">
        <v>2682</v>
      </c>
      <c r="L351" t="s">
        <v>108</v>
      </c>
      <c r="M351" t="s">
        <v>1029</v>
      </c>
      <c r="N351">
        <v>967555800</v>
      </c>
      <c r="O351" t="s">
        <v>324</v>
      </c>
      <c r="P351" s="154">
        <v>13000469</v>
      </c>
      <c r="Q351" t="s">
        <v>138</v>
      </c>
      <c r="R351" t="s">
        <v>79</v>
      </c>
      <c r="S351" t="s">
        <v>2683</v>
      </c>
      <c r="T351" t="s">
        <v>2684</v>
      </c>
      <c r="U351" t="s">
        <v>2685</v>
      </c>
      <c r="V351" t="s">
        <v>2686</v>
      </c>
      <c r="W351" t="s">
        <v>101</v>
      </c>
      <c r="X351" t="s">
        <v>129</v>
      </c>
      <c r="Y351" s="229">
        <v>140</v>
      </c>
      <c r="Z351" s="176">
        <v>428015</v>
      </c>
      <c r="AA351" t="s">
        <v>2687</v>
      </c>
      <c r="AB351" t="s">
        <v>1845</v>
      </c>
      <c r="AC351" t="s">
        <v>1252</v>
      </c>
      <c r="AD351" s="199">
        <v>0.4</v>
      </c>
      <c r="AE351" s="199" t="s">
        <v>1374</v>
      </c>
      <c r="AF351" s="179">
        <v>0</v>
      </c>
      <c r="AG351" s="179">
        <v>142.9</v>
      </c>
      <c r="AH351" s="179">
        <v>950.2</v>
      </c>
      <c r="AI351" s="179">
        <v>120.8</v>
      </c>
      <c r="AJ351" s="179">
        <v>9</v>
      </c>
      <c r="AK351" s="179">
        <v>0</v>
      </c>
      <c r="AL351">
        <v>12</v>
      </c>
      <c r="AM351">
        <v>2023</v>
      </c>
      <c r="AN351" s="250" t="s">
        <v>2688</v>
      </c>
      <c r="AP351" t="str">
        <f>IF(BD_Bloqueados[[#This Row],[Analista ]]&lt;&gt;"Ana C",MID(BD_Bloqueados[[#This Row],[ID]],3,5),MID(BD_Bloqueados[[#This Row],[ID]],4,5))</f>
        <v>35323</v>
      </c>
      <c r="AQ351">
        <v>92</v>
      </c>
      <c r="AR351">
        <v>2024</v>
      </c>
      <c r="AS351" s="72">
        <v>45292</v>
      </c>
      <c r="AT351" s="72">
        <v>45383</v>
      </c>
      <c r="AU351">
        <v>4</v>
      </c>
    </row>
    <row r="352" spans="1:47">
      <c r="A352" s="265" t="s">
        <v>2697</v>
      </c>
      <c r="B352">
        <v>2</v>
      </c>
      <c r="C352" s="72">
        <v>45279</v>
      </c>
      <c r="D352">
        <v>52</v>
      </c>
      <c r="E352" s="173">
        <v>0.38541666666666669</v>
      </c>
      <c r="F352" t="s">
        <v>78</v>
      </c>
      <c r="G352" t="s">
        <v>28</v>
      </c>
      <c r="H352" t="s">
        <v>81</v>
      </c>
      <c r="I352" t="s">
        <v>87</v>
      </c>
      <c r="J352" t="s">
        <v>2698</v>
      </c>
      <c r="K352" t="s">
        <v>1387</v>
      </c>
      <c r="L352" t="s">
        <v>77</v>
      </c>
      <c r="M352" t="s">
        <v>465</v>
      </c>
      <c r="N352">
        <v>77155281</v>
      </c>
      <c r="O352" t="s">
        <v>494</v>
      </c>
      <c r="P352" s="154">
        <v>10000294</v>
      </c>
      <c r="Q352" t="s">
        <v>138</v>
      </c>
      <c r="R352" t="s">
        <v>608</v>
      </c>
      <c r="S352" t="s">
        <v>2699</v>
      </c>
      <c r="T352" t="s">
        <v>2700</v>
      </c>
      <c r="U352" t="s">
        <v>2701</v>
      </c>
      <c r="V352" t="s">
        <v>2702</v>
      </c>
      <c r="W352" t="s">
        <v>101</v>
      </c>
      <c r="X352" t="s">
        <v>129</v>
      </c>
      <c r="Y352" s="229">
        <v>3</v>
      </c>
      <c r="Z352" s="176"/>
      <c r="AA352">
        <v>343</v>
      </c>
      <c r="AD352" s="199"/>
      <c r="AE352" s="199"/>
      <c r="AF352" s="179"/>
      <c r="AG352" s="179"/>
      <c r="AH352" s="179"/>
      <c r="AI352" s="179"/>
      <c r="AJ352" s="179"/>
      <c r="AK352" s="179"/>
      <c r="AL352">
        <v>12</v>
      </c>
      <c r="AM352">
        <v>2023</v>
      </c>
      <c r="AN352" s="250"/>
      <c r="AP352" t="str">
        <f>IF(BD_Bloqueados[[#This Row],[Analista ]]&lt;&gt;"Ana C",MID(BD_Bloqueados[[#This Row],[ID]],3,5),MID(BD_Bloqueados[[#This Row],[ID]],4,5))</f>
        <v>35323</v>
      </c>
      <c r="AQ352">
        <v>4</v>
      </c>
      <c r="AR352">
        <v>2024</v>
      </c>
      <c r="AS352" s="72">
        <v>45292</v>
      </c>
      <c r="AT352" s="72">
        <v>45295</v>
      </c>
      <c r="AU352">
        <v>1</v>
      </c>
    </row>
    <row r="353" spans="1:47">
      <c r="A353" t="s">
        <v>2703</v>
      </c>
      <c r="B353">
        <v>2</v>
      </c>
      <c r="C353" s="72">
        <v>45279</v>
      </c>
      <c r="D353">
        <v>52</v>
      </c>
      <c r="E353" s="173">
        <v>0.95138888888888884</v>
      </c>
      <c r="F353" t="s">
        <v>136</v>
      </c>
      <c r="G353" t="s">
        <v>28</v>
      </c>
      <c r="H353" t="s">
        <v>165</v>
      </c>
      <c r="I353" t="s">
        <v>645</v>
      </c>
      <c r="J353" t="s">
        <v>2681</v>
      </c>
      <c r="K353" t="s">
        <v>2690</v>
      </c>
      <c r="L353" t="s">
        <v>108</v>
      </c>
      <c r="M353" t="s">
        <v>1029</v>
      </c>
      <c r="N353">
        <v>967555800</v>
      </c>
      <c r="O353" t="s">
        <v>324</v>
      </c>
      <c r="P353" s="154">
        <v>13000469</v>
      </c>
      <c r="Q353" t="s">
        <v>138</v>
      </c>
      <c r="R353" t="s">
        <v>79</v>
      </c>
      <c r="S353" t="s">
        <v>2683</v>
      </c>
      <c r="T353" t="s">
        <v>2684</v>
      </c>
      <c r="U353" t="s">
        <v>2685</v>
      </c>
      <c r="V353" t="s">
        <v>2686</v>
      </c>
      <c r="W353" t="s">
        <v>101</v>
      </c>
      <c r="X353" t="s">
        <v>129</v>
      </c>
      <c r="Y353" s="229">
        <v>98</v>
      </c>
      <c r="Z353" s="176">
        <v>299610.5</v>
      </c>
      <c r="AA353" t="s">
        <v>2704</v>
      </c>
      <c r="AB353" t="s">
        <v>1845</v>
      </c>
      <c r="AC353" t="s">
        <v>1252</v>
      </c>
      <c r="AD353" s="199">
        <v>0.4</v>
      </c>
      <c r="AE353" s="199" t="s">
        <v>2705</v>
      </c>
      <c r="AF353" s="179">
        <v>0</v>
      </c>
      <c r="AG353" s="179">
        <v>142.9</v>
      </c>
      <c r="AH353" s="179">
        <v>950.2</v>
      </c>
      <c r="AI353" s="179">
        <v>120.8</v>
      </c>
      <c r="AJ353" s="179">
        <v>9</v>
      </c>
      <c r="AK353" s="179">
        <v>0</v>
      </c>
      <c r="AL353">
        <v>12</v>
      </c>
      <c r="AM353">
        <v>2023</v>
      </c>
      <c r="AN353" s="250" t="s">
        <v>2688</v>
      </c>
      <c r="AP353" t="str">
        <f>IF(BD_Bloqueados[[#This Row],[Analista ]]&lt;&gt;"Ana C",MID(BD_Bloqueados[[#This Row],[ID]],3,5),MID(BD_Bloqueados[[#This Row],[ID]],4,5))</f>
        <v>35323</v>
      </c>
      <c r="AQ353">
        <v>92</v>
      </c>
      <c r="AR353">
        <v>2024</v>
      </c>
      <c r="AS353" s="72">
        <v>45292</v>
      </c>
      <c r="AT353" s="72">
        <v>45383</v>
      </c>
      <c r="AU353">
        <v>4</v>
      </c>
    </row>
    <row r="354" spans="1:47">
      <c r="A354" t="s">
        <v>2706</v>
      </c>
      <c r="B354">
        <v>2</v>
      </c>
      <c r="C354" s="72">
        <v>45279</v>
      </c>
      <c r="D354">
        <v>52</v>
      </c>
      <c r="E354" s="173">
        <v>0.95138888888888884</v>
      </c>
      <c r="F354" t="s">
        <v>136</v>
      </c>
      <c r="G354" t="s">
        <v>28</v>
      </c>
      <c r="H354" t="s">
        <v>165</v>
      </c>
      <c r="I354" t="s">
        <v>645</v>
      </c>
      <c r="J354" t="s">
        <v>2681</v>
      </c>
      <c r="K354" t="s">
        <v>2690</v>
      </c>
      <c r="L354" t="s">
        <v>108</v>
      </c>
      <c r="M354" t="s">
        <v>1029</v>
      </c>
      <c r="N354">
        <v>967555800</v>
      </c>
      <c r="O354" t="s">
        <v>324</v>
      </c>
      <c r="P354" s="154">
        <v>13000469</v>
      </c>
      <c r="Q354" t="s">
        <v>138</v>
      </c>
      <c r="R354" t="s">
        <v>79</v>
      </c>
      <c r="S354" t="s">
        <v>2683</v>
      </c>
      <c r="T354" t="s">
        <v>2707</v>
      </c>
      <c r="U354" t="s">
        <v>2708</v>
      </c>
      <c r="V354" t="s">
        <v>2686</v>
      </c>
      <c r="W354" t="s">
        <v>101</v>
      </c>
      <c r="X354" t="s">
        <v>129</v>
      </c>
      <c r="Y354" s="229">
        <v>110.60000000000001</v>
      </c>
      <c r="Z354" s="176">
        <v>338131.85000000003</v>
      </c>
      <c r="AA354">
        <v>286</v>
      </c>
      <c r="AB354" t="s">
        <v>1845</v>
      </c>
      <c r="AC354" t="s">
        <v>1252</v>
      </c>
      <c r="AD354" s="199">
        <v>0.4</v>
      </c>
      <c r="AE354" s="199" t="s">
        <v>1374</v>
      </c>
      <c r="AF354" s="179">
        <v>0</v>
      </c>
      <c r="AG354" s="179">
        <v>142.9</v>
      </c>
      <c r="AH354" s="179">
        <v>950.2</v>
      </c>
      <c r="AI354" s="179">
        <v>120.8</v>
      </c>
      <c r="AJ354" s="179">
        <v>9</v>
      </c>
      <c r="AK354" s="179">
        <v>0</v>
      </c>
      <c r="AL354">
        <v>12</v>
      </c>
      <c r="AM354">
        <v>2023</v>
      </c>
      <c r="AN354" s="250" t="s">
        <v>2688</v>
      </c>
      <c r="AP354" t="str">
        <f>IF(BD_Bloqueados[[#This Row],[Analista ]]&lt;&gt;"Ana C",MID(BD_Bloqueados[[#This Row],[ID]],3,5),MID(BD_Bloqueados[[#This Row],[ID]],4,5))</f>
        <v>35323</v>
      </c>
      <c r="AQ354">
        <v>2</v>
      </c>
      <c r="AR354">
        <v>2024</v>
      </c>
      <c r="AS354" s="72">
        <v>45292</v>
      </c>
      <c r="AT354" s="72">
        <v>45293</v>
      </c>
      <c r="AU354">
        <v>1</v>
      </c>
    </row>
    <row r="355" spans="1:47">
      <c r="A355" t="s">
        <v>2709</v>
      </c>
      <c r="B355">
        <v>2</v>
      </c>
      <c r="C355" s="72">
        <v>45278</v>
      </c>
      <c r="D355">
        <v>52</v>
      </c>
      <c r="E355" s="173">
        <v>0.5</v>
      </c>
      <c r="F355" t="s">
        <v>78</v>
      </c>
      <c r="G355" t="s">
        <v>29</v>
      </c>
      <c r="H355" t="s">
        <v>83</v>
      </c>
      <c r="I355" t="s">
        <v>212</v>
      </c>
      <c r="J355" t="s">
        <v>2710</v>
      </c>
      <c r="K355" t="s">
        <v>2711</v>
      </c>
      <c r="L355" t="s">
        <v>108</v>
      </c>
      <c r="M355" t="s">
        <v>1029</v>
      </c>
      <c r="N355">
        <v>967555800</v>
      </c>
      <c r="O355" t="s">
        <v>119</v>
      </c>
      <c r="P355" s="154">
        <v>12001437</v>
      </c>
      <c r="Q355" t="s">
        <v>206</v>
      </c>
      <c r="R355" t="s">
        <v>110</v>
      </c>
      <c r="S355" t="s">
        <v>2712</v>
      </c>
      <c r="T355" t="s">
        <v>2713</v>
      </c>
      <c r="U355" t="s">
        <v>2714</v>
      </c>
      <c r="W355" t="s">
        <v>101</v>
      </c>
      <c r="X355" t="s">
        <v>129</v>
      </c>
      <c r="Y355" s="229">
        <v>762</v>
      </c>
      <c r="Z355" s="176">
        <v>0</v>
      </c>
      <c r="AA355">
        <v>352</v>
      </c>
      <c r="AB355" t="s">
        <v>1845</v>
      </c>
      <c r="AC355" t="s">
        <v>1349</v>
      </c>
      <c r="AD355" s="199">
        <v>0.5</v>
      </c>
      <c r="AE355" s="199" t="s">
        <v>1374</v>
      </c>
      <c r="AF355" s="179">
        <v>75.2</v>
      </c>
      <c r="AG355" s="179">
        <v>0</v>
      </c>
      <c r="AH355" s="179">
        <v>0</v>
      </c>
      <c r="AI355" s="179">
        <v>3.1</v>
      </c>
      <c r="AJ355" s="179">
        <v>0</v>
      </c>
      <c r="AK355" s="179">
        <v>0</v>
      </c>
      <c r="AL355">
        <v>12</v>
      </c>
      <c r="AM355">
        <v>2023</v>
      </c>
      <c r="AN355" s="250"/>
      <c r="AP355" t="str">
        <f>IF(BD_Bloqueados[[#This Row],[Analista ]]&lt;&gt;"Ana C",MID(BD_Bloqueados[[#This Row],[ID]],3,5),MID(BD_Bloqueados[[#This Row],[ID]],4,5))</f>
        <v>35223</v>
      </c>
      <c r="AQ355">
        <v>364</v>
      </c>
      <c r="AR355">
        <v>2023</v>
      </c>
      <c r="AS355" s="72">
        <v>44927</v>
      </c>
      <c r="AT355" s="72">
        <v>45290</v>
      </c>
      <c r="AU355">
        <v>12</v>
      </c>
    </row>
    <row r="356" spans="1:47">
      <c r="A356" s="265" t="s">
        <v>2715</v>
      </c>
      <c r="B356">
        <v>2</v>
      </c>
      <c r="C356" s="72">
        <v>45278</v>
      </c>
      <c r="D356">
        <v>52</v>
      </c>
      <c r="E356" s="173">
        <v>0.47430555555555554</v>
      </c>
      <c r="F356" t="s">
        <v>78</v>
      </c>
      <c r="G356" t="s">
        <v>27</v>
      </c>
      <c r="H356" t="s">
        <v>140</v>
      </c>
      <c r="I356" t="s">
        <v>621</v>
      </c>
      <c r="J356" t="s">
        <v>618</v>
      </c>
      <c r="K356" t="s">
        <v>1168</v>
      </c>
      <c r="L356" t="s">
        <v>77</v>
      </c>
      <c r="M356" t="s">
        <v>661</v>
      </c>
      <c r="N356">
        <v>76097645</v>
      </c>
      <c r="O356" t="s">
        <v>497</v>
      </c>
      <c r="P356" s="154">
        <v>10000704</v>
      </c>
      <c r="Q356" t="s">
        <v>138</v>
      </c>
      <c r="R356" t="s">
        <v>79</v>
      </c>
      <c r="S356" t="s">
        <v>2716</v>
      </c>
      <c r="T356" t="s">
        <v>2717</v>
      </c>
      <c r="U356" t="s">
        <v>2718</v>
      </c>
      <c r="V356" t="s">
        <v>2719</v>
      </c>
      <c r="W356" t="s">
        <v>101</v>
      </c>
      <c r="X356" t="s">
        <v>129</v>
      </c>
      <c r="Y356" s="229">
        <v>15</v>
      </c>
      <c r="Z356" s="176"/>
      <c r="AA356">
        <v>95115023</v>
      </c>
      <c r="AD356" s="199"/>
      <c r="AE356" s="199"/>
      <c r="AF356" s="179"/>
      <c r="AG356" s="179"/>
      <c r="AH356" s="179"/>
      <c r="AI356" s="179"/>
      <c r="AJ356" s="179"/>
      <c r="AK356" s="179"/>
      <c r="AL356">
        <v>12</v>
      </c>
      <c r="AM356">
        <v>2023</v>
      </c>
      <c r="AN356" s="250"/>
      <c r="AP356" t="str">
        <f>IF(BD_Bloqueados[[#This Row],[Analista ]]&lt;&gt;"Ana C",MID(BD_Bloqueados[[#This Row],[ID]],3,5),MID(BD_Bloqueados[[#This Row],[ID]],4,5))</f>
        <v>35223</v>
      </c>
      <c r="AQ356">
        <v>364</v>
      </c>
      <c r="AR356">
        <v>2023</v>
      </c>
      <c r="AS356" s="72">
        <v>44927</v>
      </c>
      <c r="AT356" s="72">
        <v>45290</v>
      </c>
      <c r="AU356">
        <v>12</v>
      </c>
    </row>
    <row r="357" spans="1:47">
      <c r="A357" s="265" t="s">
        <v>2720</v>
      </c>
      <c r="B357">
        <v>2</v>
      </c>
      <c r="C357" s="72">
        <v>45278</v>
      </c>
      <c r="D357">
        <v>52</v>
      </c>
      <c r="E357" s="173">
        <v>0.47430555555555554</v>
      </c>
      <c r="F357" t="s">
        <v>78</v>
      </c>
      <c r="G357" t="s">
        <v>27</v>
      </c>
      <c r="H357" t="s">
        <v>140</v>
      </c>
      <c r="I357" t="s">
        <v>621</v>
      </c>
      <c r="J357" t="s">
        <v>618</v>
      </c>
      <c r="K357" t="s">
        <v>1168</v>
      </c>
      <c r="L357" t="s">
        <v>77</v>
      </c>
      <c r="M357" t="s">
        <v>465</v>
      </c>
      <c r="N357">
        <v>77155281</v>
      </c>
      <c r="O357" t="s">
        <v>315</v>
      </c>
      <c r="P357" s="154">
        <v>10003283</v>
      </c>
      <c r="Q357" t="s">
        <v>138</v>
      </c>
      <c r="R357" t="s">
        <v>79</v>
      </c>
      <c r="S357" t="s">
        <v>2716</v>
      </c>
      <c r="T357" t="s">
        <v>2717</v>
      </c>
      <c r="U357" t="s">
        <v>2718</v>
      </c>
      <c r="V357" t="s">
        <v>2721</v>
      </c>
      <c r="W357" t="s">
        <v>101</v>
      </c>
      <c r="X357" t="s">
        <v>129</v>
      </c>
      <c r="Y357" s="229">
        <v>30</v>
      </c>
      <c r="Z357" s="176">
        <v>0</v>
      </c>
      <c r="AA357">
        <v>348</v>
      </c>
      <c r="AD357" s="199"/>
      <c r="AE357" s="199"/>
      <c r="AF357" s="179"/>
      <c r="AG357" s="179"/>
      <c r="AH357" s="179"/>
      <c r="AI357" s="179"/>
      <c r="AJ357" s="179"/>
      <c r="AK357" s="179"/>
      <c r="AL357">
        <v>12</v>
      </c>
      <c r="AM357">
        <v>2023</v>
      </c>
      <c r="AN357" s="250"/>
      <c r="AP357" t="str">
        <f>IF(BD_Bloqueados[[#This Row],[Analista ]]&lt;&gt;"Ana C",MID(BD_Bloqueados[[#This Row],[ID]],3,5),MID(BD_Bloqueados[[#This Row],[ID]],4,5))</f>
        <v>35223</v>
      </c>
      <c r="AQ357">
        <v>364</v>
      </c>
      <c r="AR357">
        <v>2023</v>
      </c>
      <c r="AS357" s="72">
        <v>44927</v>
      </c>
      <c r="AT357" s="72">
        <v>45290</v>
      </c>
      <c r="AU357">
        <v>12</v>
      </c>
    </row>
    <row r="358" spans="1:47">
      <c r="A358" s="265" t="s">
        <v>2722</v>
      </c>
      <c r="B358">
        <v>2</v>
      </c>
      <c r="C358" s="72">
        <v>45278</v>
      </c>
      <c r="D358">
        <v>52</v>
      </c>
      <c r="E358" s="173">
        <v>0.53402777777777777</v>
      </c>
      <c r="F358" t="s">
        <v>78</v>
      </c>
      <c r="G358" t="s">
        <v>27</v>
      </c>
      <c r="H358" t="s">
        <v>189</v>
      </c>
      <c r="I358" t="s">
        <v>621</v>
      </c>
      <c r="J358" t="s">
        <v>618</v>
      </c>
      <c r="K358" t="s">
        <v>1168</v>
      </c>
      <c r="L358" t="s">
        <v>108</v>
      </c>
      <c r="M358" t="s">
        <v>1029</v>
      </c>
      <c r="N358">
        <v>967555800</v>
      </c>
      <c r="O358" t="s">
        <v>771</v>
      </c>
      <c r="P358" s="154">
        <v>13030094</v>
      </c>
      <c r="Q358" t="s">
        <v>138</v>
      </c>
      <c r="R358" t="s">
        <v>79</v>
      </c>
      <c r="S358" t="s">
        <v>2723</v>
      </c>
      <c r="T358" t="s">
        <v>2724</v>
      </c>
      <c r="U358" t="s">
        <v>2725</v>
      </c>
      <c r="V358" t="s">
        <v>2726</v>
      </c>
      <c r="W358" t="s">
        <v>101</v>
      </c>
      <c r="X358" t="s">
        <v>129</v>
      </c>
      <c r="Y358" s="229">
        <v>646</v>
      </c>
      <c r="Z358" s="176">
        <v>745053.33333333337</v>
      </c>
      <c r="AA358">
        <v>352</v>
      </c>
      <c r="AB358" t="s">
        <v>2727</v>
      </c>
      <c r="AC358" t="s">
        <v>1686</v>
      </c>
      <c r="AD358" s="199">
        <v>0.46500000000000002</v>
      </c>
      <c r="AE358" s="199" t="s">
        <v>1374</v>
      </c>
      <c r="AF358" s="179">
        <v>30.7</v>
      </c>
      <c r="AG358" s="179">
        <v>261.2</v>
      </c>
      <c r="AH358" s="179">
        <v>152.1</v>
      </c>
      <c r="AI358" s="179">
        <v>81.599999999999994</v>
      </c>
      <c r="AJ358" s="179">
        <v>10.7</v>
      </c>
      <c r="AK358" s="179">
        <v>0</v>
      </c>
      <c r="AL358">
        <v>12</v>
      </c>
      <c r="AM358">
        <v>2023</v>
      </c>
      <c r="AN358" s="250"/>
      <c r="AP358" t="str">
        <f>IF(BD_Bloqueados[[#This Row],[Analista ]]&lt;&gt;"Ana C",MID(BD_Bloqueados[[#This Row],[ID]],3,5),MID(BD_Bloqueados[[#This Row],[ID]],4,5))</f>
        <v>35223</v>
      </c>
      <c r="AQ358">
        <v>364</v>
      </c>
      <c r="AR358">
        <v>2023</v>
      </c>
      <c r="AS358" s="72">
        <v>44927</v>
      </c>
      <c r="AT358" s="72">
        <v>45290</v>
      </c>
      <c r="AU358">
        <v>12</v>
      </c>
    </row>
    <row r="359" spans="1:47">
      <c r="A359" s="265" t="s">
        <v>2728</v>
      </c>
      <c r="B359">
        <v>2</v>
      </c>
      <c r="C359" s="72">
        <v>45278</v>
      </c>
      <c r="D359">
        <v>52</v>
      </c>
      <c r="E359" s="173">
        <v>0.57291666666666663</v>
      </c>
      <c r="F359" t="s">
        <v>109</v>
      </c>
      <c r="G359" t="s">
        <v>27</v>
      </c>
      <c r="H359" t="s">
        <v>189</v>
      </c>
      <c r="I359" t="s">
        <v>635</v>
      </c>
      <c r="J359" t="s">
        <v>618</v>
      </c>
      <c r="K359" t="s">
        <v>1999</v>
      </c>
      <c r="L359" t="s">
        <v>108</v>
      </c>
      <c r="M359" t="s">
        <v>1029</v>
      </c>
      <c r="N359">
        <v>967555800</v>
      </c>
      <c r="O359" t="s">
        <v>771</v>
      </c>
      <c r="P359" s="154">
        <v>13030094</v>
      </c>
      <c r="Q359" t="s">
        <v>138</v>
      </c>
      <c r="R359" t="s">
        <v>589</v>
      </c>
      <c r="S359" t="s">
        <v>2729</v>
      </c>
      <c r="T359" t="s">
        <v>2730</v>
      </c>
      <c r="U359" t="s">
        <v>2731</v>
      </c>
      <c r="V359" t="s">
        <v>2732</v>
      </c>
      <c r="W359" t="s">
        <v>101</v>
      </c>
      <c r="X359" t="s">
        <v>156</v>
      </c>
      <c r="Y359">
        <v>166.25</v>
      </c>
      <c r="Z359" s="176">
        <v>191737.73387096776</v>
      </c>
      <c r="AA359">
        <v>352</v>
      </c>
      <c r="AB359" t="s">
        <v>1290</v>
      </c>
      <c r="AC359" t="s">
        <v>1252</v>
      </c>
      <c r="AD359" s="199">
        <v>0.46500000000000002</v>
      </c>
      <c r="AE359" s="199" t="s">
        <v>1292</v>
      </c>
      <c r="AF359" s="179">
        <v>30.689</v>
      </c>
      <c r="AG359" s="179">
        <v>261.2</v>
      </c>
      <c r="AH359" s="179">
        <v>152.1</v>
      </c>
      <c r="AI359" s="179">
        <v>81.599999999999994</v>
      </c>
      <c r="AJ359" s="179">
        <v>10.7</v>
      </c>
      <c r="AK359" s="179">
        <v>0</v>
      </c>
      <c r="AL359">
        <v>12</v>
      </c>
      <c r="AM359">
        <v>2023</v>
      </c>
      <c r="AN359" s="250" t="s">
        <v>1611</v>
      </c>
      <c r="AP359" t="str">
        <f>IF(BD_Bloqueados[[#This Row],[Analista ]]&lt;&gt;"Ana C",MID(BD_Bloqueados[[#This Row],[ID]],3,5),MID(BD_Bloqueados[[#This Row],[ID]],4,5))</f>
        <v>35223</v>
      </c>
      <c r="AQ359">
        <v>364</v>
      </c>
      <c r="AR359">
        <v>2023</v>
      </c>
      <c r="AS359" s="72">
        <v>44927</v>
      </c>
      <c r="AT359" s="72">
        <v>45290</v>
      </c>
      <c r="AU359">
        <v>12</v>
      </c>
    </row>
    <row r="360" spans="1:47">
      <c r="A360" s="265" t="s">
        <v>2733</v>
      </c>
      <c r="B360">
        <v>2</v>
      </c>
      <c r="C360" s="72">
        <v>45276</v>
      </c>
      <c r="D360">
        <v>51</v>
      </c>
      <c r="E360" s="173">
        <v>0.65972222222222221</v>
      </c>
      <c r="F360" t="s">
        <v>109</v>
      </c>
      <c r="G360" t="s">
        <v>29</v>
      </c>
      <c r="H360" t="s">
        <v>165</v>
      </c>
      <c r="I360" t="s">
        <v>212</v>
      </c>
      <c r="J360" t="s">
        <v>2734</v>
      </c>
      <c r="K360" t="s">
        <v>2735</v>
      </c>
      <c r="L360" t="s">
        <v>108</v>
      </c>
      <c r="M360" t="s">
        <v>1029</v>
      </c>
      <c r="N360">
        <v>967555800</v>
      </c>
      <c r="O360" t="s">
        <v>820</v>
      </c>
      <c r="P360" s="154">
        <v>13030607</v>
      </c>
      <c r="Q360" t="s">
        <v>185</v>
      </c>
      <c r="R360" t="s">
        <v>600</v>
      </c>
      <c r="S360" t="s">
        <v>2736</v>
      </c>
      <c r="T360" t="s">
        <v>2737</v>
      </c>
      <c r="U360" t="s">
        <v>2738</v>
      </c>
      <c r="V360" t="s">
        <v>2739</v>
      </c>
      <c r="W360" t="s">
        <v>101</v>
      </c>
      <c r="X360" t="s">
        <v>156</v>
      </c>
      <c r="Y360">
        <v>1181.95</v>
      </c>
      <c r="Z360" s="176">
        <v>307700.98333333334</v>
      </c>
      <c r="AA360">
        <v>350</v>
      </c>
      <c r="AB360" t="s">
        <v>2740</v>
      </c>
      <c r="AC360" t="s">
        <v>1252</v>
      </c>
      <c r="AD360" s="199">
        <v>0.3</v>
      </c>
      <c r="AE360" s="199" t="s">
        <v>1374</v>
      </c>
      <c r="AF360" s="179">
        <v>0</v>
      </c>
      <c r="AG360" s="179">
        <v>0</v>
      </c>
      <c r="AH360" s="179">
        <v>0</v>
      </c>
      <c r="AI360" s="179">
        <v>78</v>
      </c>
      <c r="AJ360" s="179">
        <v>0.1</v>
      </c>
      <c r="AK360" s="179"/>
      <c r="AL360">
        <v>12</v>
      </c>
      <c r="AM360">
        <v>2023</v>
      </c>
      <c r="AN360" s="250" t="s">
        <v>1611</v>
      </c>
      <c r="AP360" t="str">
        <f>IF(BD_Bloqueados[[#This Row],[Analista ]]&lt;&gt;"Ana C",MID(BD_Bloqueados[[#This Row],[ID]],3,5),MID(BD_Bloqueados[[#This Row],[ID]],4,5))</f>
        <v>35023</v>
      </c>
      <c r="AQ360">
        <v>362</v>
      </c>
      <c r="AR360">
        <v>2023</v>
      </c>
      <c r="AS360" s="72">
        <v>44927</v>
      </c>
      <c r="AT360" s="72">
        <v>45288</v>
      </c>
      <c r="AU360">
        <v>12</v>
      </c>
    </row>
    <row r="361" spans="1:47">
      <c r="A361" s="265" t="s">
        <v>2741</v>
      </c>
      <c r="B361">
        <v>2</v>
      </c>
      <c r="C361" s="72">
        <v>45276</v>
      </c>
      <c r="D361">
        <v>51</v>
      </c>
      <c r="E361" s="173">
        <v>0.625</v>
      </c>
      <c r="F361" t="s">
        <v>109</v>
      </c>
      <c r="G361" t="s">
        <v>28</v>
      </c>
      <c r="H361" t="s">
        <v>165</v>
      </c>
      <c r="I361" t="s">
        <v>212</v>
      </c>
      <c r="J361" t="s">
        <v>2333</v>
      </c>
      <c r="K361" t="s">
        <v>1209</v>
      </c>
      <c r="L361" t="s">
        <v>108</v>
      </c>
      <c r="M361" t="s">
        <v>1029</v>
      </c>
      <c r="N361">
        <v>967555800</v>
      </c>
      <c r="O361" t="s">
        <v>120</v>
      </c>
      <c r="P361" s="154">
        <v>13000012</v>
      </c>
      <c r="Q361" t="s">
        <v>185</v>
      </c>
      <c r="R361" t="s">
        <v>579</v>
      </c>
      <c r="S361" t="s">
        <v>2742</v>
      </c>
      <c r="T361" t="s">
        <v>2743</v>
      </c>
      <c r="U361" t="s">
        <v>2744</v>
      </c>
      <c r="V361" t="s">
        <v>2745</v>
      </c>
      <c r="W361" t="s">
        <v>101</v>
      </c>
      <c r="X361" t="s">
        <v>102</v>
      </c>
      <c r="Y361" s="229">
        <v>1064</v>
      </c>
      <c r="Z361" s="176">
        <v>0</v>
      </c>
      <c r="AA361">
        <v>350</v>
      </c>
      <c r="AB361" t="s">
        <v>1400</v>
      </c>
      <c r="AC361" t="s">
        <v>1629</v>
      </c>
      <c r="AD361" s="199"/>
      <c r="AE361" s="199"/>
      <c r="AF361" s="179"/>
      <c r="AG361" s="179"/>
      <c r="AH361" s="179"/>
      <c r="AI361" s="179"/>
      <c r="AJ361" s="179"/>
      <c r="AK361" s="179"/>
      <c r="AL361">
        <v>12</v>
      </c>
      <c r="AM361">
        <v>2023</v>
      </c>
      <c r="AN361" s="250"/>
      <c r="AP361" t="str">
        <f>IF(BD_Bloqueados[[#This Row],[Analista ]]&lt;&gt;"Ana C",MID(BD_Bloqueados[[#This Row],[ID]],3,5),MID(BD_Bloqueados[[#This Row],[ID]],4,5))</f>
        <v>35023</v>
      </c>
      <c r="AQ361">
        <v>361</v>
      </c>
      <c r="AR361">
        <v>2023</v>
      </c>
      <c r="AS361" s="72">
        <v>44927</v>
      </c>
      <c r="AT361" s="72">
        <v>45287</v>
      </c>
      <c r="AU361">
        <v>12</v>
      </c>
    </row>
    <row r="362" spans="1:47">
      <c r="A362" s="265" t="s">
        <v>2746</v>
      </c>
      <c r="B362">
        <v>2</v>
      </c>
      <c r="C362" s="72">
        <v>45275</v>
      </c>
      <c r="D362">
        <v>51</v>
      </c>
      <c r="E362" s="173">
        <v>8.6805555555555566E-2</v>
      </c>
      <c r="F362" t="s">
        <v>136</v>
      </c>
      <c r="G362" t="s">
        <v>25</v>
      </c>
      <c r="H362" t="s">
        <v>187</v>
      </c>
      <c r="I362" t="s">
        <v>645</v>
      </c>
      <c r="J362" t="s">
        <v>607</v>
      </c>
      <c r="K362" t="s">
        <v>2747</v>
      </c>
      <c r="L362" t="s">
        <v>108</v>
      </c>
      <c r="M362" t="s">
        <v>1029</v>
      </c>
      <c r="N362">
        <v>967555800</v>
      </c>
      <c r="O362" t="s">
        <v>238</v>
      </c>
      <c r="P362" s="154">
        <v>13030210</v>
      </c>
      <c r="Q362" t="s">
        <v>185</v>
      </c>
      <c r="R362" t="s">
        <v>596</v>
      </c>
      <c r="S362" t="s">
        <v>2748</v>
      </c>
      <c r="T362" t="s">
        <v>2749</v>
      </c>
      <c r="U362" t="s">
        <v>2750</v>
      </c>
      <c r="V362" t="s">
        <v>2751</v>
      </c>
      <c r="W362" t="s">
        <v>101</v>
      </c>
      <c r="X362" t="s">
        <v>102</v>
      </c>
      <c r="Y362" s="229">
        <v>480</v>
      </c>
      <c r="Z362" s="176">
        <v>0</v>
      </c>
      <c r="AA362">
        <v>349</v>
      </c>
      <c r="AB362" t="s">
        <v>1441</v>
      </c>
      <c r="AC362" t="s">
        <v>1252</v>
      </c>
      <c r="AD362" s="199"/>
      <c r="AE362" s="199"/>
      <c r="AF362" s="179"/>
      <c r="AG362" s="179"/>
      <c r="AH362" s="179"/>
      <c r="AI362" s="179"/>
      <c r="AJ362" s="179"/>
      <c r="AK362" s="179"/>
      <c r="AL362">
        <v>12</v>
      </c>
      <c r="AM362">
        <v>2023</v>
      </c>
      <c r="AN362" s="250" t="s">
        <v>1283</v>
      </c>
      <c r="AP362" t="str">
        <f>IF(BD_Bloqueados[[#This Row],[Analista ]]&lt;&gt;"Ana C",MID(BD_Bloqueados[[#This Row],[ID]],3,5),MID(BD_Bloqueados[[#This Row],[ID]],4,5))</f>
        <v>34923</v>
      </c>
      <c r="AQ362">
        <v>360</v>
      </c>
      <c r="AR362">
        <v>2023</v>
      </c>
      <c r="AS362" s="72">
        <v>44927</v>
      </c>
      <c r="AT362" s="72">
        <v>45286</v>
      </c>
      <c r="AU362">
        <v>12</v>
      </c>
    </row>
    <row r="363" spans="1:47">
      <c r="A363" s="265" t="s">
        <v>2752</v>
      </c>
      <c r="B363">
        <v>2</v>
      </c>
      <c r="C363" s="72">
        <v>45275</v>
      </c>
      <c r="D363">
        <v>51</v>
      </c>
      <c r="E363" s="173">
        <v>7.2916666666666671E-2</v>
      </c>
      <c r="F363" t="s">
        <v>136</v>
      </c>
      <c r="G363" t="s">
        <v>28</v>
      </c>
      <c r="H363" t="s">
        <v>165</v>
      </c>
      <c r="I363" t="s">
        <v>248</v>
      </c>
      <c r="J363" t="s">
        <v>2681</v>
      </c>
      <c r="K363" t="s">
        <v>1184</v>
      </c>
      <c r="L363" t="s">
        <v>108</v>
      </c>
      <c r="M363" t="s">
        <v>1029</v>
      </c>
      <c r="N363">
        <v>967555800</v>
      </c>
      <c r="O363" t="s">
        <v>362</v>
      </c>
      <c r="P363" s="154">
        <v>12001369</v>
      </c>
      <c r="Q363" t="s">
        <v>138</v>
      </c>
      <c r="R363" t="s">
        <v>589</v>
      </c>
      <c r="S363" t="s">
        <v>2753</v>
      </c>
      <c r="T363" t="s">
        <v>2754</v>
      </c>
      <c r="U363" t="s">
        <v>2755</v>
      </c>
      <c r="V363" t="s">
        <v>2756</v>
      </c>
      <c r="W363" t="s">
        <v>101</v>
      </c>
      <c r="X363" t="s">
        <v>102</v>
      </c>
      <c r="Y363" s="229">
        <v>507.6</v>
      </c>
      <c r="Z363" s="176">
        <v>0</v>
      </c>
      <c r="AA363">
        <v>349</v>
      </c>
      <c r="AB363" t="s">
        <v>1356</v>
      </c>
      <c r="AC363" t="s">
        <v>1349</v>
      </c>
      <c r="AD363" s="199"/>
      <c r="AE363" s="199"/>
      <c r="AF363" s="179"/>
      <c r="AG363" s="179"/>
      <c r="AH363" s="179"/>
      <c r="AI363" s="179"/>
      <c r="AJ363" s="179"/>
      <c r="AK363" s="179"/>
      <c r="AL363">
        <v>12</v>
      </c>
      <c r="AM363">
        <v>2023</v>
      </c>
      <c r="AN363" s="250"/>
      <c r="AP363" t="str">
        <f>IF(BD_Bloqueados[[#This Row],[Analista ]]&lt;&gt;"Ana C",MID(BD_Bloqueados[[#This Row],[ID]],3,5),MID(BD_Bloqueados[[#This Row],[ID]],4,5))</f>
        <v>34923</v>
      </c>
      <c r="AQ363">
        <v>354</v>
      </c>
      <c r="AR363">
        <v>2023</v>
      </c>
      <c r="AS363" s="72">
        <v>44927</v>
      </c>
      <c r="AT363" s="72">
        <v>45280</v>
      </c>
      <c r="AU363">
        <v>12</v>
      </c>
    </row>
    <row r="364" spans="1:47">
      <c r="A364" s="265" t="s">
        <v>2757</v>
      </c>
      <c r="B364">
        <v>2</v>
      </c>
      <c r="C364" s="72">
        <v>45274</v>
      </c>
      <c r="D364">
        <v>51</v>
      </c>
      <c r="E364" s="173">
        <v>0.16666666666666666</v>
      </c>
      <c r="F364" t="s">
        <v>136</v>
      </c>
      <c r="G364" t="s">
        <v>27</v>
      </c>
      <c r="H364" t="s">
        <v>189</v>
      </c>
      <c r="I364" t="s">
        <v>645</v>
      </c>
      <c r="J364" t="s">
        <v>2681</v>
      </c>
      <c r="K364" t="s">
        <v>2758</v>
      </c>
      <c r="L364" t="s">
        <v>108</v>
      </c>
      <c r="M364" t="s">
        <v>1029</v>
      </c>
      <c r="N364">
        <v>967555800</v>
      </c>
      <c r="O364" t="s">
        <v>195</v>
      </c>
      <c r="P364" s="154">
        <v>13030093</v>
      </c>
      <c r="Q364" t="s">
        <v>138</v>
      </c>
      <c r="R364" t="s">
        <v>589</v>
      </c>
      <c r="S364" t="s">
        <v>2759</v>
      </c>
      <c r="T364" t="s">
        <v>2760</v>
      </c>
      <c r="U364" t="s">
        <v>2761</v>
      </c>
      <c r="V364" t="s">
        <v>2762</v>
      </c>
      <c r="W364" t="s">
        <v>101</v>
      </c>
      <c r="X364" t="s">
        <v>156</v>
      </c>
      <c r="Y364" s="229">
        <v>173</v>
      </c>
      <c r="Z364" s="176">
        <v>120058.27956989247</v>
      </c>
      <c r="AA364">
        <v>348</v>
      </c>
      <c r="AB364" t="s">
        <v>1290</v>
      </c>
      <c r="AC364" t="s">
        <v>1349</v>
      </c>
      <c r="AD364" s="199">
        <v>0.46500000000000002</v>
      </c>
      <c r="AE364" s="199" t="s">
        <v>1374</v>
      </c>
      <c r="AF364" s="179">
        <v>9.6</v>
      </c>
      <c r="AG364" s="179">
        <v>259.60000000000002</v>
      </c>
      <c r="AH364" s="179">
        <v>0</v>
      </c>
      <c r="AI364" s="179">
        <v>43.9</v>
      </c>
      <c r="AJ364" s="179">
        <v>9.6</v>
      </c>
      <c r="AK364" s="179">
        <v>0</v>
      </c>
      <c r="AL364">
        <v>12</v>
      </c>
      <c r="AM364">
        <v>2023</v>
      </c>
      <c r="AN364" s="250"/>
      <c r="AP364" t="str">
        <f>IF(BD_Bloqueados[[#This Row],[Analista ]]&lt;&gt;"Ana C",MID(BD_Bloqueados[[#This Row],[ID]],3,5),MID(BD_Bloqueados[[#This Row],[ID]],4,5))</f>
        <v>34823</v>
      </c>
      <c r="AQ364">
        <v>354</v>
      </c>
      <c r="AR364">
        <v>2023</v>
      </c>
      <c r="AS364" s="72">
        <v>44927</v>
      </c>
      <c r="AT364" s="72">
        <v>45280</v>
      </c>
      <c r="AU364">
        <v>12</v>
      </c>
    </row>
    <row r="365" spans="1:47">
      <c r="A365" s="265" t="s">
        <v>2763</v>
      </c>
      <c r="B365">
        <v>2</v>
      </c>
      <c r="C365" s="72">
        <v>45274</v>
      </c>
      <c r="D365">
        <v>51</v>
      </c>
      <c r="E365" s="173">
        <v>0.98958333333333337</v>
      </c>
      <c r="F365" t="s">
        <v>136</v>
      </c>
      <c r="G365" t="s">
        <v>28</v>
      </c>
      <c r="H365" t="s">
        <v>210</v>
      </c>
      <c r="I365" t="s">
        <v>248</v>
      </c>
      <c r="J365" t="s">
        <v>2681</v>
      </c>
      <c r="K365" t="s">
        <v>2764</v>
      </c>
      <c r="L365" t="s">
        <v>108</v>
      </c>
      <c r="M365" t="s">
        <v>1029</v>
      </c>
      <c r="N365">
        <v>967555800</v>
      </c>
      <c r="O365" t="s">
        <v>263</v>
      </c>
      <c r="P365" s="154">
        <v>13030282</v>
      </c>
      <c r="Q365" t="s">
        <v>80</v>
      </c>
      <c r="R365" t="s">
        <v>589</v>
      </c>
      <c r="S365" t="s">
        <v>2765</v>
      </c>
      <c r="T365" t="s">
        <v>2766</v>
      </c>
      <c r="U365" t="s">
        <v>2767</v>
      </c>
      <c r="V365" t="s">
        <v>2768</v>
      </c>
      <c r="W365" t="s">
        <v>101</v>
      </c>
      <c r="X365" t="s">
        <v>156</v>
      </c>
      <c r="Y365" s="229">
        <v>245</v>
      </c>
      <c r="Z365" s="176">
        <v>78828.749999999985</v>
      </c>
      <c r="AA365">
        <v>347</v>
      </c>
      <c r="AB365" t="s">
        <v>2769</v>
      </c>
      <c r="AC365" t="s">
        <v>1252</v>
      </c>
      <c r="AD365" s="199">
        <v>0.4</v>
      </c>
      <c r="AE365" s="199" t="s">
        <v>1374</v>
      </c>
      <c r="AF365" s="179">
        <v>0</v>
      </c>
      <c r="AG365" s="179">
        <v>0</v>
      </c>
      <c r="AH365" s="179">
        <v>0</v>
      </c>
      <c r="AI365" s="179">
        <v>119.8</v>
      </c>
      <c r="AJ365" s="179">
        <v>8.9</v>
      </c>
      <c r="AK365" s="179">
        <v>0</v>
      </c>
      <c r="AL365">
        <v>12</v>
      </c>
      <c r="AM365">
        <v>2023</v>
      </c>
      <c r="AN365" s="250" t="s">
        <v>1611</v>
      </c>
      <c r="AP365" t="str">
        <f>IF(BD_Bloqueados[[#This Row],[Analista ]]&lt;&gt;"Ana C",MID(BD_Bloqueados[[#This Row],[ID]],3,5),MID(BD_Bloqueados[[#This Row],[ID]],4,5))</f>
        <v>34823</v>
      </c>
      <c r="AQ365">
        <v>353</v>
      </c>
      <c r="AR365">
        <v>2023</v>
      </c>
      <c r="AS365" s="72">
        <v>44927</v>
      </c>
      <c r="AT365" s="72">
        <v>45279</v>
      </c>
      <c r="AU365">
        <v>12</v>
      </c>
    </row>
    <row r="366" spans="1:47">
      <c r="A366" s="265" t="s">
        <v>2770</v>
      </c>
      <c r="B366">
        <v>2</v>
      </c>
      <c r="C366" s="72">
        <v>45274</v>
      </c>
      <c r="D366">
        <v>51</v>
      </c>
      <c r="E366" s="173">
        <v>1.0416666666666666E-2</v>
      </c>
      <c r="F366" t="s">
        <v>136</v>
      </c>
      <c r="G366" t="s">
        <v>23</v>
      </c>
      <c r="H366" t="s">
        <v>228</v>
      </c>
      <c r="I366" t="s">
        <v>635</v>
      </c>
      <c r="J366" t="s">
        <v>576</v>
      </c>
      <c r="K366" t="s">
        <v>2771</v>
      </c>
      <c r="L366" t="s">
        <v>108</v>
      </c>
      <c r="M366" t="s">
        <v>1029</v>
      </c>
      <c r="N366">
        <v>967555800</v>
      </c>
      <c r="O366" t="s">
        <v>238</v>
      </c>
      <c r="P366" s="154">
        <v>13030210</v>
      </c>
      <c r="Q366" t="s">
        <v>80</v>
      </c>
      <c r="R366" t="s">
        <v>589</v>
      </c>
      <c r="S366" t="s">
        <v>2772</v>
      </c>
      <c r="T366" t="s">
        <v>2773</v>
      </c>
      <c r="U366" t="s">
        <v>2774</v>
      </c>
      <c r="V366" t="s">
        <v>2775</v>
      </c>
      <c r="W366" t="s">
        <v>101</v>
      </c>
      <c r="X366" t="s">
        <v>156</v>
      </c>
      <c r="Y366" s="229">
        <v>480</v>
      </c>
      <c r="Z366" s="176">
        <v>38448.000000000007</v>
      </c>
      <c r="AA366">
        <v>348</v>
      </c>
      <c r="AB366" t="s">
        <v>1363</v>
      </c>
      <c r="AC366" t="s">
        <v>1349</v>
      </c>
      <c r="AD366" s="199">
        <v>1</v>
      </c>
      <c r="AE366" s="199" t="s">
        <v>1292</v>
      </c>
      <c r="AF366" s="179">
        <v>0</v>
      </c>
      <c r="AG366" s="179">
        <v>44.4</v>
      </c>
      <c r="AH366" s="179">
        <v>0</v>
      </c>
      <c r="AI366" s="179">
        <v>28.5</v>
      </c>
      <c r="AJ366" s="179">
        <v>7.2</v>
      </c>
      <c r="AK366" s="179">
        <v>0</v>
      </c>
      <c r="AL366">
        <v>12</v>
      </c>
      <c r="AM366">
        <v>2023</v>
      </c>
      <c r="AN366" s="250"/>
      <c r="AP366" t="str">
        <f>IF(BD_Bloqueados[[#This Row],[Analista ]]&lt;&gt;"Ana C",MID(BD_Bloqueados[[#This Row],[ID]],3,5),MID(BD_Bloqueados[[#This Row],[ID]],4,5))</f>
        <v>34823</v>
      </c>
      <c r="AQ366">
        <v>354</v>
      </c>
      <c r="AR366">
        <v>2023</v>
      </c>
      <c r="AS366" s="72">
        <v>44927</v>
      </c>
      <c r="AT366" s="72">
        <v>45280</v>
      </c>
      <c r="AU366">
        <v>12</v>
      </c>
    </row>
    <row r="367" spans="1:47">
      <c r="A367" s="265" t="s">
        <v>2776</v>
      </c>
      <c r="B367">
        <v>2</v>
      </c>
      <c r="C367" s="72">
        <v>45274</v>
      </c>
      <c r="D367">
        <v>51</v>
      </c>
      <c r="E367" s="173">
        <v>0.50694444444444442</v>
      </c>
      <c r="F367" t="s">
        <v>136</v>
      </c>
      <c r="G367" t="s">
        <v>27</v>
      </c>
      <c r="H367" t="s">
        <v>209</v>
      </c>
      <c r="I367" t="s">
        <v>645</v>
      </c>
      <c r="J367" t="s">
        <v>2681</v>
      </c>
      <c r="K367" t="s">
        <v>2777</v>
      </c>
      <c r="L367" t="s">
        <v>108</v>
      </c>
      <c r="M367" t="s">
        <v>1029</v>
      </c>
      <c r="N367">
        <v>967555800</v>
      </c>
      <c r="O367" t="s">
        <v>154</v>
      </c>
      <c r="P367" s="154">
        <v>13030471</v>
      </c>
      <c r="Q367" t="s">
        <v>138</v>
      </c>
      <c r="R367" t="s">
        <v>589</v>
      </c>
      <c r="S367" t="s">
        <v>2778</v>
      </c>
      <c r="T367" t="s">
        <v>2779</v>
      </c>
      <c r="U367" t="s">
        <v>2780</v>
      </c>
      <c r="V367" t="s">
        <v>2781</v>
      </c>
      <c r="W367" t="s">
        <v>101</v>
      </c>
      <c r="X367" t="s">
        <v>156</v>
      </c>
      <c r="Y367" s="229">
        <v>1154</v>
      </c>
      <c r="Z367" s="176">
        <f>SUM(BD_Bloqueados[[#This Row],[MMPP]:[GASN]])*BD_Bloqueados[[#This Row],[Cantidad (kg)]]/1</f>
        <v>1320983.8</v>
      </c>
      <c r="AA367">
        <v>347</v>
      </c>
      <c r="AB367" t="s">
        <v>1714</v>
      </c>
      <c r="AC367" t="s">
        <v>2091</v>
      </c>
      <c r="AD367" s="199">
        <v>1</v>
      </c>
      <c r="AE367" s="199" t="s">
        <v>1292</v>
      </c>
      <c r="AF367" s="179">
        <v>16.5</v>
      </c>
      <c r="AG367" s="179">
        <v>119</v>
      </c>
      <c r="AH367" s="179">
        <v>726.2</v>
      </c>
      <c r="AI367" s="179">
        <v>270.5</v>
      </c>
      <c r="AJ367" s="179">
        <v>12.5</v>
      </c>
      <c r="AK367" s="179">
        <v>0</v>
      </c>
      <c r="AL367">
        <v>12</v>
      </c>
      <c r="AM367">
        <v>2023</v>
      </c>
      <c r="AN367" s="250"/>
      <c r="AP367" t="str">
        <f>IF(BD_Bloqueados[[#This Row],[Analista ]]&lt;&gt;"Ana C",MID(BD_Bloqueados[[#This Row],[ID]],3,5),MID(BD_Bloqueados[[#This Row],[ID]],4,5))</f>
        <v>34823</v>
      </c>
      <c r="AQ367">
        <v>353</v>
      </c>
      <c r="AR367">
        <v>2023</v>
      </c>
      <c r="AS367" s="72">
        <v>44927</v>
      </c>
      <c r="AT367" s="72">
        <v>45279</v>
      </c>
      <c r="AU367">
        <v>12</v>
      </c>
    </row>
    <row r="368" spans="1:47" ht="15" thickBot="1">
      <c r="A368" s="191" t="s">
        <v>2782</v>
      </c>
      <c r="B368">
        <v>2</v>
      </c>
      <c r="C368" s="72">
        <v>45274</v>
      </c>
      <c r="D368">
        <v>51</v>
      </c>
      <c r="E368" s="173">
        <v>0.14583333333333334</v>
      </c>
      <c r="F368" t="s">
        <v>136</v>
      </c>
      <c r="G368" s="264" t="s">
        <v>31</v>
      </c>
      <c r="H368" s="264" t="s">
        <v>31</v>
      </c>
      <c r="I368" t="s">
        <v>635</v>
      </c>
      <c r="J368" t="s">
        <v>576</v>
      </c>
      <c r="K368" t="s">
        <v>2124</v>
      </c>
      <c r="L368" t="s">
        <v>108</v>
      </c>
      <c r="M368" t="s">
        <v>1029</v>
      </c>
      <c r="N368">
        <v>967555800</v>
      </c>
      <c r="O368" s="264" t="s">
        <v>2783</v>
      </c>
      <c r="P368" s="154">
        <v>13030428</v>
      </c>
      <c r="Q368" t="s">
        <v>185</v>
      </c>
      <c r="R368" t="s">
        <v>578</v>
      </c>
      <c r="S368" t="s">
        <v>2784</v>
      </c>
      <c r="T368" s="277" t="s">
        <v>2785</v>
      </c>
      <c r="U368" t="s">
        <v>2786</v>
      </c>
      <c r="V368" s="277" t="s">
        <v>2787</v>
      </c>
      <c r="W368" t="s">
        <v>101</v>
      </c>
      <c r="X368" t="s">
        <v>156</v>
      </c>
      <c r="Y368" s="229"/>
      <c r="Z368" s="176">
        <v>0</v>
      </c>
      <c r="AA368">
        <v>347</v>
      </c>
      <c r="AB368" t="s">
        <v>1400</v>
      </c>
      <c r="AC368" t="s">
        <v>2091</v>
      </c>
      <c r="AD368" s="199">
        <v>1</v>
      </c>
      <c r="AE368" s="199"/>
      <c r="AF368" s="179"/>
      <c r="AG368" s="179"/>
      <c r="AH368" s="179"/>
      <c r="AI368" s="179"/>
      <c r="AJ368" s="179"/>
      <c r="AK368" s="179"/>
      <c r="AL368">
        <v>12</v>
      </c>
      <c r="AM368">
        <v>2023</v>
      </c>
      <c r="AN368" s="250"/>
      <c r="AP368" t="str">
        <f>IF(BD_Bloqueados[[#This Row],[Analista ]]&lt;&gt;"Ana C",MID(BD_Bloqueados[[#This Row],[ID]],3,5),MID(BD_Bloqueados[[#This Row],[ID]],4,5))</f>
        <v>34823</v>
      </c>
      <c r="AQ368">
        <v>353</v>
      </c>
      <c r="AR368">
        <v>2023</v>
      </c>
      <c r="AS368" s="72">
        <v>44927</v>
      </c>
      <c r="AT368" s="72">
        <v>45279</v>
      </c>
      <c r="AU368">
        <v>12</v>
      </c>
    </row>
    <row r="369" spans="1:47">
      <c r="A369" s="269" t="s">
        <v>2788</v>
      </c>
      <c r="B369">
        <v>2</v>
      </c>
      <c r="C369" s="72">
        <v>45274</v>
      </c>
      <c r="D369">
        <v>51</v>
      </c>
      <c r="E369" s="173">
        <v>0.70833333333333337</v>
      </c>
      <c r="F369" t="s">
        <v>109</v>
      </c>
      <c r="G369" t="s">
        <v>29</v>
      </c>
      <c r="H369" t="s">
        <v>141</v>
      </c>
      <c r="I369" t="s">
        <v>212</v>
      </c>
      <c r="J369" t="s">
        <v>618</v>
      </c>
      <c r="K369" t="s">
        <v>1409</v>
      </c>
      <c r="L369" t="s">
        <v>108</v>
      </c>
      <c r="M369" t="s">
        <v>1029</v>
      </c>
      <c r="N369">
        <v>967555800</v>
      </c>
      <c r="O369" t="s">
        <v>818</v>
      </c>
      <c r="P369" s="154">
        <v>13030606</v>
      </c>
      <c r="Q369" t="s">
        <v>138</v>
      </c>
      <c r="R369" t="s">
        <v>79</v>
      </c>
      <c r="S369" t="s">
        <v>2789</v>
      </c>
      <c r="T369" s="278" t="s">
        <v>2790</v>
      </c>
      <c r="U369" t="s">
        <v>2791</v>
      </c>
      <c r="V369" s="279"/>
      <c r="W369" t="s">
        <v>101</v>
      </c>
      <c r="X369" t="s">
        <v>1291</v>
      </c>
      <c r="Y369" s="229"/>
      <c r="Z369" s="176">
        <v>0</v>
      </c>
      <c r="AA369">
        <v>348</v>
      </c>
      <c r="AB369" t="s">
        <v>1845</v>
      </c>
      <c r="AC369" t="s">
        <v>2792</v>
      </c>
      <c r="AD369" s="199"/>
      <c r="AE369" s="199"/>
      <c r="AF369" s="179"/>
      <c r="AG369" s="179"/>
      <c r="AH369" s="179"/>
      <c r="AI369" s="179"/>
      <c r="AJ369" s="179"/>
      <c r="AK369" s="179"/>
      <c r="AL369">
        <v>12</v>
      </c>
      <c r="AM369">
        <v>2023</v>
      </c>
      <c r="AN369" s="250"/>
      <c r="AP369" t="str">
        <f>IF(BD_Bloqueados[[#This Row],[Analista ]]&lt;&gt;"Ana C",MID(BD_Bloqueados[[#This Row],[ID]],3,5),MID(BD_Bloqueados[[#This Row],[ID]],4,5))</f>
        <v>34823</v>
      </c>
      <c r="AQ369">
        <v>353</v>
      </c>
      <c r="AR369">
        <v>2023</v>
      </c>
      <c r="AS369" s="72">
        <v>44927</v>
      </c>
      <c r="AT369" s="72">
        <v>45279</v>
      </c>
      <c r="AU369">
        <v>12</v>
      </c>
    </row>
    <row r="370" spans="1:47">
      <c r="A370" s="269" t="s">
        <v>2793</v>
      </c>
      <c r="B370">
        <v>2</v>
      </c>
      <c r="C370" s="72">
        <v>45274</v>
      </c>
      <c r="D370">
        <v>51</v>
      </c>
      <c r="E370" s="173">
        <v>0.47569444444444442</v>
      </c>
      <c r="F370" t="s">
        <v>78</v>
      </c>
      <c r="G370" t="s">
        <v>28</v>
      </c>
      <c r="H370" t="s">
        <v>165</v>
      </c>
      <c r="I370" t="s">
        <v>259</v>
      </c>
      <c r="J370" t="s">
        <v>618</v>
      </c>
      <c r="K370" t="s">
        <v>2422</v>
      </c>
      <c r="L370" t="s">
        <v>108</v>
      </c>
      <c r="M370" t="s">
        <v>1029</v>
      </c>
      <c r="N370">
        <v>967555800</v>
      </c>
      <c r="O370" t="s">
        <v>324</v>
      </c>
      <c r="P370" s="154">
        <v>13000469</v>
      </c>
      <c r="Q370" t="s">
        <v>138</v>
      </c>
      <c r="R370" t="s">
        <v>585</v>
      </c>
      <c r="S370" t="s">
        <v>2794</v>
      </c>
      <c r="T370" t="s">
        <v>2795</v>
      </c>
      <c r="U370" t="s">
        <v>2796</v>
      </c>
      <c r="W370" t="s">
        <v>101</v>
      </c>
      <c r="X370" t="s">
        <v>1291</v>
      </c>
      <c r="Y370" s="229"/>
      <c r="Z370" s="176">
        <v>0</v>
      </c>
      <c r="AA370">
        <v>213</v>
      </c>
      <c r="AB370" t="s">
        <v>2140</v>
      </c>
      <c r="AC370" t="s">
        <v>1291</v>
      </c>
      <c r="AD370" s="199">
        <v>0.4</v>
      </c>
      <c r="AE370" s="199" t="s">
        <v>1374</v>
      </c>
      <c r="AF370" s="179">
        <v>0</v>
      </c>
      <c r="AG370" s="179">
        <v>142.9</v>
      </c>
      <c r="AH370" s="179">
        <v>993</v>
      </c>
      <c r="AI370" s="179">
        <v>120.8</v>
      </c>
      <c r="AJ370" s="179">
        <v>9</v>
      </c>
      <c r="AK370" s="179">
        <v>0</v>
      </c>
      <c r="AL370">
        <v>12</v>
      </c>
      <c r="AM370">
        <v>2023</v>
      </c>
      <c r="AN370" s="250"/>
      <c r="AP370" t="str">
        <f>IF(BD_Bloqueados[[#This Row],[Analista ]]&lt;&gt;"Ana C",MID(BD_Bloqueados[[#This Row],[ID]],3,5),MID(BD_Bloqueados[[#This Row],[ID]],4,5))</f>
        <v>34823</v>
      </c>
      <c r="AQ370">
        <v>352</v>
      </c>
      <c r="AR370">
        <v>2023</v>
      </c>
      <c r="AS370" s="72">
        <v>44927</v>
      </c>
      <c r="AT370" s="72">
        <v>45278</v>
      </c>
      <c r="AU370">
        <v>12</v>
      </c>
    </row>
    <row r="371" spans="1:47">
      <c r="A371" t="s">
        <v>2797</v>
      </c>
      <c r="B371">
        <v>2</v>
      </c>
      <c r="C371" s="72">
        <v>45273</v>
      </c>
      <c r="D371">
        <v>51</v>
      </c>
      <c r="E371" s="173">
        <v>9.375E-2</v>
      </c>
      <c r="F371" t="s">
        <v>136</v>
      </c>
      <c r="G371" t="s">
        <v>26</v>
      </c>
      <c r="H371" t="s">
        <v>186</v>
      </c>
      <c r="I371" t="s">
        <v>635</v>
      </c>
      <c r="J371" t="s">
        <v>576</v>
      </c>
      <c r="K371" t="s">
        <v>2218</v>
      </c>
      <c r="L371" t="s">
        <v>108</v>
      </c>
      <c r="M371" t="s">
        <v>1029</v>
      </c>
      <c r="N371">
        <v>967555800</v>
      </c>
      <c r="O371" t="s">
        <v>757</v>
      </c>
      <c r="P371" s="154">
        <v>13030602</v>
      </c>
      <c r="Q371" t="s">
        <v>80</v>
      </c>
      <c r="R371" t="s">
        <v>589</v>
      </c>
      <c r="S371" t="s">
        <v>2798</v>
      </c>
      <c r="T371" t="s">
        <v>2799</v>
      </c>
      <c r="U371" t="s">
        <v>2800</v>
      </c>
      <c r="V371" t="s">
        <v>2801</v>
      </c>
      <c r="W371" t="s">
        <v>101</v>
      </c>
      <c r="X371" t="s">
        <v>156</v>
      </c>
      <c r="Y371" s="229">
        <v>1657.5</v>
      </c>
      <c r="Z371" s="176">
        <v>82212</v>
      </c>
      <c r="AA371">
        <v>347</v>
      </c>
      <c r="AB371" t="s">
        <v>2802</v>
      </c>
      <c r="AC371" t="s">
        <v>1291</v>
      </c>
      <c r="AD371" s="199">
        <v>1</v>
      </c>
      <c r="AE371" s="199" t="s">
        <v>1292</v>
      </c>
      <c r="AF371" s="179">
        <v>0</v>
      </c>
      <c r="AG371" s="179">
        <v>0</v>
      </c>
      <c r="AH371" s="179">
        <v>0</v>
      </c>
      <c r="AI371" s="179">
        <v>49.6</v>
      </c>
      <c r="AJ371" s="179">
        <v>0</v>
      </c>
      <c r="AK371" s="179">
        <v>0</v>
      </c>
      <c r="AL371">
        <v>12</v>
      </c>
      <c r="AM371">
        <v>2023</v>
      </c>
      <c r="AN371" s="250"/>
      <c r="AP371" t="str">
        <f>IF(BD_Bloqueados[[#This Row],[Analista ]]&lt;&gt;"Ana C",MID(BD_Bloqueados[[#This Row],[ID]],3,5),MID(BD_Bloqueados[[#This Row],[ID]],4,5))</f>
        <v>34723</v>
      </c>
      <c r="AQ371">
        <v>352</v>
      </c>
      <c r="AR371">
        <v>2023</v>
      </c>
      <c r="AS371" s="72">
        <v>44927</v>
      </c>
      <c r="AT371" s="72">
        <v>45278</v>
      </c>
      <c r="AU371">
        <v>12</v>
      </c>
    </row>
    <row r="372" spans="1:47">
      <c r="A372" s="265" t="s">
        <v>2803</v>
      </c>
      <c r="B372">
        <v>2</v>
      </c>
      <c r="C372" s="72">
        <v>45273</v>
      </c>
      <c r="D372">
        <v>51</v>
      </c>
      <c r="E372" s="173">
        <v>0.96388888888888891</v>
      </c>
      <c r="F372" t="s">
        <v>136</v>
      </c>
      <c r="G372" t="s">
        <v>28</v>
      </c>
      <c r="H372" t="s">
        <v>81</v>
      </c>
      <c r="I372" t="s">
        <v>248</v>
      </c>
      <c r="J372" t="s">
        <v>2681</v>
      </c>
      <c r="K372" t="s">
        <v>2804</v>
      </c>
      <c r="L372" t="s">
        <v>77</v>
      </c>
      <c r="M372" t="s">
        <v>657</v>
      </c>
      <c r="N372">
        <v>81094100</v>
      </c>
      <c r="O372" t="s">
        <v>510</v>
      </c>
      <c r="P372" s="154">
        <v>10000438</v>
      </c>
      <c r="Q372" t="s">
        <v>138</v>
      </c>
      <c r="R372" t="s">
        <v>620</v>
      </c>
      <c r="S372" t="s">
        <v>2805</v>
      </c>
      <c r="T372" t="s">
        <v>2806</v>
      </c>
      <c r="U372" t="s">
        <v>1421</v>
      </c>
      <c r="W372" t="s">
        <v>101</v>
      </c>
      <c r="X372" t="s">
        <v>129</v>
      </c>
      <c r="Y372" s="229">
        <v>44.5</v>
      </c>
      <c r="Z372" s="176"/>
      <c r="AA372">
        <v>734963</v>
      </c>
      <c r="AD372" s="199"/>
      <c r="AE372" s="199"/>
      <c r="AF372" s="179"/>
      <c r="AG372" s="179"/>
      <c r="AH372" s="179"/>
      <c r="AI372" s="179"/>
      <c r="AJ372" s="179"/>
      <c r="AK372" s="179"/>
      <c r="AL372">
        <v>12</v>
      </c>
      <c r="AM372">
        <v>2023</v>
      </c>
      <c r="AN372" s="250"/>
      <c r="AP372" t="str">
        <f>IF(BD_Bloqueados[[#This Row],[Analista ]]&lt;&gt;"Ana C",MID(BD_Bloqueados[[#This Row],[ID]],3,5),MID(BD_Bloqueados[[#This Row],[ID]],4,5))</f>
        <v>34723</v>
      </c>
      <c r="AQ372">
        <v>352</v>
      </c>
      <c r="AR372">
        <v>2023</v>
      </c>
      <c r="AS372" s="72">
        <v>44927</v>
      </c>
      <c r="AT372" s="72">
        <v>45278</v>
      </c>
      <c r="AU372">
        <v>12</v>
      </c>
    </row>
    <row r="373" spans="1:47">
      <c r="A373" s="265" t="s">
        <v>2807</v>
      </c>
      <c r="B373">
        <v>2</v>
      </c>
      <c r="C373" s="72">
        <v>45273</v>
      </c>
      <c r="D373">
        <v>51</v>
      </c>
      <c r="E373" s="173">
        <v>0.1076388888888889</v>
      </c>
      <c r="F373" t="s">
        <v>109</v>
      </c>
      <c r="G373" t="s">
        <v>28</v>
      </c>
      <c r="H373" t="s">
        <v>165</v>
      </c>
      <c r="I373" t="s">
        <v>212</v>
      </c>
      <c r="J373" t="s">
        <v>2710</v>
      </c>
      <c r="K373" t="s">
        <v>2808</v>
      </c>
      <c r="L373" t="s">
        <v>108</v>
      </c>
      <c r="M373" t="s">
        <v>1029</v>
      </c>
      <c r="N373">
        <v>967555800</v>
      </c>
      <c r="O373" t="s">
        <v>331</v>
      </c>
      <c r="P373" s="154">
        <v>13000471</v>
      </c>
      <c r="Q373" t="s">
        <v>206</v>
      </c>
      <c r="R373" t="s">
        <v>585</v>
      </c>
      <c r="S373" t="s">
        <v>2809</v>
      </c>
      <c r="T373" t="s">
        <v>2810</v>
      </c>
      <c r="U373" t="s">
        <v>2811</v>
      </c>
      <c r="W373" t="s">
        <v>101</v>
      </c>
      <c r="X373" t="s">
        <v>129</v>
      </c>
      <c r="Y373" s="229">
        <v>687</v>
      </c>
      <c r="Z373" s="176">
        <v>2748229.0000000005</v>
      </c>
      <c r="AA373">
        <v>327</v>
      </c>
      <c r="AB373" t="s">
        <v>2140</v>
      </c>
      <c r="AC373" t="s">
        <v>1252</v>
      </c>
      <c r="AD373" s="199">
        <v>0.3</v>
      </c>
      <c r="AE373" s="199" t="s">
        <v>1374</v>
      </c>
      <c r="AF373" s="179">
        <v>0</v>
      </c>
      <c r="AG373" s="179">
        <v>108.6</v>
      </c>
      <c r="AH373" s="179">
        <v>946.9</v>
      </c>
      <c r="AI373" s="179">
        <v>136.19999999999999</v>
      </c>
      <c r="AJ373" s="179">
        <v>8.4</v>
      </c>
      <c r="AK373" s="179">
        <v>0</v>
      </c>
      <c r="AL373">
        <v>12</v>
      </c>
      <c r="AM373">
        <v>2023</v>
      </c>
      <c r="AN373" s="250" t="s">
        <v>2812</v>
      </c>
      <c r="AP373" t="str">
        <f>IF(BD_Bloqueados[[#This Row],[Analista ]]&lt;&gt;"Ana C",MID(BD_Bloqueados[[#This Row],[ID]],3,5),MID(BD_Bloqueados[[#This Row],[ID]],4,5))</f>
        <v>34723</v>
      </c>
      <c r="AQ373">
        <v>352</v>
      </c>
      <c r="AR373">
        <v>2023</v>
      </c>
      <c r="AS373" s="72">
        <v>44927</v>
      </c>
      <c r="AT373" s="72">
        <v>45278</v>
      </c>
      <c r="AU373">
        <v>12</v>
      </c>
    </row>
    <row r="374" spans="1:47">
      <c r="A374" s="265" t="s">
        <v>2813</v>
      </c>
      <c r="B374">
        <v>2</v>
      </c>
      <c r="C374" s="72">
        <v>45273</v>
      </c>
      <c r="D374">
        <v>51</v>
      </c>
      <c r="E374" s="173">
        <v>0.15972222222222224</v>
      </c>
      <c r="F374" t="s">
        <v>136</v>
      </c>
      <c r="G374" t="s">
        <v>24</v>
      </c>
      <c r="H374" t="s">
        <v>188</v>
      </c>
      <c r="I374" t="s">
        <v>635</v>
      </c>
      <c r="J374" t="s">
        <v>576</v>
      </c>
      <c r="K374" t="s">
        <v>2814</v>
      </c>
      <c r="L374" t="s">
        <v>108</v>
      </c>
      <c r="M374" t="s">
        <v>1029</v>
      </c>
      <c r="N374">
        <v>967555800</v>
      </c>
      <c r="O374" t="s">
        <v>124</v>
      </c>
      <c r="P374" s="154">
        <v>13001004</v>
      </c>
      <c r="Q374" t="s">
        <v>80</v>
      </c>
      <c r="R374" t="s">
        <v>589</v>
      </c>
      <c r="S374" t="s">
        <v>2815</v>
      </c>
      <c r="T374" t="s">
        <v>2816</v>
      </c>
      <c r="U374" t="s">
        <v>2817</v>
      </c>
      <c r="V374" t="s">
        <v>2818</v>
      </c>
      <c r="W374" t="s">
        <v>101</v>
      </c>
      <c r="X374" t="s">
        <v>156</v>
      </c>
      <c r="Y374" s="229">
        <v>1353.6</v>
      </c>
      <c r="Z374" s="176">
        <v>65649.599999999991</v>
      </c>
      <c r="AA374">
        <v>347</v>
      </c>
      <c r="AB374" t="s">
        <v>1491</v>
      </c>
      <c r="AC374" t="s">
        <v>1252</v>
      </c>
      <c r="AD374" s="199">
        <v>1</v>
      </c>
      <c r="AE374" s="199">
        <v>0</v>
      </c>
      <c r="AF374" s="179">
        <v>0</v>
      </c>
      <c r="AG374" s="179">
        <v>0</v>
      </c>
      <c r="AH374" s="179">
        <v>0</v>
      </c>
      <c r="AI374" s="179">
        <v>39.299999999999997</v>
      </c>
      <c r="AJ374" s="179">
        <v>9.1999999999999993</v>
      </c>
      <c r="AK374" s="179">
        <v>0</v>
      </c>
      <c r="AL374">
        <v>12</v>
      </c>
      <c r="AM374">
        <v>2023</v>
      </c>
      <c r="AN374" s="250" t="s">
        <v>1283</v>
      </c>
      <c r="AP374" t="str">
        <f>IF(BD_Bloqueados[[#This Row],[Analista ]]&lt;&gt;"Ana C",MID(BD_Bloqueados[[#This Row],[ID]],3,5),MID(BD_Bloqueados[[#This Row],[ID]],4,5))</f>
        <v>34723</v>
      </c>
      <c r="AQ374">
        <v>352</v>
      </c>
      <c r="AR374">
        <v>2023</v>
      </c>
      <c r="AS374" s="72">
        <v>44927</v>
      </c>
      <c r="AT374" s="72">
        <v>45278</v>
      </c>
      <c r="AU374">
        <v>12</v>
      </c>
    </row>
    <row r="375" spans="1:47">
      <c r="A375" s="265" t="s">
        <v>2819</v>
      </c>
      <c r="B375">
        <v>2</v>
      </c>
      <c r="C375" s="72">
        <v>45273</v>
      </c>
      <c r="D375">
        <v>51</v>
      </c>
      <c r="E375" s="173">
        <v>3.4722222222222224E-2</v>
      </c>
      <c r="F375" t="s">
        <v>136</v>
      </c>
      <c r="G375" t="s">
        <v>22</v>
      </c>
      <c r="H375" t="s">
        <v>186</v>
      </c>
      <c r="I375" t="s">
        <v>635</v>
      </c>
      <c r="J375" t="s">
        <v>576</v>
      </c>
      <c r="K375" t="s">
        <v>2814</v>
      </c>
      <c r="L375" t="s">
        <v>108</v>
      </c>
      <c r="M375" t="s">
        <v>1029</v>
      </c>
      <c r="N375">
        <v>967555800</v>
      </c>
      <c r="O375" t="s">
        <v>123</v>
      </c>
      <c r="P375" s="154">
        <v>13030401</v>
      </c>
      <c r="Q375" t="s">
        <v>80</v>
      </c>
      <c r="R375" t="s">
        <v>589</v>
      </c>
      <c r="S375" t="s">
        <v>2820</v>
      </c>
      <c r="T375" t="s">
        <v>2821</v>
      </c>
      <c r="U375" t="s">
        <v>2822</v>
      </c>
      <c r="V375" t="s">
        <v>2823</v>
      </c>
      <c r="W375" t="s">
        <v>101</v>
      </c>
      <c r="X375" t="s">
        <v>102</v>
      </c>
      <c r="Y375" s="229">
        <v>1440</v>
      </c>
      <c r="Z375" s="176">
        <v>0</v>
      </c>
      <c r="AA375">
        <v>347</v>
      </c>
      <c r="AB375" t="s">
        <v>1466</v>
      </c>
      <c r="AC375" t="s">
        <v>1349</v>
      </c>
      <c r="AD375" s="199"/>
      <c r="AE375" s="199"/>
      <c r="AF375" s="179"/>
      <c r="AG375" s="179"/>
      <c r="AH375" s="179"/>
      <c r="AI375" s="179"/>
      <c r="AJ375" s="179"/>
      <c r="AK375" s="179"/>
      <c r="AL375">
        <v>12</v>
      </c>
      <c r="AM375">
        <v>2023</v>
      </c>
      <c r="AN375" s="250"/>
      <c r="AP375" t="str">
        <f>IF(BD_Bloqueados[[#This Row],[Analista ]]&lt;&gt;"Ana C",MID(BD_Bloqueados[[#This Row],[ID]],3,5),MID(BD_Bloqueados[[#This Row],[ID]],4,5))</f>
        <v>34723</v>
      </c>
      <c r="AQ375">
        <v>350</v>
      </c>
      <c r="AR375">
        <v>2023</v>
      </c>
      <c r="AS375" s="72">
        <v>44927</v>
      </c>
      <c r="AT375" s="72">
        <v>45276</v>
      </c>
      <c r="AU375">
        <v>12</v>
      </c>
    </row>
    <row r="376" spans="1:47">
      <c r="A376" s="191" t="s">
        <v>2824</v>
      </c>
      <c r="B376">
        <v>2</v>
      </c>
      <c r="C376" s="72">
        <v>45273</v>
      </c>
      <c r="D376">
        <v>51</v>
      </c>
      <c r="E376" s="173">
        <v>0.15277777777777776</v>
      </c>
      <c r="F376" t="s">
        <v>136</v>
      </c>
      <c r="G376" t="s">
        <v>28</v>
      </c>
      <c r="H376" t="s">
        <v>165</v>
      </c>
      <c r="I376" t="s">
        <v>248</v>
      </c>
      <c r="J376" t="s">
        <v>2681</v>
      </c>
      <c r="K376" t="s">
        <v>1175</v>
      </c>
      <c r="L376" t="s">
        <v>108</v>
      </c>
      <c r="M376" t="s">
        <v>1029</v>
      </c>
      <c r="N376">
        <v>967555800</v>
      </c>
      <c r="O376" t="s">
        <v>216</v>
      </c>
      <c r="P376" s="154">
        <v>13001721</v>
      </c>
      <c r="Q376" t="s">
        <v>138</v>
      </c>
      <c r="R376" t="s">
        <v>585</v>
      </c>
      <c r="S376" t="s">
        <v>2825</v>
      </c>
      <c r="T376" t="s">
        <v>2826</v>
      </c>
      <c r="U376" t="s">
        <v>2827</v>
      </c>
      <c r="W376" t="s">
        <v>101</v>
      </c>
      <c r="X376" t="s">
        <v>1291</v>
      </c>
      <c r="Y376" s="229">
        <v>394</v>
      </c>
      <c r="Z376" s="176"/>
      <c r="AA376" t="s">
        <v>2828</v>
      </c>
      <c r="AB376" t="s">
        <v>2140</v>
      </c>
      <c r="AC376" t="s">
        <v>1252</v>
      </c>
      <c r="AD376" s="199">
        <v>0.3</v>
      </c>
      <c r="AE376" s="199" t="s">
        <v>1374</v>
      </c>
      <c r="AF376" s="179">
        <v>0</v>
      </c>
      <c r="AG376" s="179">
        <v>41</v>
      </c>
      <c r="AH376" s="179">
        <v>496.4</v>
      </c>
      <c r="AI376" s="179">
        <v>78</v>
      </c>
      <c r="AJ376" s="179">
        <v>0.1</v>
      </c>
      <c r="AK376" s="179"/>
      <c r="AL376">
        <v>12</v>
      </c>
      <c r="AM376">
        <v>2023</v>
      </c>
      <c r="AN376" s="250" t="s">
        <v>2812</v>
      </c>
      <c r="AP376" t="str">
        <f>IF(BD_Bloqueados[[#This Row],[Analista ]]&lt;&gt;"Ana C",MID(BD_Bloqueados[[#This Row],[ID]],3,5),MID(BD_Bloqueados[[#This Row],[ID]],4,5))</f>
        <v>34723</v>
      </c>
      <c r="AQ376">
        <v>350</v>
      </c>
      <c r="AR376">
        <v>2023</v>
      </c>
      <c r="AS376" s="72">
        <v>44927</v>
      </c>
      <c r="AT376" s="72">
        <v>45276</v>
      </c>
      <c r="AU376">
        <v>12</v>
      </c>
    </row>
    <row r="377" spans="1:47">
      <c r="A377" t="s">
        <v>3289</v>
      </c>
      <c r="B377">
        <v>2</v>
      </c>
      <c r="C377" s="72">
        <v>45273</v>
      </c>
      <c r="D377">
        <v>51</v>
      </c>
      <c r="E377" s="173">
        <v>0.4861111111111111</v>
      </c>
      <c r="F377" t="s">
        <v>78</v>
      </c>
      <c r="G377" t="s">
        <v>28</v>
      </c>
      <c r="H377" t="s">
        <v>165</v>
      </c>
      <c r="I377" t="s">
        <v>259</v>
      </c>
      <c r="J377" t="s">
        <v>618</v>
      </c>
      <c r="K377" t="s">
        <v>2422</v>
      </c>
      <c r="L377" t="s">
        <v>108</v>
      </c>
      <c r="M377" t="s">
        <v>1029</v>
      </c>
      <c r="N377">
        <v>967555800</v>
      </c>
      <c r="O377" t="s">
        <v>331</v>
      </c>
      <c r="P377" s="154">
        <v>13000471</v>
      </c>
      <c r="Q377" t="s">
        <v>138</v>
      </c>
      <c r="R377" t="s">
        <v>585</v>
      </c>
      <c r="S377" t="s">
        <v>3290</v>
      </c>
      <c r="T377" t="s">
        <v>3291</v>
      </c>
      <c r="U377" t="s">
        <v>3292</v>
      </c>
      <c r="W377" t="s">
        <v>101</v>
      </c>
      <c r="X377" t="s">
        <v>129</v>
      </c>
      <c r="Y377" s="229"/>
      <c r="Z377" s="176">
        <v>0</v>
      </c>
      <c r="AA377">
        <v>327</v>
      </c>
      <c r="AB377" t="s">
        <v>2140</v>
      </c>
      <c r="AC377" t="s">
        <v>1252</v>
      </c>
      <c r="AD377" s="199">
        <v>0.3</v>
      </c>
      <c r="AE377" s="199" t="s">
        <v>1374</v>
      </c>
      <c r="AF377" s="179">
        <v>0</v>
      </c>
      <c r="AG377" s="179">
        <v>108.6</v>
      </c>
      <c r="AH377" s="179">
        <v>946.9</v>
      </c>
      <c r="AI377" s="179">
        <v>136.19999999999999</v>
      </c>
      <c r="AJ377" s="179">
        <v>8.4</v>
      </c>
      <c r="AK377" s="179">
        <v>0</v>
      </c>
      <c r="AL377">
        <v>12</v>
      </c>
      <c r="AM377">
        <v>2023</v>
      </c>
      <c r="AN377" s="250" t="s">
        <v>3257</v>
      </c>
      <c r="AP377" t="str">
        <f>IF(BD_Bloqueados[[#This Row],[Analista ]]&lt;&gt;"Ana C",MID(BD_Bloqueados[[#This Row],[ID]],3,5),MID(BD_Bloqueados[[#This Row],[ID]],4,5))</f>
        <v>34723</v>
      </c>
      <c r="AQ377">
        <v>349</v>
      </c>
      <c r="AR377">
        <v>2023</v>
      </c>
      <c r="AS377" s="72">
        <v>44927</v>
      </c>
      <c r="AT377" s="72">
        <v>45275</v>
      </c>
      <c r="AU377">
        <v>12</v>
      </c>
    </row>
    <row r="378" spans="1:47">
      <c r="A378" t="s">
        <v>3293</v>
      </c>
      <c r="B378">
        <v>2</v>
      </c>
      <c r="C378" s="72">
        <v>45273</v>
      </c>
      <c r="D378">
        <v>51</v>
      </c>
      <c r="E378" s="173">
        <v>0.45833333333333331</v>
      </c>
      <c r="F378" t="s">
        <v>78</v>
      </c>
      <c r="G378" t="s">
        <v>29</v>
      </c>
      <c r="H378" t="s">
        <v>166</v>
      </c>
      <c r="I378" t="s">
        <v>143</v>
      </c>
      <c r="J378" t="s">
        <v>618</v>
      </c>
      <c r="K378" t="s">
        <v>1409</v>
      </c>
      <c r="L378" t="s">
        <v>108</v>
      </c>
      <c r="M378" t="s">
        <v>1029</v>
      </c>
      <c r="N378">
        <v>967555800</v>
      </c>
      <c r="O378" t="s">
        <v>820</v>
      </c>
      <c r="P378" s="154">
        <v>13030607</v>
      </c>
      <c r="Q378" t="s">
        <v>206</v>
      </c>
      <c r="R378" t="s">
        <v>110</v>
      </c>
      <c r="S378" t="s">
        <v>3294</v>
      </c>
      <c r="T378" t="s">
        <v>3295</v>
      </c>
      <c r="U378" t="s">
        <v>1245</v>
      </c>
      <c r="V378" t="s">
        <v>3296</v>
      </c>
      <c r="W378" t="s">
        <v>101</v>
      </c>
      <c r="X378" t="s">
        <v>129</v>
      </c>
      <c r="Y378" s="229"/>
      <c r="Z378" s="176">
        <v>0</v>
      </c>
      <c r="AA378">
        <v>347</v>
      </c>
      <c r="AB378" t="s">
        <v>1407</v>
      </c>
      <c r="AC378" t="s">
        <v>1291</v>
      </c>
      <c r="AD378" s="199">
        <v>0.3</v>
      </c>
      <c r="AE378" s="199" t="s">
        <v>1374</v>
      </c>
      <c r="AF378" s="179">
        <v>0</v>
      </c>
      <c r="AG378" s="179">
        <v>41</v>
      </c>
      <c r="AH378" s="179">
        <v>496.4</v>
      </c>
      <c r="AI378" s="179">
        <v>78</v>
      </c>
      <c r="AJ378" s="179">
        <v>0.1</v>
      </c>
      <c r="AK378" s="179">
        <v>0</v>
      </c>
      <c r="AL378">
        <v>12</v>
      </c>
      <c r="AM378">
        <v>2023</v>
      </c>
      <c r="AN378" s="250"/>
      <c r="AP378" t="str">
        <f>IF(BD_Bloqueados[[#This Row],[Analista ]]&lt;&gt;"Ana C",MID(BD_Bloqueados[[#This Row],[ID]],3,5),MID(BD_Bloqueados[[#This Row],[ID]],4,5))</f>
        <v>34723</v>
      </c>
      <c r="AQ378">
        <v>349</v>
      </c>
      <c r="AR378">
        <v>2023</v>
      </c>
      <c r="AS378" s="72">
        <v>44927</v>
      </c>
      <c r="AT378" s="72">
        <v>45275</v>
      </c>
      <c r="AU378">
        <v>12</v>
      </c>
    </row>
    <row r="379" spans="1:47">
      <c r="A379" s="265" t="s">
        <v>2829</v>
      </c>
      <c r="B379">
        <v>2</v>
      </c>
      <c r="C379" s="72">
        <v>45272</v>
      </c>
      <c r="D379">
        <v>51</v>
      </c>
      <c r="E379" s="173">
        <v>8.3333333333333329E-2</v>
      </c>
      <c r="F379" t="s">
        <v>136</v>
      </c>
      <c r="G379" t="s">
        <v>28</v>
      </c>
      <c r="H379" t="s">
        <v>165</v>
      </c>
      <c r="I379" t="s">
        <v>248</v>
      </c>
      <c r="J379" t="s">
        <v>2681</v>
      </c>
      <c r="K379" t="s">
        <v>2830</v>
      </c>
      <c r="L379" t="s">
        <v>108</v>
      </c>
      <c r="M379" t="s">
        <v>1029</v>
      </c>
      <c r="N379">
        <v>967555800</v>
      </c>
      <c r="O379" t="s">
        <v>278</v>
      </c>
      <c r="P379" s="154">
        <v>13030284</v>
      </c>
      <c r="Q379" t="s">
        <v>138</v>
      </c>
      <c r="R379" t="s">
        <v>589</v>
      </c>
      <c r="S379" t="s">
        <v>2831</v>
      </c>
      <c r="T379" t="s">
        <v>2832</v>
      </c>
      <c r="U379" t="s">
        <v>2833</v>
      </c>
      <c r="V379" t="s">
        <v>2834</v>
      </c>
      <c r="W379" t="s">
        <v>101</v>
      </c>
      <c r="X379" t="s">
        <v>102</v>
      </c>
      <c r="Y379" s="229">
        <v>28.8</v>
      </c>
      <c r="Z379" s="176">
        <v>0</v>
      </c>
      <c r="AA379">
        <v>346</v>
      </c>
      <c r="AB379" t="s">
        <v>1356</v>
      </c>
      <c r="AC379" t="s">
        <v>1349</v>
      </c>
      <c r="AD379" s="199"/>
      <c r="AE379" s="199"/>
      <c r="AF379" s="179"/>
      <c r="AG379" s="179"/>
      <c r="AH379" s="179"/>
      <c r="AI379" s="179"/>
      <c r="AJ379" s="179"/>
      <c r="AK379" s="179"/>
      <c r="AL379">
        <v>12</v>
      </c>
      <c r="AM379">
        <v>2023</v>
      </c>
      <c r="AN379" s="250"/>
      <c r="AP379" t="str">
        <f>IF(BD_Bloqueados[[#This Row],[Analista ]]&lt;&gt;"Ana C",MID(BD_Bloqueados[[#This Row],[ID]],3,5),MID(BD_Bloqueados[[#This Row],[ID]],4,5))</f>
        <v>34623</v>
      </c>
      <c r="AQ379">
        <v>348</v>
      </c>
      <c r="AR379">
        <v>2023</v>
      </c>
      <c r="AS379" s="72">
        <v>44927</v>
      </c>
      <c r="AT379" s="72">
        <v>45274</v>
      </c>
      <c r="AU379">
        <v>12</v>
      </c>
    </row>
    <row r="380" spans="1:47">
      <c r="A380" s="265" t="s">
        <v>2989</v>
      </c>
      <c r="B380">
        <v>2</v>
      </c>
      <c r="C380" s="72">
        <v>45242</v>
      </c>
      <c r="D380">
        <v>51</v>
      </c>
      <c r="E380" s="173">
        <v>0.41666666666666669</v>
      </c>
      <c r="F380" t="s">
        <v>78</v>
      </c>
      <c r="G380" t="s">
        <v>27</v>
      </c>
      <c r="H380" t="s">
        <v>189</v>
      </c>
      <c r="I380" t="s">
        <v>259</v>
      </c>
      <c r="J380" t="s">
        <v>618</v>
      </c>
      <c r="K380" t="s">
        <v>2990</v>
      </c>
      <c r="L380" t="s">
        <v>108</v>
      </c>
      <c r="M380" t="s">
        <v>1029</v>
      </c>
      <c r="N380">
        <v>967555800</v>
      </c>
      <c r="O380" t="s">
        <v>92</v>
      </c>
      <c r="P380" s="154">
        <v>13030409</v>
      </c>
      <c r="Q380" t="s">
        <v>138</v>
      </c>
      <c r="R380" t="s">
        <v>589</v>
      </c>
      <c r="S380" t="s">
        <v>2991</v>
      </c>
      <c r="T380" t="s">
        <v>2992</v>
      </c>
      <c r="U380" t="s">
        <v>2993</v>
      </c>
      <c r="V380" t="s">
        <v>2994</v>
      </c>
      <c r="W380" t="s">
        <v>101</v>
      </c>
      <c r="X380" t="s">
        <v>156</v>
      </c>
      <c r="Y380" s="229">
        <v>222.5</v>
      </c>
      <c r="Z380" s="176">
        <v>161599.99999999997</v>
      </c>
      <c r="AA380">
        <v>345</v>
      </c>
      <c r="AB380" t="s">
        <v>1290</v>
      </c>
      <c r="AC380" t="s">
        <v>1349</v>
      </c>
      <c r="AD380" s="199">
        <v>0.44500000000000001</v>
      </c>
      <c r="AE380" s="199" t="s">
        <v>1292</v>
      </c>
      <c r="AF380" s="179">
        <v>19.2</v>
      </c>
      <c r="AG380" s="179">
        <v>256.39999999999998</v>
      </c>
      <c r="AH380" s="179">
        <v>0</v>
      </c>
      <c r="AI380" s="179">
        <v>43.9</v>
      </c>
      <c r="AJ380" s="179">
        <v>3.7</v>
      </c>
      <c r="AK380" s="179">
        <v>0</v>
      </c>
      <c r="AL380">
        <v>12</v>
      </c>
      <c r="AM380">
        <v>2023</v>
      </c>
      <c r="AN380" s="250"/>
      <c r="AP380" t="str">
        <f>IF(BD_Bloqueados[[#This Row],[Analista ]]&lt;&gt;"Ana C",MID(BD_Bloqueados[[#This Row],[ID]],3,5),MID(BD_Bloqueados[[#This Row],[ID]],4,5))</f>
        <v>34523</v>
      </c>
      <c r="AQ380">
        <v>348</v>
      </c>
      <c r="AR380">
        <v>2023</v>
      </c>
      <c r="AS380" s="72">
        <v>44927</v>
      </c>
      <c r="AT380" s="72">
        <v>45274</v>
      </c>
      <c r="AU380">
        <v>12</v>
      </c>
    </row>
    <row r="381" spans="1:47">
      <c r="A381" t="s">
        <v>2858</v>
      </c>
      <c r="B381">
        <v>2</v>
      </c>
      <c r="C381" s="72">
        <v>45150</v>
      </c>
      <c r="D381">
        <v>50</v>
      </c>
      <c r="E381" s="173">
        <v>5.2777777777777778E-2</v>
      </c>
      <c r="F381" t="s">
        <v>136</v>
      </c>
      <c r="G381" t="s">
        <v>27</v>
      </c>
      <c r="H381" t="s">
        <v>189</v>
      </c>
      <c r="I381" t="s">
        <v>635</v>
      </c>
      <c r="J381" t="s">
        <v>2681</v>
      </c>
      <c r="K381" t="s">
        <v>2859</v>
      </c>
      <c r="L381" t="s">
        <v>108</v>
      </c>
      <c r="M381" t="s">
        <v>1029</v>
      </c>
      <c r="N381">
        <v>967555800</v>
      </c>
      <c r="O381" t="s">
        <v>195</v>
      </c>
      <c r="P381" s="154">
        <v>13030093</v>
      </c>
      <c r="Q381" t="s">
        <v>185</v>
      </c>
      <c r="R381" t="s">
        <v>579</v>
      </c>
      <c r="S381" t="s">
        <v>2860</v>
      </c>
      <c r="T381" t="s">
        <v>2861</v>
      </c>
      <c r="U381" t="s">
        <v>2862</v>
      </c>
      <c r="V381" t="s">
        <v>2863</v>
      </c>
      <c r="W381" t="s">
        <v>101</v>
      </c>
      <c r="X381" t="s">
        <v>129</v>
      </c>
      <c r="Y381" s="229">
        <v>28.5</v>
      </c>
      <c r="Z381" s="176">
        <v>80406.774193548365</v>
      </c>
      <c r="AA381">
        <v>342</v>
      </c>
      <c r="AB381" t="s">
        <v>1400</v>
      </c>
      <c r="AC381" t="s">
        <v>1291</v>
      </c>
      <c r="AD381" s="199">
        <v>0.46500000000000002</v>
      </c>
      <c r="AE381" s="199" t="s">
        <v>1374</v>
      </c>
      <c r="AF381" s="179">
        <v>817.1</v>
      </c>
      <c r="AG381" s="179">
        <v>259.60000000000002</v>
      </c>
      <c r="AH381" s="179">
        <v>152.1</v>
      </c>
      <c r="AI381" s="179">
        <v>73.5</v>
      </c>
      <c r="AJ381" s="179">
        <v>9.6</v>
      </c>
      <c r="AK381" s="179">
        <v>0</v>
      </c>
      <c r="AL381">
        <v>12</v>
      </c>
      <c r="AM381">
        <v>2023</v>
      </c>
      <c r="AN381" s="250"/>
      <c r="AP381" t="str">
        <f>IF(BD_Bloqueados[[#This Row],[Analista ]]&lt;&gt;"Ana C",MID(BD_Bloqueados[[#This Row],[ID]],3,5),MID(BD_Bloqueados[[#This Row],[ID]],4,5))</f>
        <v>34223</v>
      </c>
      <c r="AQ381">
        <v>348</v>
      </c>
      <c r="AR381">
        <v>2023</v>
      </c>
      <c r="AS381" s="72">
        <v>44927</v>
      </c>
      <c r="AT381" s="72">
        <v>45274</v>
      </c>
      <c r="AU381">
        <v>12</v>
      </c>
    </row>
    <row r="382" spans="1:47">
      <c r="A382" s="265" t="s">
        <v>3586</v>
      </c>
      <c r="B382">
        <v>2</v>
      </c>
      <c r="C382" s="72">
        <v>45058</v>
      </c>
      <c r="D382">
        <v>50</v>
      </c>
      <c r="E382" s="173">
        <v>0.39583333333333331</v>
      </c>
      <c r="F382" t="s">
        <v>78</v>
      </c>
      <c r="G382" t="s">
        <v>31</v>
      </c>
      <c r="H382" t="s">
        <v>84</v>
      </c>
      <c r="I382" t="s">
        <v>248</v>
      </c>
      <c r="J382" t="s">
        <v>2204</v>
      </c>
      <c r="K382" t="s">
        <v>3587</v>
      </c>
      <c r="L382" t="s">
        <v>108</v>
      </c>
      <c r="M382" t="s">
        <v>1029</v>
      </c>
      <c r="N382">
        <v>967555800</v>
      </c>
      <c r="O382" t="s">
        <v>97</v>
      </c>
      <c r="P382" s="154">
        <v>13030492</v>
      </c>
      <c r="Q382" t="s">
        <v>138</v>
      </c>
      <c r="R382" t="s">
        <v>589</v>
      </c>
      <c r="S382" t="s">
        <v>3588</v>
      </c>
      <c r="T382" t="s">
        <v>3589</v>
      </c>
      <c r="U382" t="s">
        <v>3590</v>
      </c>
      <c r="V382" t="s">
        <v>3591</v>
      </c>
      <c r="W382" t="s">
        <v>101</v>
      </c>
      <c r="X382" t="s">
        <v>156</v>
      </c>
      <c r="Y382" s="229">
        <v>211.2</v>
      </c>
      <c r="Z382" s="176">
        <v>63909.120000000003</v>
      </c>
      <c r="AA382">
        <v>338</v>
      </c>
      <c r="AB382" t="s">
        <v>1290</v>
      </c>
      <c r="AC382" t="s">
        <v>1252</v>
      </c>
      <c r="AD382" s="199">
        <v>1</v>
      </c>
      <c r="AE382" s="199" t="s">
        <v>1292</v>
      </c>
      <c r="AF382" s="179">
        <v>2.4</v>
      </c>
      <c r="AG382" s="179">
        <v>132.5</v>
      </c>
      <c r="AH382" s="179">
        <v>0</v>
      </c>
      <c r="AI382" s="179">
        <v>152.69999999999999</v>
      </c>
      <c r="AJ382" s="179">
        <v>15</v>
      </c>
      <c r="AK382" s="179">
        <v>0</v>
      </c>
      <c r="AL382">
        <v>12</v>
      </c>
      <c r="AM382">
        <v>2023</v>
      </c>
      <c r="AN382" s="250" t="s">
        <v>1611</v>
      </c>
      <c r="AP382" t="str">
        <f>IF(BD_Bloqueados[[#This Row],[Analista ]]&lt;&gt;"Ana C",MID(BD_Bloqueados[[#This Row],[ID]],3,5),MID(BD_Bloqueados[[#This Row],[ID]],4,5))</f>
        <v>33923</v>
      </c>
      <c r="AQ382">
        <v>348</v>
      </c>
      <c r="AR382">
        <v>2023</v>
      </c>
      <c r="AS382" s="72">
        <v>44927</v>
      </c>
      <c r="AT382" s="72">
        <v>45274</v>
      </c>
      <c r="AU382">
        <v>12</v>
      </c>
    </row>
    <row r="383" spans="1:47">
      <c r="A383" t="s">
        <v>2893</v>
      </c>
      <c r="B383">
        <v>2</v>
      </c>
      <c r="C383" s="72">
        <v>45259</v>
      </c>
      <c r="D383">
        <v>49</v>
      </c>
      <c r="E383" s="173">
        <v>5.5555555555555552E-2</v>
      </c>
      <c r="F383" t="s">
        <v>136</v>
      </c>
      <c r="G383" t="s">
        <v>31</v>
      </c>
      <c r="H383" t="s">
        <v>84</v>
      </c>
      <c r="I383" t="s">
        <v>615</v>
      </c>
      <c r="J383" t="s">
        <v>591</v>
      </c>
      <c r="K383" t="s">
        <v>1344</v>
      </c>
      <c r="L383" t="s">
        <v>108</v>
      </c>
      <c r="M383" t="s">
        <v>1029</v>
      </c>
      <c r="N383">
        <v>967555800</v>
      </c>
      <c r="O383" t="s">
        <v>97</v>
      </c>
      <c r="P383" s="154">
        <v>13030492</v>
      </c>
      <c r="Q383" t="s">
        <v>138</v>
      </c>
      <c r="R383" t="s">
        <v>589</v>
      </c>
      <c r="S383" t="s">
        <v>2894</v>
      </c>
      <c r="T383" t="s">
        <v>2895</v>
      </c>
      <c r="U383" t="s">
        <v>2896</v>
      </c>
      <c r="V383" t="s">
        <v>2897</v>
      </c>
      <c r="W383" t="s">
        <v>101</v>
      </c>
      <c r="X383" t="s">
        <v>156</v>
      </c>
      <c r="Y383" s="229">
        <v>118.8</v>
      </c>
      <c r="Z383" s="176">
        <v>38016</v>
      </c>
      <c r="AA383">
        <v>332</v>
      </c>
      <c r="AB383" t="s">
        <v>1290</v>
      </c>
      <c r="AC383" t="s">
        <v>1291</v>
      </c>
      <c r="AD383" s="199">
        <v>1</v>
      </c>
      <c r="AE383" s="199" t="s">
        <v>1292</v>
      </c>
      <c r="AF383" s="179">
        <v>2</v>
      </c>
      <c r="AG383" s="179">
        <v>130.9</v>
      </c>
      <c r="AH383" s="179">
        <v>0</v>
      </c>
      <c r="AI383" s="179">
        <v>183.2</v>
      </c>
      <c r="AJ383" s="179">
        <v>1.5</v>
      </c>
      <c r="AK383" s="179">
        <v>2.4</v>
      </c>
      <c r="AL383">
        <v>11</v>
      </c>
      <c r="AM383">
        <v>2023</v>
      </c>
      <c r="AN383" s="250"/>
      <c r="AP383" t="str">
        <f>IF(BD_Bloqueados[[#This Row],[Analista ]]&lt;&gt;"Ana C",MID(BD_Bloqueados[[#This Row],[ID]],3,5),MID(BD_Bloqueados[[#This Row],[ID]],4,5))</f>
        <v>33323</v>
      </c>
      <c r="AQ383">
        <v>348</v>
      </c>
      <c r="AR383">
        <v>2023</v>
      </c>
      <c r="AS383" s="72">
        <v>44927</v>
      </c>
      <c r="AT383" s="72">
        <v>45274</v>
      </c>
      <c r="AU383">
        <v>12</v>
      </c>
    </row>
    <row r="384" spans="1:47">
      <c r="A384" t="s">
        <v>2898</v>
      </c>
      <c r="B384">
        <v>2</v>
      </c>
      <c r="C384" s="72">
        <v>45258</v>
      </c>
      <c r="D384">
        <v>49</v>
      </c>
      <c r="E384" s="173">
        <v>6.25E-2</v>
      </c>
      <c r="F384" t="s">
        <v>136</v>
      </c>
      <c r="G384" t="s">
        <v>31</v>
      </c>
      <c r="H384" t="s">
        <v>84</v>
      </c>
      <c r="I384" t="s">
        <v>615</v>
      </c>
      <c r="J384" t="s">
        <v>591</v>
      </c>
      <c r="K384" t="s">
        <v>2899</v>
      </c>
      <c r="L384" t="s">
        <v>108</v>
      </c>
      <c r="M384" t="s">
        <v>1029</v>
      </c>
      <c r="N384">
        <v>967555800</v>
      </c>
      <c r="O384" t="s">
        <v>99</v>
      </c>
      <c r="P384" s="154">
        <v>13001756</v>
      </c>
      <c r="Q384" t="s">
        <v>138</v>
      </c>
      <c r="R384" t="s">
        <v>589</v>
      </c>
      <c r="S384" t="s">
        <v>2900</v>
      </c>
      <c r="T384" t="s">
        <v>2901</v>
      </c>
      <c r="U384" t="s">
        <v>2902</v>
      </c>
      <c r="V384" t="s">
        <v>2903</v>
      </c>
      <c r="W384" t="s">
        <v>101</v>
      </c>
      <c r="X384" t="s">
        <v>156</v>
      </c>
      <c r="Y384" s="229">
        <v>324</v>
      </c>
      <c r="Z384" s="176">
        <v>103032</v>
      </c>
      <c r="AA384">
        <v>331</v>
      </c>
      <c r="AB384" t="s">
        <v>1290</v>
      </c>
      <c r="AC384" t="s">
        <v>1349</v>
      </c>
      <c r="AD384" s="199">
        <v>1</v>
      </c>
      <c r="AE384" s="199" t="s">
        <v>1292</v>
      </c>
      <c r="AF384" s="179">
        <v>2.4</v>
      </c>
      <c r="AG384" s="179">
        <v>130.9</v>
      </c>
      <c r="AH384" s="179">
        <v>0</v>
      </c>
      <c r="AI384" s="179">
        <v>183.2</v>
      </c>
      <c r="AJ384" s="179">
        <v>1.5</v>
      </c>
      <c r="AK384" s="179">
        <v>0</v>
      </c>
      <c r="AL384">
        <v>11</v>
      </c>
      <c r="AM384">
        <v>2023</v>
      </c>
      <c r="AN384" s="250"/>
      <c r="AP384" t="str">
        <f>IF(BD_Bloqueados[[#This Row],[Analista ]]&lt;&gt;"Ana C",MID(BD_Bloqueados[[#This Row],[ID]],3,5),MID(BD_Bloqueados[[#This Row],[ID]],4,5))</f>
        <v>33223</v>
      </c>
      <c r="AQ384">
        <v>348</v>
      </c>
      <c r="AR384">
        <v>2023</v>
      </c>
      <c r="AS384" s="72">
        <v>44927</v>
      </c>
      <c r="AT384" s="72">
        <v>45274</v>
      </c>
      <c r="AU384">
        <v>12</v>
      </c>
    </row>
    <row r="385" spans="1:47">
      <c r="A385" t="s">
        <v>2904</v>
      </c>
      <c r="B385">
        <v>2</v>
      </c>
      <c r="C385" s="72">
        <v>45258</v>
      </c>
      <c r="D385">
        <v>49</v>
      </c>
      <c r="E385" s="173">
        <v>0.40208333333333335</v>
      </c>
      <c r="F385" t="s">
        <v>78</v>
      </c>
      <c r="G385" t="s">
        <v>27</v>
      </c>
      <c r="H385" t="s">
        <v>209</v>
      </c>
      <c r="I385" t="s">
        <v>635</v>
      </c>
      <c r="J385" t="s">
        <v>618</v>
      </c>
      <c r="K385" t="s">
        <v>1059</v>
      </c>
      <c r="L385" t="s">
        <v>108</v>
      </c>
      <c r="M385" t="s">
        <v>1029</v>
      </c>
      <c r="N385">
        <v>967555800</v>
      </c>
      <c r="O385" t="s">
        <v>99</v>
      </c>
      <c r="P385" s="154">
        <v>13001756</v>
      </c>
      <c r="Q385" t="s">
        <v>138</v>
      </c>
      <c r="R385" t="s">
        <v>589</v>
      </c>
      <c r="S385" t="s">
        <v>2905</v>
      </c>
      <c r="T385" t="s">
        <v>2906</v>
      </c>
      <c r="U385" t="s">
        <v>2907</v>
      </c>
      <c r="V385" t="s">
        <v>2908</v>
      </c>
      <c r="W385" t="s">
        <v>101</v>
      </c>
      <c r="X385" t="s">
        <v>156</v>
      </c>
      <c r="Y385" s="229">
        <v>2916</v>
      </c>
      <c r="Z385" s="176">
        <v>927288</v>
      </c>
      <c r="AA385">
        <v>331</v>
      </c>
      <c r="AB385" t="s">
        <v>1714</v>
      </c>
      <c r="AC385" t="s">
        <v>1291</v>
      </c>
      <c r="AD385" s="199">
        <v>1</v>
      </c>
      <c r="AE385" s="199" t="s">
        <v>1292</v>
      </c>
      <c r="AF385" s="179">
        <v>2.4</v>
      </c>
      <c r="AG385" s="179">
        <v>130.9</v>
      </c>
      <c r="AH385" s="179">
        <v>0</v>
      </c>
      <c r="AI385" s="179">
        <v>183.2</v>
      </c>
      <c r="AJ385" s="179">
        <v>1.5</v>
      </c>
      <c r="AK385" s="179">
        <v>0</v>
      </c>
      <c r="AL385">
        <v>11</v>
      </c>
      <c r="AM385">
        <v>2023</v>
      </c>
      <c r="AN385" s="250"/>
      <c r="AP385" t="str">
        <f>IF(BD_Bloqueados[[#This Row],[Analista ]]&lt;&gt;"Ana C",MID(BD_Bloqueados[[#This Row],[ID]],3,5),MID(BD_Bloqueados[[#This Row],[ID]],4,5))</f>
        <v>33223</v>
      </c>
      <c r="AQ385">
        <v>348</v>
      </c>
      <c r="AR385">
        <v>2023</v>
      </c>
      <c r="AS385" s="72">
        <v>44927</v>
      </c>
      <c r="AT385" s="72">
        <v>45274</v>
      </c>
      <c r="AU385">
        <v>12</v>
      </c>
    </row>
    <row r="386" spans="1:47">
      <c r="A386" t="s">
        <v>3409</v>
      </c>
      <c r="B386">
        <v>2</v>
      </c>
      <c r="C386" s="72">
        <v>45258</v>
      </c>
      <c r="D386">
        <v>49</v>
      </c>
      <c r="E386" s="173">
        <v>0.99305555555555547</v>
      </c>
      <c r="F386" t="s">
        <v>136</v>
      </c>
      <c r="G386" t="s">
        <v>25</v>
      </c>
      <c r="H386" t="s">
        <v>164</v>
      </c>
      <c r="I386" t="s">
        <v>259</v>
      </c>
      <c r="J386" t="s">
        <v>591</v>
      </c>
      <c r="K386" t="s">
        <v>3410</v>
      </c>
      <c r="L386" t="s">
        <v>108</v>
      </c>
      <c r="M386" t="s">
        <v>1029</v>
      </c>
      <c r="N386">
        <v>967555800</v>
      </c>
      <c r="O386" t="s">
        <v>93</v>
      </c>
      <c r="P386" s="154">
        <v>12001396</v>
      </c>
      <c r="Q386" t="s">
        <v>111</v>
      </c>
      <c r="R386" t="s">
        <v>110</v>
      </c>
      <c r="S386" t="s">
        <v>3411</v>
      </c>
      <c r="T386" t="s">
        <v>3412</v>
      </c>
      <c r="U386" t="s">
        <v>3413</v>
      </c>
      <c r="V386" t="s">
        <v>3414</v>
      </c>
      <c r="W386" t="s">
        <v>101</v>
      </c>
      <c r="X386" t="s">
        <v>129</v>
      </c>
      <c r="Y386" s="229">
        <v>4672</v>
      </c>
      <c r="Z386" s="176">
        <v>2294886.3999999999</v>
      </c>
      <c r="AA386">
        <v>331</v>
      </c>
      <c r="AB386" t="s">
        <v>2215</v>
      </c>
      <c r="AC386" t="s">
        <v>1349</v>
      </c>
      <c r="AD386" s="199">
        <v>1</v>
      </c>
      <c r="AE386" s="199" t="s">
        <v>1292</v>
      </c>
      <c r="AF386" s="179">
        <v>460</v>
      </c>
      <c r="AG386" s="179">
        <v>4.0999999999999996</v>
      </c>
      <c r="AH386" s="179">
        <v>0</v>
      </c>
      <c r="AI386" s="179">
        <v>6.4</v>
      </c>
      <c r="AJ386" s="179">
        <v>20.7</v>
      </c>
      <c r="AK386" s="179">
        <v>18.399999999999999</v>
      </c>
      <c r="AL386">
        <v>11</v>
      </c>
      <c r="AM386">
        <v>2023</v>
      </c>
      <c r="AN386" s="250"/>
      <c r="AP386" t="str">
        <f>IF(BD_Bloqueados[[#This Row],[Analista ]]&lt;&gt;"Ana C",MID(BD_Bloqueados[[#This Row],[ID]],3,5),MID(BD_Bloqueados[[#This Row],[ID]],4,5))</f>
        <v>33223</v>
      </c>
      <c r="AQ386">
        <v>347</v>
      </c>
      <c r="AR386">
        <v>2023</v>
      </c>
      <c r="AS386" s="72">
        <v>44927</v>
      </c>
      <c r="AT386" s="72">
        <v>45273</v>
      </c>
      <c r="AU386">
        <v>12</v>
      </c>
    </row>
    <row r="387" spans="1:47">
      <c r="A387" t="s">
        <v>2909</v>
      </c>
      <c r="B387">
        <v>2</v>
      </c>
      <c r="C387" s="72">
        <v>45252</v>
      </c>
      <c r="D387">
        <v>48</v>
      </c>
      <c r="E387" s="173">
        <v>0.36944444444444446</v>
      </c>
      <c r="F387" t="s">
        <v>78</v>
      </c>
      <c r="G387" t="s">
        <v>27</v>
      </c>
      <c r="H387" t="s">
        <v>140</v>
      </c>
      <c r="I387" t="s">
        <v>212</v>
      </c>
      <c r="J387" t="s">
        <v>2681</v>
      </c>
      <c r="K387" t="s">
        <v>2836</v>
      </c>
      <c r="L387" t="s">
        <v>108</v>
      </c>
      <c r="M387" t="s">
        <v>1029</v>
      </c>
      <c r="N387">
        <v>967555800</v>
      </c>
      <c r="O387" t="s">
        <v>195</v>
      </c>
      <c r="P387" s="154">
        <v>13030093</v>
      </c>
      <c r="Q387" t="s">
        <v>111</v>
      </c>
      <c r="R387" t="s">
        <v>608</v>
      </c>
      <c r="S387" t="s">
        <v>2910</v>
      </c>
      <c r="T387" t="s">
        <v>2911</v>
      </c>
      <c r="U387" t="s">
        <v>2912</v>
      </c>
      <c r="V387" t="s">
        <v>2913</v>
      </c>
      <c r="W387" t="s">
        <v>101</v>
      </c>
      <c r="X387" t="s">
        <v>102</v>
      </c>
      <c r="Y387" s="229">
        <v>1464.75</v>
      </c>
      <c r="Z387" s="176">
        <v>0</v>
      </c>
      <c r="AA387">
        <v>326</v>
      </c>
      <c r="AB387" t="s">
        <v>1685</v>
      </c>
      <c r="AC387" t="s">
        <v>1686</v>
      </c>
      <c r="AD387" s="199"/>
      <c r="AE387" s="199"/>
      <c r="AF387" s="179"/>
      <c r="AG387" s="179"/>
      <c r="AH387" s="179"/>
      <c r="AI387" s="179"/>
      <c r="AJ387" s="179"/>
      <c r="AK387" s="179"/>
      <c r="AL387">
        <v>11</v>
      </c>
      <c r="AM387">
        <v>2023</v>
      </c>
      <c r="AN387" s="250"/>
      <c r="AP387" t="str">
        <f>IF(BD_Bloqueados[[#This Row],[Analista ]]&lt;&gt;"Ana C",MID(BD_Bloqueados[[#This Row],[ID]],3,5),MID(BD_Bloqueados[[#This Row],[ID]],4,5))</f>
        <v>32623</v>
      </c>
      <c r="AQ387">
        <v>347</v>
      </c>
      <c r="AR387">
        <v>2023</v>
      </c>
      <c r="AS387" s="72">
        <v>44927</v>
      </c>
      <c r="AT387" s="72">
        <v>45273</v>
      </c>
      <c r="AU387">
        <v>12</v>
      </c>
    </row>
    <row r="388" spans="1:47">
      <c r="A388" t="s">
        <v>2914</v>
      </c>
      <c r="B388">
        <v>2</v>
      </c>
      <c r="C388" s="72">
        <v>45251</v>
      </c>
      <c r="D388">
        <v>48</v>
      </c>
      <c r="E388" s="173">
        <v>0.3833333333333333</v>
      </c>
      <c r="F388" t="s">
        <v>78</v>
      </c>
      <c r="G388" t="s">
        <v>29</v>
      </c>
      <c r="H388" t="s">
        <v>165</v>
      </c>
      <c r="I388" t="s">
        <v>635</v>
      </c>
      <c r="J388" t="s">
        <v>2681</v>
      </c>
      <c r="K388" t="s">
        <v>2915</v>
      </c>
      <c r="L388" t="s">
        <v>108</v>
      </c>
      <c r="M388" t="s">
        <v>1029</v>
      </c>
      <c r="N388">
        <v>967555800</v>
      </c>
      <c r="O388" t="s">
        <v>820</v>
      </c>
      <c r="P388" s="154">
        <v>13030607</v>
      </c>
      <c r="Q388" t="s">
        <v>206</v>
      </c>
      <c r="R388" t="s">
        <v>579</v>
      </c>
      <c r="S388" t="s">
        <v>2916</v>
      </c>
      <c r="T388" t="s">
        <v>2917</v>
      </c>
      <c r="U388" t="s">
        <v>2918</v>
      </c>
      <c r="V388" t="s">
        <v>2919</v>
      </c>
      <c r="W388" t="s">
        <v>101</v>
      </c>
      <c r="X388" t="s">
        <v>1291</v>
      </c>
      <c r="Y388" s="229" t="s">
        <v>2920</v>
      </c>
      <c r="Z388" s="176">
        <v>0</v>
      </c>
      <c r="AA388">
        <v>324</v>
      </c>
      <c r="AB388" t="s">
        <v>1407</v>
      </c>
      <c r="AC388" t="s">
        <v>1349</v>
      </c>
      <c r="AD388" s="199"/>
      <c r="AE388" s="199"/>
      <c r="AF388" s="179"/>
      <c r="AG388" s="179"/>
      <c r="AH388" s="179"/>
      <c r="AI388" s="179"/>
      <c r="AJ388" s="179"/>
      <c r="AK388" s="179"/>
      <c r="AL388">
        <v>11</v>
      </c>
      <c r="AM388">
        <v>2023</v>
      </c>
      <c r="AN388" s="250"/>
      <c r="AP388" t="str">
        <f>IF(BD_Bloqueados[[#This Row],[Analista ]]&lt;&gt;"Ana C",MID(BD_Bloqueados[[#This Row],[ID]],3,5),MID(BD_Bloqueados[[#This Row],[ID]],4,5))</f>
        <v>32523</v>
      </c>
      <c r="AQ388">
        <v>347</v>
      </c>
      <c r="AR388">
        <v>2023</v>
      </c>
      <c r="AS388" s="72">
        <v>44927</v>
      </c>
      <c r="AT388" s="72">
        <v>45273</v>
      </c>
      <c r="AU388">
        <v>12</v>
      </c>
    </row>
    <row r="389" spans="1:47">
      <c r="A389" t="s">
        <v>2921</v>
      </c>
      <c r="B389">
        <v>2</v>
      </c>
      <c r="C389" s="72">
        <v>45250</v>
      </c>
      <c r="D389">
        <v>48</v>
      </c>
      <c r="E389" s="173">
        <v>0.78125</v>
      </c>
      <c r="F389" t="s">
        <v>109</v>
      </c>
      <c r="G389" t="s">
        <v>28</v>
      </c>
      <c r="H389" t="s">
        <v>81</v>
      </c>
      <c r="I389" t="s">
        <v>190</v>
      </c>
      <c r="J389" t="s">
        <v>618</v>
      </c>
      <c r="K389" t="s">
        <v>1825</v>
      </c>
      <c r="L389" t="s">
        <v>77</v>
      </c>
      <c r="M389" t="s">
        <v>575</v>
      </c>
      <c r="N389">
        <v>76618520</v>
      </c>
      <c r="O389" t="s">
        <v>466</v>
      </c>
      <c r="P389" s="154">
        <v>10000132</v>
      </c>
      <c r="Q389" t="s">
        <v>138</v>
      </c>
      <c r="R389" t="s">
        <v>110</v>
      </c>
      <c r="S389" t="s">
        <v>2922</v>
      </c>
      <c r="T389" t="s">
        <v>2923</v>
      </c>
      <c r="U389" t="s">
        <v>2924</v>
      </c>
      <c r="V389" t="s">
        <v>2925</v>
      </c>
      <c r="W389" t="s">
        <v>101</v>
      </c>
      <c r="X389" t="s">
        <v>129</v>
      </c>
      <c r="Y389" s="229">
        <v>82.5</v>
      </c>
      <c r="Z389" s="176">
        <v>0</v>
      </c>
      <c r="AA389">
        <v>461103</v>
      </c>
      <c r="AB389" t="s">
        <v>2215</v>
      </c>
      <c r="AC389" t="s">
        <v>1535</v>
      </c>
      <c r="AD389" s="199"/>
      <c r="AE389" s="199"/>
      <c r="AF389" s="179"/>
      <c r="AG389" s="179"/>
      <c r="AH389" s="179"/>
      <c r="AI389" s="179"/>
      <c r="AJ389" s="179"/>
      <c r="AK389" s="179"/>
      <c r="AL389">
        <v>11</v>
      </c>
      <c r="AM389">
        <v>2023</v>
      </c>
      <c r="AN389" s="250"/>
      <c r="AP389" t="str">
        <f>IF(BD_Bloqueados[[#This Row],[Analista ]]&lt;&gt;"Ana C",MID(BD_Bloqueados[[#This Row],[ID]],3,5),MID(BD_Bloqueados[[#This Row],[ID]],4,5))</f>
        <v>32423</v>
      </c>
      <c r="AQ389">
        <v>347</v>
      </c>
      <c r="AR389">
        <v>2023</v>
      </c>
      <c r="AS389" s="72">
        <v>44927</v>
      </c>
      <c r="AT389" s="72">
        <v>45273</v>
      </c>
      <c r="AU389">
        <v>12</v>
      </c>
    </row>
    <row r="390" spans="1:47">
      <c r="A390" t="s">
        <v>2926</v>
      </c>
      <c r="B390">
        <v>2</v>
      </c>
      <c r="C390" s="72">
        <v>45248</v>
      </c>
      <c r="D390">
        <v>47</v>
      </c>
      <c r="E390" s="173">
        <v>0.52083333333333337</v>
      </c>
      <c r="F390" t="s">
        <v>78</v>
      </c>
      <c r="G390" t="s">
        <v>27</v>
      </c>
      <c r="H390" t="s">
        <v>677</v>
      </c>
      <c r="I390" t="s">
        <v>190</v>
      </c>
      <c r="J390" t="s">
        <v>618</v>
      </c>
      <c r="K390" t="s">
        <v>2316</v>
      </c>
      <c r="L390" t="s">
        <v>77</v>
      </c>
      <c r="M390" t="s">
        <v>742</v>
      </c>
      <c r="N390">
        <v>76006727</v>
      </c>
      <c r="O390" t="s">
        <v>509</v>
      </c>
      <c r="P390" s="154">
        <v>10003596</v>
      </c>
      <c r="Q390" t="s">
        <v>138</v>
      </c>
      <c r="R390" t="s">
        <v>79</v>
      </c>
      <c r="S390" t="s">
        <v>2927</v>
      </c>
      <c r="T390" t="s">
        <v>2928</v>
      </c>
      <c r="U390" t="s">
        <v>2929</v>
      </c>
      <c r="V390" t="s">
        <v>2930</v>
      </c>
      <c r="W390" t="s">
        <v>101</v>
      </c>
      <c r="X390" t="s">
        <v>102</v>
      </c>
      <c r="Y390" s="229">
        <v>60</v>
      </c>
      <c r="Z390" s="176">
        <v>0</v>
      </c>
      <c r="AA390" t="s">
        <v>2931</v>
      </c>
      <c r="AB390" t="s">
        <v>2932</v>
      </c>
      <c r="AD390" s="199"/>
      <c r="AE390" s="199"/>
      <c r="AF390" s="179"/>
      <c r="AG390" s="179"/>
      <c r="AH390" s="179"/>
      <c r="AI390" s="179"/>
      <c r="AJ390" s="179"/>
      <c r="AK390" s="179"/>
      <c r="AL390">
        <v>11</v>
      </c>
      <c r="AM390">
        <v>2023</v>
      </c>
      <c r="AN390" s="250"/>
      <c r="AP390" t="str">
        <f>IF(BD_Bloqueados[[#This Row],[Analista ]]&lt;&gt;"Ana C",MID(BD_Bloqueados[[#This Row],[ID]],3,5),MID(BD_Bloqueados[[#This Row],[ID]],4,5))</f>
        <v>32223</v>
      </c>
      <c r="AQ390">
        <v>347</v>
      </c>
      <c r="AR390">
        <v>2023</v>
      </c>
      <c r="AS390" s="72">
        <v>44927</v>
      </c>
      <c r="AT390" s="72">
        <v>45273</v>
      </c>
      <c r="AU390">
        <v>12</v>
      </c>
    </row>
    <row r="391" spans="1:47">
      <c r="A391" t="s">
        <v>2933</v>
      </c>
      <c r="B391">
        <v>2</v>
      </c>
      <c r="C391" s="72">
        <v>45247</v>
      </c>
      <c r="D391">
        <v>47</v>
      </c>
      <c r="E391" s="173">
        <v>0.15972222222222224</v>
      </c>
      <c r="F391" t="s">
        <v>136</v>
      </c>
      <c r="G391" t="s">
        <v>28</v>
      </c>
      <c r="H391" t="s">
        <v>81</v>
      </c>
      <c r="I391" t="s">
        <v>645</v>
      </c>
      <c r="J391" t="s">
        <v>599</v>
      </c>
      <c r="K391" t="s">
        <v>1825</v>
      </c>
      <c r="L391" t="s">
        <v>77</v>
      </c>
      <c r="M391" t="s">
        <v>1029</v>
      </c>
      <c r="N391">
        <v>967555800</v>
      </c>
      <c r="O391" t="s">
        <v>2934</v>
      </c>
      <c r="P391" s="154"/>
      <c r="Q391" t="s">
        <v>206</v>
      </c>
      <c r="R391" t="s">
        <v>585</v>
      </c>
      <c r="S391" t="s">
        <v>2935</v>
      </c>
      <c r="T391" t="s">
        <v>2936</v>
      </c>
      <c r="U391" t="s">
        <v>2937</v>
      </c>
      <c r="V391" t="s">
        <v>1532</v>
      </c>
      <c r="W391" t="s">
        <v>101</v>
      </c>
      <c r="X391" t="s">
        <v>129</v>
      </c>
      <c r="Y391" s="229">
        <v>100</v>
      </c>
      <c r="Z391" s="176">
        <v>0</v>
      </c>
      <c r="AA391" t="s">
        <v>2938</v>
      </c>
      <c r="AD391" s="199"/>
      <c r="AE391" s="199"/>
      <c r="AF391" s="179"/>
      <c r="AG391" s="179"/>
      <c r="AH391" s="179"/>
      <c r="AI391" s="179"/>
      <c r="AJ391" s="179"/>
      <c r="AK391" s="179"/>
      <c r="AL391">
        <v>11</v>
      </c>
      <c r="AM391">
        <v>2023</v>
      </c>
      <c r="AN391" s="250"/>
      <c r="AP391" t="str">
        <f>IF(BD_Bloqueados[[#This Row],[Analista ]]&lt;&gt;"Ana C",MID(BD_Bloqueados[[#This Row],[ID]],3,5),MID(BD_Bloqueados[[#This Row],[ID]],4,5))</f>
        <v>32123</v>
      </c>
      <c r="AQ391">
        <v>347</v>
      </c>
      <c r="AR391">
        <v>2023</v>
      </c>
      <c r="AS391" s="72">
        <v>44927</v>
      </c>
      <c r="AT391" s="72">
        <v>45273</v>
      </c>
      <c r="AU391">
        <v>12</v>
      </c>
    </row>
    <row r="392" spans="1:47">
      <c r="A392" t="s">
        <v>2939</v>
      </c>
      <c r="B392">
        <v>2</v>
      </c>
      <c r="C392" s="72">
        <v>45246</v>
      </c>
      <c r="D392">
        <v>47</v>
      </c>
      <c r="E392" s="173">
        <v>0.39583333333333331</v>
      </c>
      <c r="F392" t="s">
        <v>78</v>
      </c>
      <c r="G392" t="s">
        <v>27</v>
      </c>
      <c r="H392" t="s">
        <v>209</v>
      </c>
      <c r="I392" t="s">
        <v>615</v>
      </c>
      <c r="J392" t="s">
        <v>618</v>
      </c>
      <c r="K392" t="s">
        <v>2940</v>
      </c>
      <c r="L392" t="s">
        <v>108</v>
      </c>
      <c r="M392" t="s">
        <v>1029</v>
      </c>
      <c r="N392">
        <v>967555800</v>
      </c>
      <c r="O392" t="s">
        <v>99</v>
      </c>
      <c r="P392" s="154">
        <v>13001756</v>
      </c>
      <c r="Q392" t="s">
        <v>138</v>
      </c>
      <c r="R392" t="s">
        <v>613</v>
      </c>
      <c r="S392" t="s">
        <v>2941</v>
      </c>
      <c r="T392" t="s">
        <v>2942</v>
      </c>
      <c r="U392" t="s">
        <v>2943</v>
      </c>
      <c r="V392" t="s">
        <v>2944</v>
      </c>
      <c r="W392" t="s">
        <v>101</v>
      </c>
      <c r="X392" t="s">
        <v>156</v>
      </c>
      <c r="Y392" s="229">
        <v>8.1</v>
      </c>
      <c r="Z392" s="176">
        <v>2211.2999999999997</v>
      </c>
      <c r="AA392" t="s">
        <v>2945</v>
      </c>
      <c r="AB392" t="s">
        <v>1714</v>
      </c>
      <c r="AC392" t="s">
        <v>1686</v>
      </c>
      <c r="AD392" s="199">
        <v>1</v>
      </c>
      <c r="AE392" s="199" t="s">
        <v>1292</v>
      </c>
      <c r="AF392" s="179">
        <v>15.7</v>
      </c>
      <c r="AG392" s="179">
        <v>105.7</v>
      </c>
      <c r="AH392" s="179">
        <v>0</v>
      </c>
      <c r="AI392" s="179">
        <v>150.1</v>
      </c>
      <c r="AJ392" s="179">
        <v>1.5</v>
      </c>
      <c r="AK392" s="179">
        <v>0</v>
      </c>
      <c r="AL392">
        <v>11</v>
      </c>
      <c r="AM392">
        <v>2023</v>
      </c>
      <c r="AN392" s="250"/>
      <c r="AP392" t="str">
        <f>IF(BD_Bloqueados[[#This Row],[Analista ]]&lt;&gt;"Ana C",MID(BD_Bloqueados[[#This Row],[ID]],3,5),MID(BD_Bloqueados[[#This Row],[ID]],4,5))</f>
        <v>32023</v>
      </c>
      <c r="AQ392">
        <v>346</v>
      </c>
      <c r="AR392">
        <v>2023</v>
      </c>
      <c r="AS392" s="72">
        <v>44927</v>
      </c>
      <c r="AT392" s="72">
        <v>45272</v>
      </c>
      <c r="AU392">
        <v>12</v>
      </c>
    </row>
    <row r="393" spans="1:47">
      <c r="A393" t="s">
        <v>2946</v>
      </c>
      <c r="B393">
        <v>2</v>
      </c>
      <c r="C393" s="72">
        <v>45246</v>
      </c>
      <c r="D393">
        <v>47</v>
      </c>
      <c r="E393" s="173">
        <v>0.15625</v>
      </c>
      <c r="F393" t="s">
        <v>136</v>
      </c>
      <c r="G393" t="s">
        <v>25</v>
      </c>
      <c r="H393" t="s">
        <v>164</v>
      </c>
      <c r="I393" t="s">
        <v>87</v>
      </c>
      <c r="J393" t="s">
        <v>169</v>
      </c>
      <c r="K393" t="s">
        <v>2947</v>
      </c>
      <c r="L393" t="s">
        <v>108</v>
      </c>
      <c r="M393" t="s">
        <v>1029</v>
      </c>
      <c r="N393">
        <v>967555800</v>
      </c>
      <c r="O393" t="s">
        <v>94</v>
      </c>
      <c r="P393" s="154">
        <v>12001397</v>
      </c>
      <c r="Q393" t="s">
        <v>206</v>
      </c>
      <c r="R393" t="s">
        <v>584</v>
      </c>
      <c r="S393" t="s">
        <v>2948</v>
      </c>
      <c r="T393" t="s">
        <v>2949</v>
      </c>
      <c r="U393" t="s">
        <v>2950</v>
      </c>
      <c r="V393" t="s">
        <v>2951</v>
      </c>
      <c r="W393" t="s">
        <v>101</v>
      </c>
      <c r="X393" t="s">
        <v>156</v>
      </c>
      <c r="Y393" s="229">
        <v>675.6</v>
      </c>
      <c r="Z393" s="176"/>
      <c r="AA393">
        <v>320</v>
      </c>
      <c r="AB393" t="s">
        <v>1550</v>
      </c>
      <c r="AC393" t="s">
        <v>1349</v>
      </c>
      <c r="AD393" s="199">
        <v>1</v>
      </c>
      <c r="AE393" s="199" t="s">
        <v>1292</v>
      </c>
      <c r="AF393" s="179">
        <v>405.6</v>
      </c>
      <c r="AG393" s="179">
        <v>5.7</v>
      </c>
      <c r="AH393" s="179">
        <v>0</v>
      </c>
      <c r="AI393" s="179">
        <v>6.1</v>
      </c>
      <c r="AJ393" s="179">
        <v>19.5</v>
      </c>
      <c r="AK393" s="179">
        <v>0</v>
      </c>
      <c r="AL393">
        <v>11</v>
      </c>
      <c r="AM393">
        <v>2023</v>
      </c>
      <c r="AN393" s="250"/>
      <c r="AP393" t="str">
        <f>IF(BD_Bloqueados[[#This Row],[Analista ]]&lt;&gt;"Ana C",MID(BD_Bloqueados[[#This Row],[ID]],3,5),MID(BD_Bloqueados[[#This Row],[ID]],4,5))</f>
        <v>32023</v>
      </c>
      <c r="AQ393">
        <v>345</v>
      </c>
      <c r="AR393">
        <v>2023</v>
      </c>
      <c r="AS393" s="72">
        <v>44927</v>
      </c>
      <c r="AT393" s="72">
        <v>45271</v>
      </c>
      <c r="AU393">
        <v>12</v>
      </c>
    </row>
    <row r="394" spans="1:47">
      <c r="A394" t="s">
        <v>2952</v>
      </c>
      <c r="B394">
        <v>2</v>
      </c>
      <c r="C394" s="72">
        <v>45245</v>
      </c>
      <c r="D394">
        <v>47</v>
      </c>
      <c r="E394" s="173">
        <v>0.44444444444444442</v>
      </c>
      <c r="F394" t="s">
        <v>78</v>
      </c>
      <c r="G394" t="s">
        <v>27</v>
      </c>
      <c r="H394" t="s">
        <v>189</v>
      </c>
      <c r="I394" t="s">
        <v>615</v>
      </c>
      <c r="J394" t="s">
        <v>618</v>
      </c>
      <c r="K394" t="s">
        <v>2367</v>
      </c>
      <c r="L394" t="s">
        <v>77</v>
      </c>
      <c r="M394" t="s">
        <v>666</v>
      </c>
      <c r="N394">
        <v>76005927</v>
      </c>
      <c r="O394" t="s">
        <v>2953</v>
      </c>
      <c r="P394" s="154"/>
      <c r="Q394" t="s">
        <v>206</v>
      </c>
      <c r="R394" t="s">
        <v>226</v>
      </c>
      <c r="S394" t="s">
        <v>2954</v>
      </c>
      <c r="T394" t="s">
        <v>2955</v>
      </c>
      <c r="U394" t="s">
        <v>2956</v>
      </c>
      <c r="W394" t="s">
        <v>101</v>
      </c>
      <c r="X394" t="s">
        <v>129</v>
      </c>
      <c r="Y394" s="229"/>
      <c r="Z394" s="176"/>
      <c r="AA394">
        <v>134787</v>
      </c>
      <c r="AD394" s="199"/>
      <c r="AE394" s="199"/>
      <c r="AF394" s="179"/>
      <c r="AG394" s="179"/>
      <c r="AH394" s="179"/>
      <c r="AI394" s="179"/>
      <c r="AJ394" s="179"/>
      <c r="AK394" s="179"/>
      <c r="AL394">
        <v>11</v>
      </c>
      <c r="AM394">
        <v>2023</v>
      </c>
      <c r="AN394" s="250"/>
      <c r="AP394" t="str">
        <f>IF(BD_Bloqueados[[#This Row],[Analista ]]&lt;&gt;"Ana C",MID(BD_Bloqueados[[#This Row],[ID]],3,5),MID(BD_Bloqueados[[#This Row],[ID]],4,5))</f>
        <v>31923</v>
      </c>
      <c r="AQ394">
        <v>333</v>
      </c>
      <c r="AR394">
        <v>2023</v>
      </c>
      <c r="AS394" s="72">
        <v>44927</v>
      </c>
      <c r="AT394" s="72">
        <v>45259</v>
      </c>
      <c r="AU394">
        <v>11</v>
      </c>
    </row>
    <row r="395" spans="1:47">
      <c r="A395" t="s">
        <v>2957</v>
      </c>
      <c r="B395">
        <v>2</v>
      </c>
      <c r="C395" s="72">
        <v>45245</v>
      </c>
      <c r="D395">
        <v>47</v>
      </c>
      <c r="E395" s="173">
        <v>0.22916666666666666</v>
      </c>
      <c r="F395" t="s">
        <v>136</v>
      </c>
      <c r="G395" t="s">
        <v>29</v>
      </c>
      <c r="H395" t="s">
        <v>165</v>
      </c>
      <c r="I395" t="s">
        <v>645</v>
      </c>
      <c r="J395" t="s">
        <v>599</v>
      </c>
      <c r="K395" t="s">
        <v>2958</v>
      </c>
      <c r="L395" t="s">
        <v>108</v>
      </c>
      <c r="M395" t="s">
        <v>1029</v>
      </c>
      <c r="N395">
        <v>967555800</v>
      </c>
      <c r="O395" t="s">
        <v>818</v>
      </c>
      <c r="P395" s="154">
        <v>13030606</v>
      </c>
      <c r="Q395" t="s">
        <v>206</v>
      </c>
      <c r="R395" t="s">
        <v>110</v>
      </c>
      <c r="S395" t="s">
        <v>2959</v>
      </c>
      <c r="T395" t="s">
        <v>2960</v>
      </c>
      <c r="U395" t="s">
        <v>2961</v>
      </c>
      <c r="V395" t="s">
        <v>2962</v>
      </c>
      <c r="W395" t="s">
        <v>101</v>
      </c>
      <c r="X395" t="s">
        <v>156</v>
      </c>
      <c r="Y395" s="229"/>
      <c r="Z395" s="176">
        <v>0</v>
      </c>
      <c r="AA395">
        <v>319</v>
      </c>
      <c r="AB395" t="s">
        <v>2215</v>
      </c>
      <c r="AC395" t="s">
        <v>1349</v>
      </c>
      <c r="AD395" s="199">
        <v>3.5000000000000003E-2</v>
      </c>
      <c r="AE395" s="199" t="s">
        <v>1374</v>
      </c>
      <c r="AF395" s="179">
        <v>76.5</v>
      </c>
      <c r="AG395" s="179">
        <v>5.9</v>
      </c>
      <c r="AH395" s="179">
        <v>1.9</v>
      </c>
      <c r="AI395" s="179">
        <v>0</v>
      </c>
      <c r="AJ395" s="179">
        <v>0</v>
      </c>
      <c r="AK395" s="179">
        <v>2.7</v>
      </c>
      <c r="AL395">
        <v>11</v>
      </c>
      <c r="AM395">
        <v>2023</v>
      </c>
      <c r="AN395" s="250"/>
      <c r="AP395" t="str">
        <f>IF(BD_Bloqueados[[#This Row],[Analista ]]&lt;&gt;"Ana C",MID(BD_Bloqueados[[#This Row],[ID]],3,5),MID(BD_Bloqueados[[#This Row],[ID]],4,5))</f>
        <v>31923</v>
      </c>
      <c r="AQ395">
        <v>332</v>
      </c>
      <c r="AR395">
        <v>2023</v>
      </c>
      <c r="AS395" s="72">
        <v>44927</v>
      </c>
      <c r="AT395" s="72">
        <v>45258</v>
      </c>
      <c r="AU395">
        <v>11</v>
      </c>
    </row>
    <row r="396" spans="1:47">
      <c r="A396" t="s">
        <v>2963</v>
      </c>
      <c r="B396">
        <v>2</v>
      </c>
      <c r="C396" s="72">
        <v>45245</v>
      </c>
      <c r="D396">
        <v>47</v>
      </c>
      <c r="E396" s="173">
        <v>0.66249999999999998</v>
      </c>
      <c r="F396" t="s">
        <v>109</v>
      </c>
      <c r="G396" t="s">
        <v>23</v>
      </c>
      <c r="H396" t="s">
        <v>164</v>
      </c>
      <c r="I396" t="s">
        <v>248</v>
      </c>
      <c r="J396" t="s">
        <v>591</v>
      </c>
      <c r="K396" t="s">
        <v>1923</v>
      </c>
      <c r="L396" t="s">
        <v>108</v>
      </c>
      <c r="M396" t="s">
        <v>1029</v>
      </c>
      <c r="N396">
        <v>967555800</v>
      </c>
      <c r="O396" t="s">
        <v>218</v>
      </c>
      <c r="P396" s="154">
        <v>13030176</v>
      </c>
      <c r="Q396" t="s">
        <v>138</v>
      </c>
      <c r="R396" t="s">
        <v>589</v>
      </c>
      <c r="S396" t="s">
        <v>2964</v>
      </c>
      <c r="T396" t="s">
        <v>2965</v>
      </c>
      <c r="U396" t="s">
        <v>2966</v>
      </c>
      <c r="V396" t="s">
        <v>2967</v>
      </c>
      <c r="W396" t="s">
        <v>101</v>
      </c>
      <c r="X396" t="s">
        <v>102</v>
      </c>
      <c r="Y396" s="229">
        <v>7314</v>
      </c>
      <c r="Z396" s="176">
        <v>0</v>
      </c>
      <c r="AA396">
        <v>319</v>
      </c>
      <c r="AB396" t="s">
        <v>1356</v>
      </c>
      <c r="AC396" t="s">
        <v>1291</v>
      </c>
      <c r="AD396" s="199"/>
      <c r="AE396" s="199"/>
      <c r="AF396" s="179"/>
      <c r="AG396" s="179"/>
      <c r="AH396" s="179"/>
      <c r="AI396" s="179"/>
      <c r="AJ396" s="179"/>
      <c r="AK396" s="179"/>
      <c r="AL396">
        <v>11</v>
      </c>
      <c r="AM396">
        <v>2023</v>
      </c>
      <c r="AN396" s="250"/>
      <c r="AP396" t="str">
        <f>IF(BD_Bloqueados[[#This Row],[Analista ]]&lt;&gt;"Ana C",MID(BD_Bloqueados[[#This Row],[ID]],3,5),MID(BD_Bloqueados[[#This Row],[ID]],4,5))</f>
        <v>31923</v>
      </c>
      <c r="AQ396">
        <v>332</v>
      </c>
      <c r="AR396">
        <v>2023</v>
      </c>
      <c r="AS396" s="72">
        <v>44927</v>
      </c>
      <c r="AT396" s="72">
        <v>45258</v>
      </c>
      <c r="AU396">
        <v>11</v>
      </c>
    </row>
    <row r="397" spans="1:47">
      <c r="A397" t="s">
        <v>2968</v>
      </c>
      <c r="B397">
        <v>2</v>
      </c>
      <c r="C397" s="72">
        <v>45245</v>
      </c>
      <c r="D397">
        <v>47</v>
      </c>
      <c r="E397" s="173">
        <v>0.23055555555555554</v>
      </c>
      <c r="F397" t="s">
        <v>136</v>
      </c>
      <c r="G397" t="s">
        <v>29</v>
      </c>
      <c r="H397" t="s">
        <v>83</v>
      </c>
      <c r="I397" t="s">
        <v>645</v>
      </c>
      <c r="J397" t="s">
        <v>599</v>
      </c>
      <c r="K397" t="s">
        <v>2969</v>
      </c>
      <c r="L397" t="s">
        <v>108</v>
      </c>
      <c r="M397" t="s">
        <v>1029</v>
      </c>
      <c r="N397">
        <v>967555800</v>
      </c>
      <c r="O397" t="s">
        <v>2970</v>
      </c>
      <c r="P397" s="154"/>
      <c r="Q397" t="s">
        <v>206</v>
      </c>
      <c r="R397" t="s">
        <v>110</v>
      </c>
      <c r="S397" t="s">
        <v>2971</v>
      </c>
      <c r="T397" t="s">
        <v>2972</v>
      </c>
      <c r="U397" t="s">
        <v>2973</v>
      </c>
      <c r="V397" t="s">
        <v>2974</v>
      </c>
      <c r="W397" t="s">
        <v>101</v>
      </c>
      <c r="Y397" s="229"/>
      <c r="Z397" s="176">
        <v>0</v>
      </c>
      <c r="AB397" t="s">
        <v>2215</v>
      </c>
      <c r="AC397" t="s">
        <v>1349</v>
      </c>
      <c r="AD397" s="199">
        <v>3.5000000000000003E-2</v>
      </c>
      <c r="AE397" s="199" t="s">
        <v>1374</v>
      </c>
      <c r="AF397" s="179">
        <v>75</v>
      </c>
      <c r="AG397" s="179">
        <v>5.6</v>
      </c>
      <c r="AH397" s="179">
        <v>0</v>
      </c>
      <c r="AI397" s="179">
        <v>2.9</v>
      </c>
      <c r="AJ397" s="179">
        <v>0</v>
      </c>
      <c r="AK397" s="179">
        <v>4.4000000000000004</v>
      </c>
      <c r="AL397">
        <v>11</v>
      </c>
      <c r="AM397">
        <v>2023</v>
      </c>
      <c r="AN397" s="250"/>
      <c r="AP397" t="str">
        <f>IF(BD_Bloqueados[[#This Row],[Analista ]]&lt;&gt;"Ana C",MID(BD_Bloqueados[[#This Row],[ID]],3,5),MID(BD_Bloqueados[[#This Row],[ID]],4,5))</f>
        <v>31923</v>
      </c>
      <c r="AQ397">
        <v>326</v>
      </c>
      <c r="AR397">
        <v>2023</v>
      </c>
      <c r="AS397" s="72">
        <v>44927</v>
      </c>
      <c r="AT397" s="72">
        <v>45252</v>
      </c>
      <c r="AU397">
        <v>11</v>
      </c>
    </row>
    <row r="398" spans="1:47">
      <c r="A398" t="s">
        <v>2975</v>
      </c>
      <c r="B398">
        <v>2</v>
      </c>
      <c r="C398" s="72">
        <v>45244</v>
      </c>
      <c r="D398">
        <v>47</v>
      </c>
      <c r="E398" s="173">
        <v>0.93263888888888891</v>
      </c>
      <c r="F398" t="s">
        <v>136</v>
      </c>
      <c r="G398" t="s">
        <v>28</v>
      </c>
      <c r="H398" t="s">
        <v>81</v>
      </c>
      <c r="I398" t="s">
        <v>87</v>
      </c>
      <c r="J398" t="s">
        <v>2976</v>
      </c>
      <c r="K398" t="s">
        <v>1825</v>
      </c>
      <c r="L398" t="s">
        <v>77</v>
      </c>
      <c r="M398" t="s">
        <v>683</v>
      </c>
      <c r="N398">
        <v>96565810</v>
      </c>
      <c r="O398" t="s">
        <v>861</v>
      </c>
      <c r="P398" s="154">
        <v>11000060</v>
      </c>
      <c r="Q398" t="s">
        <v>138</v>
      </c>
      <c r="R398" t="s">
        <v>79</v>
      </c>
      <c r="S398" t="s">
        <v>2977</v>
      </c>
      <c r="T398" t="s">
        <v>2978</v>
      </c>
      <c r="U398" t="s">
        <v>2979</v>
      </c>
      <c r="V398" t="s">
        <v>2980</v>
      </c>
      <c r="W398" t="s">
        <v>101</v>
      </c>
      <c r="Y398" s="229">
        <v>360</v>
      </c>
      <c r="Z398" s="176"/>
      <c r="AD398" s="199"/>
      <c r="AE398" s="199"/>
      <c r="AF398" s="179"/>
      <c r="AG398" s="179"/>
      <c r="AH398" s="179"/>
      <c r="AI398" s="179"/>
      <c r="AJ398" s="179"/>
      <c r="AK398" s="179"/>
      <c r="AL398">
        <v>11</v>
      </c>
      <c r="AM398">
        <v>2023</v>
      </c>
      <c r="AN398" s="250"/>
      <c r="AP398" t="str">
        <f>IF(BD_Bloqueados[[#This Row],[Analista ]]&lt;&gt;"Ana C",MID(BD_Bloqueados[[#This Row],[ID]],3,5),MID(BD_Bloqueados[[#This Row],[ID]],4,5))</f>
        <v>31823</v>
      </c>
      <c r="AQ398">
        <v>325</v>
      </c>
      <c r="AR398">
        <v>2023</v>
      </c>
      <c r="AS398" s="72">
        <v>44927</v>
      </c>
      <c r="AT398" s="72">
        <v>45251</v>
      </c>
      <c r="AU398">
        <v>11</v>
      </c>
    </row>
    <row r="399" spans="1:47">
      <c r="A399" t="s">
        <v>2975</v>
      </c>
      <c r="B399">
        <v>2</v>
      </c>
      <c r="C399" s="72">
        <v>45244</v>
      </c>
      <c r="D399">
        <v>47</v>
      </c>
      <c r="E399" s="173">
        <v>0.93958333333333333</v>
      </c>
      <c r="F399" t="s">
        <v>136</v>
      </c>
      <c r="G399" t="s">
        <v>28</v>
      </c>
      <c r="H399" t="s">
        <v>81</v>
      </c>
      <c r="I399" t="s">
        <v>87</v>
      </c>
      <c r="J399" t="s">
        <v>2698</v>
      </c>
      <c r="K399" t="s">
        <v>1825</v>
      </c>
      <c r="L399" t="s">
        <v>77</v>
      </c>
      <c r="M399" t="s">
        <v>683</v>
      </c>
      <c r="N399">
        <v>96565810</v>
      </c>
      <c r="O399" t="s">
        <v>2981</v>
      </c>
      <c r="P399" s="264">
        <v>11000060</v>
      </c>
      <c r="Q399" s="264" t="s">
        <v>138</v>
      </c>
      <c r="R399" s="264" t="s">
        <v>2932</v>
      </c>
      <c r="S399" t="s">
        <v>2977</v>
      </c>
      <c r="T399" t="s">
        <v>2978</v>
      </c>
      <c r="U399" t="s">
        <v>2982</v>
      </c>
      <c r="V399" t="s">
        <v>2980</v>
      </c>
      <c r="W399" t="s">
        <v>101</v>
      </c>
      <c r="Y399" s="229"/>
      <c r="Z399" s="176"/>
      <c r="AD399" s="199"/>
      <c r="AE399" s="199"/>
      <c r="AF399" s="179"/>
      <c r="AG399" s="179"/>
      <c r="AH399" s="179"/>
      <c r="AI399" s="179"/>
      <c r="AJ399" s="179"/>
      <c r="AK399" s="179"/>
      <c r="AL399">
        <v>11</v>
      </c>
      <c r="AM399">
        <v>2023</v>
      </c>
      <c r="AN399" s="250"/>
      <c r="AP399" t="str">
        <f>IF(BD_Bloqueados[[#This Row],[Analista ]]&lt;&gt;"Ana C",MID(BD_Bloqueados[[#This Row],[ID]],3,5),MID(BD_Bloqueados[[#This Row],[ID]],4,5))</f>
        <v>31823</v>
      </c>
      <c r="AQ399">
        <v>324</v>
      </c>
      <c r="AR399">
        <v>2023</v>
      </c>
      <c r="AS399" s="72">
        <v>44927</v>
      </c>
      <c r="AT399" s="72">
        <v>45250</v>
      </c>
      <c r="AU399">
        <v>11</v>
      </c>
    </row>
    <row r="400" spans="1:47">
      <c r="A400" t="s">
        <v>2983</v>
      </c>
      <c r="B400">
        <v>2</v>
      </c>
      <c r="C400" s="72">
        <v>45243</v>
      </c>
      <c r="D400">
        <v>47</v>
      </c>
      <c r="E400" s="173">
        <v>0.70833333333333337</v>
      </c>
      <c r="F400" t="s">
        <v>109</v>
      </c>
      <c r="G400" t="s">
        <v>25</v>
      </c>
      <c r="H400" t="s">
        <v>81</v>
      </c>
      <c r="I400" t="s">
        <v>190</v>
      </c>
      <c r="J400" t="s">
        <v>591</v>
      </c>
      <c r="K400" t="s">
        <v>2984</v>
      </c>
      <c r="L400" t="s">
        <v>108</v>
      </c>
      <c r="M400" t="s">
        <v>1029</v>
      </c>
      <c r="N400">
        <v>967555800</v>
      </c>
      <c r="O400" t="s">
        <v>123</v>
      </c>
      <c r="P400" s="154">
        <v>13030401</v>
      </c>
      <c r="Q400" t="s">
        <v>206</v>
      </c>
      <c r="R400" t="s">
        <v>584</v>
      </c>
      <c r="S400" t="s">
        <v>2985</v>
      </c>
      <c r="T400" t="s">
        <v>2986</v>
      </c>
      <c r="U400" t="s">
        <v>2987</v>
      </c>
      <c r="V400" t="s">
        <v>2988</v>
      </c>
      <c r="W400" t="s">
        <v>101</v>
      </c>
      <c r="X400" t="s">
        <v>102</v>
      </c>
      <c r="Y400" s="229">
        <v>7200</v>
      </c>
      <c r="Z400" s="176">
        <v>0</v>
      </c>
      <c r="AA400">
        <v>317</v>
      </c>
      <c r="AB400" t="s">
        <v>1550</v>
      </c>
      <c r="AC400" t="s">
        <v>1349</v>
      </c>
      <c r="AD400" s="199"/>
      <c r="AE400" s="199"/>
      <c r="AF400" s="179"/>
      <c r="AG400" s="179"/>
      <c r="AH400" s="179"/>
      <c r="AI400" s="179"/>
      <c r="AJ400" s="179"/>
      <c r="AK400" s="179"/>
      <c r="AL400">
        <v>11</v>
      </c>
      <c r="AM400">
        <v>2023</v>
      </c>
      <c r="AN400" s="250"/>
      <c r="AP400" t="str">
        <f>IF(BD_Bloqueados[[#This Row],[Analista ]]&lt;&gt;"Ana C",MID(BD_Bloqueados[[#This Row],[ID]],3,5),MID(BD_Bloqueados[[#This Row],[ID]],4,5))</f>
        <v>31723</v>
      </c>
      <c r="AQ400">
        <v>322</v>
      </c>
      <c r="AR400">
        <v>2023</v>
      </c>
      <c r="AS400" s="72">
        <v>44927</v>
      </c>
      <c r="AT400" s="72">
        <v>45248</v>
      </c>
      <c r="AU400">
        <v>11</v>
      </c>
    </row>
    <row r="401" spans="1:47">
      <c r="A401" t="s">
        <v>3997</v>
      </c>
      <c r="B401">
        <v>2</v>
      </c>
      <c r="C401" s="72">
        <v>45088</v>
      </c>
      <c r="D401">
        <v>46</v>
      </c>
      <c r="E401" s="173">
        <v>0.36805555555555558</v>
      </c>
      <c r="F401" t="s">
        <v>78</v>
      </c>
      <c r="G401" t="s">
        <v>23</v>
      </c>
      <c r="H401" t="s">
        <v>81</v>
      </c>
      <c r="I401" t="s">
        <v>645</v>
      </c>
      <c r="J401" t="s">
        <v>169</v>
      </c>
      <c r="K401" t="s">
        <v>3998</v>
      </c>
      <c r="L401" t="s">
        <v>108</v>
      </c>
      <c r="M401" t="s">
        <v>1029</v>
      </c>
      <c r="N401">
        <v>967555800</v>
      </c>
      <c r="O401" t="s">
        <v>313</v>
      </c>
      <c r="P401" s="154">
        <v>12001339</v>
      </c>
      <c r="Q401" t="s">
        <v>206</v>
      </c>
      <c r="R401" t="s">
        <v>620</v>
      </c>
      <c r="S401" t="s">
        <v>3999</v>
      </c>
      <c r="T401" t="s">
        <v>4000</v>
      </c>
      <c r="U401" t="s">
        <v>4001</v>
      </c>
      <c r="V401" t="s">
        <v>4002</v>
      </c>
      <c r="W401" t="s">
        <v>101</v>
      </c>
      <c r="X401" t="s">
        <v>129</v>
      </c>
      <c r="Y401" s="229">
        <v>846.5</v>
      </c>
      <c r="Z401" s="176">
        <v>0</v>
      </c>
      <c r="AA401">
        <v>308</v>
      </c>
      <c r="AB401" t="s">
        <v>1291</v>
      </c>
      <c r="AC401" t="s">
        <v>1291</v>
      </c>
      <c r="AD401" s="199"/>
      <c r="AE401" s="199"/>
      <c r="AF401" s="179"/>
      <c r="AG401" s="179"/>
      <c r="AH401" s="179"/>
      <c r="AI401" s="179"/>
      <c r="AJ401" s="179"/>
      <c r="AK401" s="179"/>
      <c r="AL401">
        <v>11</v>
      </c>
      <c r="AM401">
        <v>2023</v>
      </c>
      <c r="AN401" s="250"/>
      <c r="AP401" t="str">
        <f>IF(BD_Bloqueados[[#This Row],[Analista ]]&lt;&gt;"Ana C",MID(BD_Bloqueados[[#This Row],[ID]],3,5),MID(BD_Bloqueados[[#This Row],[ID]],4,5))</f>
        <v>31023</v>
      </c>
      <c r="AQ401">
        <v>321</v>
      </c>
      <c r="AR401">
        <v>2023</v>
      </c>
      <c r="AS401" s="72">
        <v>44927</v>
      </c>
      <c r="AT401" s="72">
        <v>45247</v>
      </c>
      <c r="AU401">
        <v>11</v>
      </c>
    </row>
    <row r="402" spans="1:47">
      <c r="A402" t="s">
        <v>2599</v>
      </c>
      <c r="B402">
        <v>2</v>
      </c>
      <c r="C402" s="72">
        <v>45230</v>
      </c>
      <c r="D402">
        <v>45</v>
      </c>
      <c r="E402" s="173">
        <v>0.43055555555555558</v>
      </c>
      <c r="F402" t="s">
        <v>78</v>
      </c>
      <c r="G402" t="s">
        <v>27</v>
      </c>
      <c r="H402" t="s">
        <v>81</v>
      </c>
      <c r="I402" t="s">
        <v>190</v>
      </c>
      <c r="J402" t="s">
        <v>618</v>
      </c>
      <c r="K402" t="s">
        <v>2600</v>
      </c>
      <c r="L402" t="s">
        <v>108</v>
      </c>
      <c r="M402" t="s">
        <v>1029</v>
      </c>
      <c r="N402">
        <v>967555800</v>
      </c>
      <c r="O402" t="s">
        <v>217</v>
      </c>
      <c r="P402" s="154">
        <v>13030104</v>
      </c>
      <c r="Q402" t="s">
        <v>138</v>
      </c>
      <c r="R402" t="s">
        <v>79</v>
      </c>
      <c r="S402" t="s">
        <v>2601</v>
      </c>
      <c r="T402" t="s">
        <v>2602</v>
      </c>
      <c r="U402" t="s">
        <v>2603</v>
      </c>
      <c r="V402" t="s">
        <v>2604</v>
      </c>
      <c r="W402" t="s">
        <v>101</v>
      </c>
      <c r="X402" t="s">
        <v>129</v>
      </c>
      <c r="Y402" s="229">
        <v>45.54</v>
      </c>
      <c r="Z402" s="176"/>
      <c r="AA402">
        <v>304</v>
      </c>
      <c r="AD402" s="199"/>
      <c r="AE402" s="199"/>
      <c r="AF402" s="179"/>
      <c r="AG402" s="179"/>
      <c r="AH402" s="179"/>
      <c r="AI402" s="179"/>
      <c r="AJ402" s="179"/>
      <c r="AK402" s="179"/>
      <c r="AL402" s="306">
        <v>10</v>
      </c>
      <c r="AM402" s="306">
        <v>2023</v>
      </c>
      <c r="AN402" s="250"/>
      <c r="AP402" t="str">
        <f>IF(BD_Bloqueados[[#This Row],[Analista ]]&lt;&gt;"Ana C",MID(BD_Bloqueados[[#This Row],[ID]],3,5),MID(BD_Bloqueados[[#This Row],[ID]],4,5))</f>
        <v>30423</v>
      </c>
      <c r="AQ402">
        <v>320</v>
      </c>
      <c r="AR402">
        <v>2023</v>
      </c>
      <c r="AS402" s="72">
        <v>44927</v>
      </c>
      <c r="AT402" s="72">
        <v>45246</v>
      </c>
      <c r="AU402">
        <v>11</v>
      </c>
    </row>
    <row r="403" spans="1:47">
      <c r="A403" t="s">
        <v>2622</v>
      </c>
      <c r="B403">
        <v>2</v>
      </c>
      <c r="C403" s="72">
        <v>45230</v>
      </c>
      <c r="D403">
        <v>45</v>
      </c>
      <c r="E403" s="173">
        <v>0.41666666666666669</v>
      </c>
      <c r="F403" t="s">
        <v>78</v>
      </c>
      <c r="G403" t="s">
        <v>27</v>
      </c>
      <c r="H403" t="s">
        <v>81</v>
      </c>
      <c r="I403" t="s">
        <v>190</v>
      </c>
      <c r="J403" t="s">
        <v>618</v>
      </c>
      <c r="K403" t="s">
        <v>2600</v>
      </c>
      <c r="L403" t="s">
        <v>108</v>
      </c>
      <c r="M403" t="s">
        <v>1029</v>
      </c>
      <c r="N403">
        <v>967555800</v>
      </c>
      <c r="O403" t="s">
        <v>92</v>
      </c>
      <c r="P403" s="154">
        <v>13030409</v>
      </c>
      <c r="Q403" t="s">
        <v>138</v>
      </c>
      <c r="R403" t="s">
        <v>79</v>
      </c>
      <c r="S403" t="s">
        <v>2623</v>
      </c>
      <c r="T403" t="s">
        <v>2602</v>
      </c>
      <c r="U403" t="s">
        <v>2603</v>
      </c>
      <c r="V403" t="s">
        <v>2624</v>
      </c>
      <c r="W403" t="s">
        <v>101</v>
      </c>
      <c r="X403" t="s">
        <v>129</v>
      </c>
      <c r="Y403" s="229">
        <v>57.41</v>
      </c>
      <c r="Z403" s="176">
        <v>36242.200106383003</v>
      </c>
      <c r="AA403">
        <v>304</v>
      </c>
      <c r="AB403" t="s">
        <v>2625</v>
      </c>
      <c r="AC403" t="s">
        <v>1252</v>
      </c>
      <c r="AD403" s="199">
        <v>0.47</v>
      </c>
      <c r="AE403" s="199" t="s">
        <v>1374</v>
      </c>
      <c r="AF403" s="179">
        <v>279.52999999999997</v>
      </c>
      <c r="AG403" s="179">
        <v>0</v>
      </c>
      <c r="AH403" s="179">
        <v>0</v>
      </c>
      <c r="AI403" s="179">
        <v>3.573</v>
      </c>
      <c r="AJ403" s="179">
        <v>13.602</v>
      </c>
      <c r="AK403" s="179">
        <v>0</v>
      </c>
      <c r="AL403">
        <v>10</v>
      </c>
      <c r="AM403">
        <v>2023</v>
      </c>
      <c r="AN403" s="250" t="s">
        <v>1283</v>
      </c>
      <c r="AP403" t="str">
        <f>IF(BD_Bloqueados[[#This Row],[Analista ]]&lt;&gt;"Ana C",MID(BD_Bloqueados[[#This Row],[ID]],3,5),MID(BD_Bloqueados[[#This Row],[ID]],4,5))</f>
        <v>30423</v>
      </c>
      <c r="AQ403">
        <v>320</v>
      </c>
      <c r="AR403">
        <v>2023</v>
      </c>
      <c r="AS403" s="72">
        <v>44927</v>
      </c>
      <c r="AT403" s="72">
        <v>45246</v>
      </c>
      <c r="AU403">
        <v>11</v>
      </c>
    </row>
    <row r="404" spans="1:47">
      <c r="A404" t="s">
        <v>3057</v>
      </c>
      <c r="B404">
        <v>2</v>
      </c>
      <c r="C404" s="72">
        <v>45229</v>
      </c>
      <c r="D404">
        <v>45</v>
      </c>
      <c r="E404" s="173">
        <v>0.43263888888888885</v>
      </c>
      <c r="F404" t="s">
        <v>78</v>
      </c>
      <c r="G404" t="s">
        <v>28</v>
      </c>
      <c r="H404" t="s">
        <v>81</v>
      </c>
      <c r="I404" t="s">
        <v>87</v>
      </c>
      <c r="J404" t="s">
        <v>618</v>
      </c>
      <c r="K404" t="s">
        <v>3058</v>
      </c>
      <c r="L404" t="s">
        <v>108</v>
      </c>
      <c r="M404" t="s">
        <v>1029</v>
      </c>
      <c r="N404">
        <v>967555800</v>
      </c>
      <c r="O404" t="s">
        <v>351</v>
      </c>
      <c r="P404" s="154">
        <v>12001365</v>
      </c>
      <c r="Q404" t="s">
        <v>185</v>
      </c>
      <c r="R404" t="s">
        <v>619</v>
      </c>
      <c r="S404" t="s">
        <v>3059</v>
      </c>
      <c r="T404" t="s">
        <v>3060</v>
      </c>
      <c r="U404" t="s">
        <v>3061</v>
      </c>
      <c r="V404" t="s">
        <v>3062</v>
      </c>
      <c r="W404" t="s">
        <v>101</v>
      </c>
      <c r="X404" t="s">
        <v>129</v>
      </c>
      <c r="Y404" s="229">
        <v>132</v>
      </c>
      <c r="Z404" s="176">
        <v>354446.4</v>
      </c>
      <c r="AA404">
        <v>303</v>
      </c>
      <c r="AB404" t="s">
        <v>619</v>
      </c>
      <c r="AC404" t="s">
        <v>1252</v>
      </c>
      <c r="AD404" s="199">
        <v>3.5000000000000003E-2</v>
      </c>
      <c r="AE404" s="199" t="s">
        <v>1374</v>
      </c>
      <c r="AF404" s="179">
        <v>4.3460000000000001</v>
      </c>
      <c r="AG404" s="179">
        <v>0</v>
      </c>
      <c r="AH404" s="179">
        <v>83.795000000000002</v>
      </c>
      <c r="AI404" s="179">
        <v>4.3460000000000001</v>
      </c>
      <c r="AJ404" s="179">
        <v>1.4950000000000001</v>
      </c>
      <c r="AK404" s="179">
        <v>0</v>
      </c>
      <c r="AL404">
        <v>10</v>
      </c>
      <c r="AM404">
        <v>2023</v>
      </c>
      <c r="AN404" s="250" t="s">
        <v>2358</v>
      </c>
      <c r="AP404" t="str">
        <f>IF(BD_Bloqueados[[#This Row],[Analista ]]&lt;&gt;"Ana C",MID(BD_Bloqueados[[#This Row],[ID]],3,5),MID(BD_Bloqueados[[#This Row],[ID]],4,5))</f>
        <v>30323</v>
      </c>
      <c r="AQ404">
        <v>319</v>
      </c>
      <c r="AR404">
        <v>2023</v>
      </c>
      <c r="AS404" s="72">
        <v>44927</v>
      </c>
      <c r="AT404" s="72">
        <v>45245</v>
      </c>
      <c r="AU404">
        <v>11</v>
      </c>
    </row>
    <row r="405" spans="1:47">
      <c r="A405" t="s">
        <v>3069</v>
      </c>
      <c r="B405">
        <v>2</v>
      </c>
      <c r="C405" s="72">
        <v>45229</v>
      </c>
      <c r="D405">
        <v>45</v>
      </c>
      <c r="E405" s="173">
        <v>0.2673611111111111</v>
      </c>
      <c r="F405" t="s">
        <v>109</v>
      </c>
      <c r="G405" t="s">
        <v>25</v>
      </c>
      <c r="H405" t="s">
        <v>164</v>
      </c>
      <c r="I405" t="s">
        <v>645</v>
      </c>
      <c r="J405" t="s">
        <v>591</v>
      </c>
      <c r="K405" t="s">
        <v>3070</v>
      </c>
      <c r="L405" t="s">
        <v>108</v>
      </c>
      <c r="M405" t="s">
        <v>1029</v>
      </c>
      <c r="N405">
        <v>967555800</v>
      </c>
      <c r="O405" t="s">
        <v>265</v>
      </c>
      <c r="P405" s="154">
        <v>13030402</v>
      </c>
      <c r="Q405" t="s">
        <v>206</v>
      </c>
      <c r="R405" t="s">
        <v>584</v>
      </c>
      <c r="S405" t="s">
        <v>3071</v>
      </c>
      <c r="U405" t="s">
        <v>3072</v>
      </c>
      <c r="V405" t="s">
        <v>3073</v>
      </c>
      <c r="W405" t="s">
        <v>101</v>
      </c>
      <c r="X405" t="s">
        <v>156</v>
      </c>
      <c r="Y405" s="229">
        <v>1056</v>
      </c>
      <c r="Z405" s="176">
        <v>0</v>
      </c>
      <c r="AA405">
        <v>303</v>
      </c>
      <c r="AB405" t="s">
        <v>1550</v>
      </c>
      <c r="AC405" t="s">
        <v>1291</v>
      </c>
      <c r="AD405" s="199">
        <v>1</v>
      </c>
      <c r="AE405" s="199" t="s">
        <v>1292</v>
      </c>
      <c r="AF405" s="179">
        <v>0</v>
      </c>
      <c r="AG405" s="179">
        <v>0</v>
      </c>
      <c r="AH405" s="179">
        <v>0</v>
      </c>
      <c r="AI405" s="179">
        <v>0</v>
      </c>
      <c r="AJ405" s="179">
        <v>0</v>
      </c>
      <c r="AK405" s="179">
        <v>0</v>
      </c>
      <c r="AL405">
        <v>10</v>
      </c>
      <c r="AM405">
        <v>2023</v>
      </c>
      <c r="AN405" s="250"/>
      <c r="AP405" t="str">
        <f>IF(BD_Bloqueados[[#This Row],[Analista ]]&lt;&gt;"Ana C",MID(BD_Bloqueados[[#This Row],[ID]],3,5),MID(BD_Bloqueados[[#This Row],[ID]],4,5))</f>
        <v>30323</v>
      </c>
      <c r="AQ405">
        <v>319</v>
      </c>
      <c r="AR405">
        <v>2023</v>
      </c>
      <c r="AS405" s="72">
        <v>44927</v>
      </c>
      <c r="AT405" s="72">
        <v>45245</v>
      </c>
      <c r="AU405">
        <v>11</v>
      </c>
    </row>
    <row r="406" spans="1:47">
      <c r="A406" t="s">
        <v>3074</v>
      </c>
      <c r="B406">
        <v>2</v>
      </c>
      <c r="C406" s="72">
        <v>45229</v>
      </c>
      <c r="D406">
        <v>45</v>
      </c>
      <c r="E406" s="173">
        <v>0.43541666666666662</v>
      </c>
      <c r="F406" t="s">
        <v>109</v>
      </c>
      <c r="G406" t="s">
        <v>24</v>
      </c>
      <c r="H406" t="s">
        <v>188</v>
      </c>
      <c r="I406" t="s">
        <v>635</v>
      </c>
      <c r="J406" t="s">
        <v>595</v>
      </c>
      <c r="K406" t="s">
        <v>3075</v>
      </c>
      <c r="L406" t="s">
        <v>108</v>
      </c>
      <c r="M406" t="s">
        <v>1029</v>
      </c>
      <c r="N406">
        <v>967555800</v>
      </c>
      <c r="O406" t="s">
        <v>303</v>
      </c>
      <c r="P406" s="154">
        <v>13030395</v>
      </c>
      <c r="Q406" t="s">
        <v>80</v>
      </c>
      <c r="R406" t="s">
        <v>589</v>
      </c>
      <c r="S406" t="s">
        <v>3076</v>
      </c>
      <c r="T406" t="s">
        <v>3077</v>
      </c>
      <c r="U406" t="s">
        <v>3078</v>
      </c>
      <c r="V406" t="s">
        <v>3079</v>
      </c>
      <c r="W406" t="s">
        <v>101</v>
      </c>
      <c r="X406" t="s">
        <v>102</v>
      </c>
      <c r="Y406" s="229">
        <v>604.79999999999995</v>
      </c>
      <c r="Z406" s="176">
        <v>32170.521599999996</v>
      </c>
      <c r="AA406">
        <v>303</v>
      </c>
      <c r="AB406" t="s">
        <v>1441</v>
      </c>
      <c r="AC406" t="s">
        <v>1252</v>
      </c>
      <c r="AD406" s="199">
        <v>1</v>
      </c>
      <c r="AE406" s="199" t="s">
        <v>1292</v>
      </c>
      <c r="AF406" s="179">
        <v>0</v>
      </c>
      <c r="AG406" s="179">
        <v>0</v>
      </c>
      <c r="AH406" s="179">
        <v>0</v>
      </c>
      <c r="AI406" s="179">
        <v>45.802</v>
      </c>
      <c r="AJ406" s="179">
        <v>7.39</v>
      </c>
      <c r="AK406" s="179">
        <v>0</v>
      </c>
      <c r="AL406">
        <v>10</v>
      </c>
      <c r="AM406">
        <v>2023</v>
      </c>
      <c r="AN406" s="250" t="s">
        <v>1283</v>
      </c>
      <c r="AP406" t="str">
        <f>IF(BD_Bloqueados[[#This Row],[Analista ]]&lt;&gt;"Ana C",MID(BD_Bloqueados[[#This Row],[ID]],3,5),MID(BD_Bloqueados[[#This Row],[ID]],4,5))</f>
        <v>30323</v>
      </c>
      <c r="AQ406">
        <v>319</v>
      </c>
      <c r="AR406">
        <v>2023</v>
      </c>
      <c r="AS406" s="72">
        <v>44927</v>
      </c>
      <c r="AT406" s="72">
        <v>45245</v>
      </c>
      <c r="AU406">
        <v>11</v>
      </c>
    </row>
    <row r="407" spans="1:47">
      <c r="A407" t="s">
        <v>3080</v>
      </c>
      <c r="B407">
        <v>2</v>
      </c>
      <c r="C407" s="72">
        <v>45225</v>
      </c>
      <c r="D407">
        <v>44</v>
      </c>
      <c r="E407" s="173">
        <v>0.5625</v>
      </c>
      <c r="F407" t="s">
        <v>109</v>
      </c>
      <c r="G407" t="s">
        <v>27</v>
      </c>
      <c r="H407" t="s">
        <v>140</v>
      </c>
      <c r="I407" t="s">
        <v>635</v>
      </c>
      <c r="J407" t="s">
        <v>618</v>
      </c>
      <c r="K407" t="s">
        <v>3081</v>
      </c>
      <c r="L407" t="s">
        <v>77</v>
      </c>
      <c r="M407" t="s">
        <v>714</v>
      </c>
      <c r="N407">
        <v>77961510</v>
      </c>
      <c r="O407" t="s">
        <v>315</v>
      </c>
      <c r="P407" s="154">
        <v>10003283</v>
      </c>
      <c r="Q407" t="s">
        <v>138</v>
      </c>
      <c r="R407" t="s">
        <v>110</v>
      </c>
      <c r="S407" t="s">
        <v>3082</v>
      </c>
      <c r="T407" t="s">
        <v>3083</v>
      </c>
      <c r="U407" t="s">
        <v>3084</v>
      </c>
      <c r="V407" t="s">
        <v>3085</v>
      </c>
      <c r="W407" t="s">
        <v>101</v>
      </c>
      <c r="X407" t="s">
        <v>129</v>
      </c>
      <c r="Y407" s="229">
        <v>90</v>
      </c>
      <c r="Z407" s="176"/>
      <c r="AA407" t="s">
        <v>3086</v>
      </c>
      <c r="AD407" s="199"/>
      <c r="AE407" s="199"/>
      <c r="AF407" s="179"/>
      <c r="AG407" s="179"/>
      <c r="AH407" s="179"/>
      <c r="AI407" s="179"/>
      <c r="AJ407" s="179"/>
      <c r="AK407" s="179"/>
      <c r="AL407">
        <v>10</v>
      </c>
      <c r="AM407">
        <v>2023</v>
      </c>
      <c r="AN407" s="250"/>
      <c r="AP407" t="str">
        <f>IF(BD_Bloqueados[[#This Row],[Analista ]]&lt;&gt;"Ana C",MID(BD_Bloqueados[[#This Row],[ID]],3,5),MID(BD_Bloqueados[[#This Row],[ID]],4,5))</f>
        <v>29923</v>
      </c>
      <c r="AQ407">
        <v>319</v>
      </c>
      <c r="AR407">
        <v>2023</v>
      </c>
      <c r="AS407" s="72">
        <v>44927</v>
      </c>
      <c r="AT407" s="72">
        <v>45245</v>
      </c>
      <c r="AU407">
        <v>11</v>
      </c>
    </row>
    <row r="408" spans="1:47">
      <c r="A408" t="s">
        <v>3087</v>
      </c>
      <c r="B408">
        <v>2</v>
      </c>
      <c r="C408" s="72">
        <v>45220</v>
      </c>
      <c r="D408">
        <v>43</v>
      </c>
      <c r="E408" s="173">
        <v>0.40902777777777777</v>
      </c>
      <c r="F408" t="s">
        <v>78</v>
      </c>
      <c r="G408" t="s">
        <v>27</v>
      </c>
      <c r="H408" t="s">
        <v>189</v>
      </c>
      <c r="I408" t="s">
        <v>615</v>
      </c>
      <c r="J408" t="s">
        <v>618</v>
      </c>
      <c r="K408" t="s">
        <v>3088</v>
      </c>
      <c r="L408" t="s">
        <v>108</v>
      </c>
      <c r="M408" t="s">
        <v>1029</v>
      </c>
      <c r="N408">
        <v>967555800</v>
      </c>
      <c r="O408" t="s">
        <v>769</v>
      </c>
      <c r="P408" s="154">
        <v>13030092</v>
      </c>
      <c r="Q408" t="s">
        <v>138</v>
      </c>
      <c r="R408" t="s">
        <v>589</v>
      </c>
      <c r="S408" t="s">
        <v>3089</v>
      </c>
      <c r="T408" t="s">
        <v>3090</v>
      </c>
      <c r="U408" t="s">
        <v>3091</v>
      </c>
      <c r="V408" t="s">
        <v>3092</v>
      </c>
      <c r="W408" t="s">
        <v>101</v>
      </c>
      <c r="X408" t="s">
        <v>156</v>
      </c>
      <c r="Y408" s="229">
        <v>156</v>
      </c>
      <c r="Z408" s="176">
        <v>119540.80851063829</v>
      </c>
      <c r="AA408">
        <v>294</v>
      </c>
      <c r="AB408" t="s">
        <v>1290</v>
      </c>
      <c r="AC408" t="s">
        <v>1349</v>
      </c>
      <c r="AD408" s="199">
        <v>0.47</v>
      </c>
      <c r="AE408" s="199" t="s">
        <v>1374</v>
      </c>
      <c r="AF408" s="179">
        <v>19.155999999999999</v>
      </c>
      <c r="AG408" s="179">
        <v>274.375</v>
      </c>
      <c r="AH408" s="179">
        <v>0</v>
      </c>
      <c r="AI408" s="179">
        <v>53.051000000000002</v>
      </c>
      <c r="AJ408" s="179">
        <v>3.573</v>
      </c>
      <c r="AK408" s="179">
        <v>0</v>
      </c>
      <c r="AL408">
        <v>10</v>
      </c>
      <c r="AM408">
        <v>2023</v>
      </c>
      <c r="AN408" s="250"/>
      <c r="AP408" t="str">
        <f>IF(BD_Bloqueados[[#This Row],[Analista ]]&lt;&gt;"Ana C",MID(BD_Bloqueados[[#This Row],[ID]],3,5),MID(BD_Bloqueados[[#This Row],[ID]],4,5))</f>
        <v>29423</v>
      </c>
      <c r="AQ408">
        <v>318</v>
      </c>
      <c r="AR408">
        <v>2023</v>
      </c>
      <c r="AS408" s="72">
        <v>44927</v>
      </c>
      <c r="AT408" s="72">
        <v>45244</v>
      </c>
      <c r="AU408">
        <v>11</v>
      </c>
    </row>
    <row r="409" spans="1:47">
      <c r="A409" t="s">
        <v>3093</v>
      </c>
      <c r="B409">
        <v>2</v>
      </c>
      <c r="C409" s="72">
        <v>45219</v>
      </c>
      <c r="D409">
        <v>43</v>
      </c>
      <c r="E409" s="173">
        <v>0.95833333333333337</v>
      </c>
      <c r="F409" t="s">
        <v>136</v>
      </c>
      <c r="G409" t="s">
        <v>25</v>
      </c>
      <c r="H409" t="s">
        <v>164</v>
      </c>
      <c r="I409" t="s">
        <v>635</v>
      </c>
      <c r="J409" t="s">
        <v>567</v>
      </c>
      <c r="K409" t="s">
        <v>3094</v>
      </c>
      <c r="L409" t="s">
        <v>108</v>
      </c>
      <c r="M409" t="s">
        <v>1029</v>
      </c>
      <c r="N409">
        <v>967555800</v>
      </c>
      <c r="O409" t="s">
        <v>265</v>
      </c>
      <c r="P409" s="154">
        <v>13030402</v>
      </c>
      <c r="Q409" t="s">
        <v>206</v>
      </c>
      <c r="R409" t="s">
        <v>578</v>
      </c>
      <c r="S409" t="s">
        <v>3095</v>
      </c>
      <c r="T409" t="s">
        <v>3096</v>
      </c>
      <c r="U409" t="s">
        <v>3097</v>
      </c>
      <c r="V409" t="s">
        <v>3098</v>
      </c>
      <c r="W409" t="s">
        <v>101</v>
      </c>
      <c r="X409" t="s">
        <v>102</v>
      </c>
      <c r="Y409" s="229">
        <v>1689.6</v>
      </c>
      <c r="Z409" s="176">
        <v>0</v>
      </c>
      <c r="AA409">
        <v>294</v>
      </c>
      <c r="AB409" t="s">
        <v>1407</v>
      </c>
      <c r="AC409" t="s">
        <v>1349</v>
      </c>
      <c r="AD409" s="199">
        <v>1</v>
      </c>
      <c r="AE409" s="199" t="s">
        <v>1292</v>
      </c>
      <c r="AF409" s="179"/>
      <c r="AG409" s="179"/>
      <c r="AH409" s="179"/>
      <c r="AI409" s="179"/>
      <c r="AJ409" s="179"/>
      <c r="AK409" s="179"/>
      <c r="AL409">
        <v>10</v>
      </c>
      <c r="AM409">
        <v>2023</v>
      </c>
      <c r="AN409" s="250"/>
      <c r="AP409" t="str">
        <f>IF(BD_Bloqueados[[#This Row],[Analista ]]&lt;&gt;"Ana C",MID(BD_Bloqueados[[#This Row],[ID]],3,5),MID(BD_Bloqueados[[#This Row],[ID]],4,5))</f>
        <v>29323</v>
      </c>
      <c r="AQ409">
        <v>318</v>
      </c>
      <c r="AR409">
        <v>2023</v>
      </c>
      <c r="AS409" s="72">
        <v>44927</v>
      </c>
      <c r="AT409" s="72">
        <v>45244</v>
      </c>
      <c r="AU409">
        <v>11</v>
      </c>
    </row>
    <row r="410" spans="1:47">
      <c r="A410" t="s">
        <v>3099</v>
      </c>
      <c r="B410">
        <v>2</v>
      </c>
      <c r="C410" s="72">
        <v>45217</v>
      </c>
      <c r="D410">
        <v>43</v>
      </c>
      <c r="E410" s="173">
        <v>0.16041666666666668</v>
      </c>
      <c r="F410" t="s">
        <v>136</v>
      </c>
      <c r="G410" t="s">
        <v>25</v>
      </c>
      <c r="H410" t="s">
        <v>139</v>
      </c>
      <c r="I410" t="s">
        <v>635</v>
      </c>
      <c r="J410" t="s">
        <v>567</v>
      </c>
      <c r="K410" t="s">
        <v>3100</v>
      </c>
      <c r="L410" t="s">
        <v>108</v>
      </c>
      <c r="M410" t="s">
        <v>1029</v>
      </c>
      <c r="N410">
        <v>967555800</v>
      </c>
      <c r="O410" t="s">
        <v>265</v>
      </c>
      <c r="P410" s="154">
        <v>13030402</v>
      </c>
      <c r="Q410" t="s">
        <v>206</v>
      </c>
      <c r="R410" t="s">
        <v>110</v>
      </c>
      <c r="S410" t="s">
        <v>3101</v>
      </c>
      <c r="T410" t="s">
        <v>3102</v>
      </c>
      <c r="U410" t="s">
        <v>3103</v>
      </c>
      <c r="V410" t="s">
        <v>3104</v>
      </c>
      <c r="W410" t="s">
        <v>101</v>
      </c>
      <c r="X410" t="s">
        <v>102</v>
      </c>
      <c r="Y410" s="229">
        <v>2041.6</v>
      </c>
      <c r="Z410" s="176">
        <v>0</v>
      </c>
      <c r="AA410">
        <v>291</v>
      </c>
      <c r="AB410" t="s">
        <v>1407</v>
      </c>
      <c r="AC410" t="s">
        <v>1349</v>
      </c>
      <c r="AD410" s="199"/>
      <c r="AE410" s="199"/>
      <c r="AF410" s="179"/>
      <c r="AG410" s="179"/>
      <c r="AH410" s="179"/>
      <c r="AI410" s="179"/>
      <c r="AJ410" s="179"/>
      <c r="AK410" s="179"/>
      <c r="AL410">
        <v>10</v>
      </c>
      <c r="AM410">
        <v>2023</v>
      </c>
      <c r="AN410" s="250"/>
      <c r="AP410" t="str">
        <f>IF(BD_Bloqueados[[#This Row],[Analista ]]&lt;&gt;"Ana C",MID(BD_Bloqueados[[#This Row],[ID]],3,5),MID(BD_Bloqueados[[#This Row],[ID]],4,5))</f>
        <v>29123</v>
      </c>
      <c r="AQ410">
        <v>317</v>
      </c>
      <c r="AR410">
        <v>2023</v>
      </c>
      <c r="AS410" s="72">
        <v>44927</v>
      </c>
      <c r="AT410" s="72">
        <v>45243</v>
      </c>
      <c r="AU410">
        <v>11</v>
      </c>
    </row>
    <row r="411" spans="1:47">
      <c r="A411" t="s">
        <v>3105</v>
      </c>
      <c r="B411">
        <v>2</v>
      </c>
      <c r="C411" s="72">
        <v>45216</v>
      </c>
      <c r="D411">
        <v>43</v>
      </c>
      <c r="E411" s="173">
        <v>0.12638888888888888</v>
      </c>
      <c r="F411" t="s">
        <v>136</v>
      </c>
      <c r="G411" t="s">
        <v>28</v>
      </c>
      <c r="H411" t="s">
        <v>81</v>
      </c>
      <c r="I411" t="s">
        <v>635</v>
      </c>
      <c r="J411" t="s">
        <v>2681</v>
      </c>
      <c r="K411" t="s">
        <v>1569</v>
      </c>
      <c r="L411" t="s">
        <v>77</v>
      </c>
      <c r="M411" t="s">
        <v>722</v>
      </c>
      <c r="N411">
        <v>96549220</v>
      </c>
      <c r="O411" t="s">
        <v>498</v>
      </c>
      <c r="P411" s="154">
        <v>10003296</v>
      </c>
      <c r="Q411" t="s">
        <v>206</v>
      </c>
      <c r="R411" t="s">
        <v>579</v>
      </c>
      <c r="S411" t="s">
        <v>3106</v>
      </c>
      <c r="T411" t="s">
        <v>3107</v>
      </c>
      <c r="U411" t="s">
        <v>3108</v>
      </c>
      <c r="V411" t="s">
        <v>3109</v>
      </c>
      <c r="W411" t="s">
        <v>101</v>
      </c>
      <c r="Y411" s="229">
        <v>536</v>
      </c>
      <c r="Z411" s="176">
        <v>0</v>
      </c>
      <c r="AA411">
        <v>44483</v>
      </c>
      <c r="AD411" s="199"/>
      <c r="AE411" s="199"/>
      <c r="AF411" s="179"/>
      <c r="AG411" s="179"/>
      <c r="AH411" s="179"/>
      <c r="AI411" s="179"/>
      <c r="AJ411" s="179"/>
      <c r="AK411" s="179"/>
      <c r="AL411">
        <v>10</v>
      </c>
      <c r="AM411">
        <v>2023</v>
      </c>
      <c r="AN411" s="250"/>
      <c r="AP411" t="str">
        <f>IF(BD_Bloqueados[[#This Row],[Analista ]]&lt;&gt;"Ana C",MID(BD_Bloqueados[[#This Row],[ID]],3,5),MID(BD_Bloqueados[[#This Row],[ID]],4,5))</f>
        <v>29023</v>
      </c>
      <c r="AQ411">
        <v>284</v>
      </c>
      <c r="AR411">
        <v>2023</v>
      </c>
      <c r="AS411" s="72">
        <v>44927</v>
      </c>
      <c r="AT411" s="72">
        <v>45210</v>
      </c>
      <c r="AU411">
        <v>10</v>
      </c>
    </row>
    <row r="412" spans="1:47">
      <c r="A412" t="s">
        <v>3110</v>
      </c>
      <c r="B412">
        <v>2</v>
      </c>
      <c r="C412" s="72">
        <v>45216</v>
      </c>
      <c r="D412">
        <v>43</v>
      </c>
      <c r="E412" s="173">
        <v>0.40069444444444446</v>
      </c>
      <c r="F412" t="s">
        <v>78</v>
      </c>
      <c r="G412" t="s">
        <v>27</v>
      </c>
      <c r="H412" t="s">
        <v>189</v>
      </c>
      <c r="I412" t="s">
        <v>248</v>
      </c>
      <c r="J412" t="s">
        <v>618</v>
      </c>
      <c r="K412" t="s">
        <v>2534</v>
      </c>
      <c r="L412" t="s">
        <v>108</v>
      </c>
      <c r="M412" t="s">
        <v>1029</v>
      </c>
      <c r="N412">
        <v>967555800</v>
      </c>
      <c r="O412" t="s">
        <v>92</v>
      </c>
      <c r="P412" s="154">
        <v>13030409</v>
      </c>
      <c r="Q412" t="s">
        <v>185</v>
      </c>
      <c r="R412" t="s">
        <v>579</v>
      </c>
      <c r="S412" t="s">
        <v>3111</v>
      </c>
      <c r="T412" t="s">
        <v>3112</v>
      </c>
      <c r="U412" t="s">
        <v>3113</v>
      </c>
      <c r="V412" t="s">
        <v>3114</v>
      </c>
      <c r="W412" t="s">
        <v>101</v>
      </c>
      <c r="X412" t="s">
        <v>156</v>
      </c>
      <c r="Y412" s="229">
        <v>311.5</v>
      </c>
      <c r="Z412" s="176">
        <v>232050.93085106384</v>
      </c>
      <c r="AA412">
        <v>290</v>
      </c>
      <c r="AB412" t="s">
        <v>1400</v>
      </c>
      <c r="AC412" t="s">
        <v>1252</v>
      </c>
      <c r="AD412" s="199">
        <v>0.47</v>
      </c>
      <c r="AE412" s="199" t="s">
        <v>1374</v>
      </c>
      <c r="AF412" s="179">
        <v>19.155999999999999</v>
      </c>
      <c r="AG412" s="179">
        <v>274.34500000000003</v>
      </c>
      <c r="AH412" s="179">
        <v>0</v>
      </c>
      <c r="AI412" s="179">
        <v>53.051000000000002</v>
      </c>
      <c r="AJ412" s="179">
        <v>3.573</v>
      </c>
      <c r="AK412" s="179">
        <v>0</v>
      </c>
      <c r="AL412">
        <v>10</v>
      </c>
      <c r="AM412">
        <v>2023</v>
      </c>
      <c r="AN412" s="250" t="s">
        <v>2621</v>
      </c>
      <c r="AP412" t="str">
        <f>IF(BD_Bloqueados[[#This Row],[Analista ]]&lt;&gt;"Ana C",MID(BD_Bloqueados[[#This Row],[ID]],3,5),MID(BD_Bloqueados[[#This Row],[ID]],4,5))</f>
        <v>29023</v>
      </c>
      <c r="AQ412">
        <v>62</v>
      </c>
      <c r="AR412">
        <v>2024</v>
      </c>
      <c r="AS412" s="72">
        <v>45292</v>
      </c>
      <c r="AT412" s="72">
        <v>45353</v>
      </c>
      <c r="AU412">
        <v>3</v>
      </c>
    </row>
    <row r="413" spans="1:47">
      <c r="A413" t="s">
        <v>3115</v>
      </c>
      <c r="B413">
        <v>2</v>
      </c>
      <c r="C413" s="72">
        <v>45212</v>
      </c>
      <c r="D413">
        <v>42</v>
      </c>
      <c r="E413" s="173">
        <v>0.41666666666666669</v>
      </c>
      <c r="F413" t="s">
        <v>136</v>
      </c>
      <c r="G413" t="s">
        <v>28</v>
      </c>
      <c r="H413" t="s">
        <v>166</v>
      </c>
      <c r="I413" t="s">
        <v>212</v>
      </c>
      <c r="J413" t="s">
        <v>618</v>
      </c>
      <c r="K413" t="s">
        <v>3116</v>
      </c>
      <c r="L413" t="s">
        <v>108</v>
      </c>
      <c r="M413" t="s">
        <v>1029</v>
      </c>
      <c r="N413">
        <v>967555800</v>
      </c>
      <c r="O413" t="s">
        <v>291</v>
      </c>
      <c r="P413" s="154">
        <v>13030336</v>
      </c>
      <c r="Q413" t="s">
        <v>185</v>
      </c>
      <c r="R413" t="s">
        <v>600</v>
      </c>
      <c r="S413" t="s">
        <v>3117</v>
      </c>
      <c r="T413" t="s">
        <v>3118</v>
      </c>
      <c r="U413" t="s">
        <v>1178</v>
      </c>
      <c r="V413" t="s">
        <v>3119</v>
      </c>
      <c r="W413" t="s">
        <v>101</v>
      </c>
      <c r="X413" t="s">
        <v>156</v>
      </c>
      <c r="Y413" s="229">
        <v>1351.5</v>
      </c>
      <c r="Z413" s="176">
        <v>1034362.5749999998</v>
      </c>
      <c r="AA413">
        <v>285</v>
      </c>
      <c r="AD413" s="199">
        <v>0.34</v>
      </c>
      <c r="AE413" s="199" t="s">
        <v>1374</v>
      </c>
      <c r="AF413" s="179">
        <v>0</v>
      </c>
      <c r="AG413" s="179">
        <v>106.91500000000001</v>
      </c>
      <c r="AH413" s="179"/>
      <c r="AI413" s="179">
        <v>144.74100000000001</v>
      </c>
      <c r="AJ413" s="179">
        <v>8.5609999999999999</v>
      </c>
      <c r="AK413" s="179"/>
      <c r="AL413">
        <v>10</v>
      </c>
      <c r="AM413">
        <v>2023</v>
      </c>
      <c r="AN413" s="250"/>
      <c r="AP413" t="str">
        <f>IF(BD_Bloqueados[[#This Row],[Analista ]]&lt;&gt;"Ana C",MID(BD_Bloqueados[[#This Row],[ID]],3,5),MID(BD_Bloqueados[[#This Row],[ID]],4,5))</f>
        <v>28623</v>
      </c>
      <c r="AQ413">
        <v>304</v>
      </c>
      <c r="AR413">
        <v>2023</v>
      </c>
      <c r="AS413" s="72">
        <v>44927</v>
      </c>
      <c r="AT413" s="72">
        <v>45230</v>
      </c>
      <c r="AU413">
        <v>10</v>
      </c>
    </row>
    <row r="414" spans="1:47">
      <c r="A414" t="s">
        <v>2835</v>
      </c>
      <c r="B414">
        <v>2</v>
      </c>
      <c r="C414" s="72">
        <v>45270</v>
      </c>
      <c r="D414">
        <v>42</v>
      </c>
      <c r="E414" s="173">
        <v>0.52083333333333337</v>
      </c>
      <c r="F414" t="s">
        <v>78</v>
      </c>
      <c r="G414" t="s">
        <v>27</v>
      </c>
      <c r="H414" t="s">
        <v>140</v>
      </c>
      <c r="I414" t="s">
        <v>87</v>
      </c>
      <c r="J414" t="s">
        <v>2681</v>
      </c>
      <c r="K414" t="s">
        <v>2836</v>
      </c>
      <c r="L414" t="s">
        <v>77</v>
      </c>
      <c r="M414" t="s">
        <v>742</v>
      </c>
      <c r="N414">
        <v>76006727</v>
      </c>
      <c r="O414" t="s">
        <v>2837</v>
      </c>
      <c r="P414" s="154"/>
      <c r="Q414" t="s">
        <v>80</v>
      </c>
      <c r="R414" t="s">
        <v>608</v>
      </c>
      <c r="S414" t="s">
        <v>2838</v>
      </c>
      <c r="T414" t="s">
        <v>2839</v>
      </c>
      <c r="U414" t="s">
        <v>2840</v>
      </c>
      <c r="V414" t="s">
        <v>2841</v>
      </c>
      <c r="W414" t="s">
        <v>101</v>
      </c>
      <c r="X414" t="s">
        <v>129</v>
      </c>
      <c r="Y414" s="229">
        <v>40</v>
      </c>
      <c r="Z414" s="176"/>
      <c r="AA414">
        <v>23271503</v>
      </c>
      <c r="AD414" s="199"/>
      <c r="AE414" s="199"/>
      <c r="AF414" s="179"/>
      <c r="AG414" s="179"/>
      <c r="AH414" s="179"/>
      <c r="AI414" s="179"/>
      <c r="AJ414" s="179"/>
      <c r="AK414" s="179"/>
      <c r="AL414">
        <v>10</v>
      </c>
      <c r="AM414">
        <v>2023</v>
      </c>
      <c r="AN414" s="250"/>
      <c r="AP414" t="str">
        <f>IF(BD_Bloqueados[[#This Row],[Analista ]]&lt;&gt;"Ana C",MID(BD_Bloqueados[[#This Row],[ID]],3,5),MID(BD_Bloqueados[[#This Row],[ID]],4,5))</f>
        <v>28523</v>
      </c>
      <c r="AQ414">
        <v>303</v>
      </c>
      <c r="AR414">
        <v>2023</v>
      </c>
      <c r="AS414" s="72">
        <v>44927</v>
      </c>
      <c r="AT414" s="72">
        <v>45229</v>
      </c>
      <c r="AU414">
        <v>10</v>
      </c>
    </row>
    <row r="415" spans="1:47">
      <c r="A415" t="s">
        <v>2842</v>
      </c>
      <c r="B415">
        <v>2</v>
      </c>
      <c r="C415" s="72">
        <v>45270</v>
      </c>
      <c r="D415">
        <v>42</v>
      </c>
      <c r="E415" s="173">
        <v>0.52083333333333337</v>
      </c>
      <c r="F415" t="s">
        <v>78</v>
      </c>
      <c r="G415" t="s">
        <v>27</v>
      </c>
      <c r="H415" t="s">
        <v>140</v>
      </c>
      <c r="I415" t="s">
        <v>87</v>
      </c>
      <c r="J415" t="s">
        <v>2681</v>
      </c>
      <c r="K415" t="s">
        <v>2836</v>
      </c>
      <c r="L415" t="s">
        <v>77</v>
      </c>
      <c r="M415" t="s">
        <v>742</v>
      </c>
      <c r="N415">
        <v>76006727</v>
      </c>
      <c r="O415" t="s">
        <v>509</v>
      </c>
      <c r="P415" s="154">
        <v>10003596</v>
      </c>
      <c r="Q415" t="s">
        <v>80</v>
      </c>
      <c r="R415" t="s">
        <v>608</v>
      </c>
      <c r="S415" t="s">
        <v>2838</v>
      </c>
      <c r="T415" t="s">
        <v>2839</v>
      </c>
      <c r="U415" t="s">
        <v>2840</v>
      </c>
      <c r="V415" t="s">
        <v>2841</v>
      </c>
      <c r="W415" t="s">
        <v>101</v>
      </c>
      <c r="Y415" s="229">
        <v>580</v>
      </c>
      <c r="Z415" s="176"/>
      <c r="AA415">
        <v>23271503</v>
      </c>
      <c r="AD415" s="199"/>
      <c r="AE415" s="199"/>
      <c r="AF415" s="179"/>
      <c r="AG415" s="179"/>
      <c r="AH415" s="179"/>
      <c r="AI415" s="179"/>
      <c r="AJ415" s="179"/>
      <c r="AK415" s="179"/>
      <c r="AL415">
        <v>10</v>
      </c>
      <c r="AM415">
        <v>2023</v>
      </c>
      <c r="AN415" s="250"/>
      <c r="AP415" t="str">
        <f>IF(BD_Bloqueados[[#This Row],[Analista ]]&lt;&gt;"Ana C",MID(BD_Bloqueados[[#This Row],[ID]],3,5),MID(BD_Bloqueados[[#This Row],[ID]],4,5))</f>
        <v>28523</v>
      </c>
      <c r="AQ415">
        <v>303</v>
      </c>
      <c r="AR415">
        <v>2023</v>
      </c>
      <c r="AS415" s="72">
        <v>44927</v>
      </c>
      <c r="AT415" s="72">
        <v>45229</v>
      </c>
      <c r="AU415">
        <v>10</v>
      </c>
    </row>
    <row r="416" spans="1:47">
      <c r="A416" t="s">
        <v>2843</v>
      </c>
      <c r="B416">
        <v>2</v>
      </c>
      <c r="C416" s="72">
        <v>45270</v>
      </c>
      <c r="D416">
        <v>42</v>
      </c>
      <c r="E416" s="173">
        <v>3.472222222222222E-3</v>
      </c>
      <c r="F416" t="s">
        <v>136</v>
      </c>
      <c r="G416" t="s">
        <v>27</v>
      </c>
      <c r="H416" t="s">
        <v>231</v>
      </c>
      <c r="I416" t="s">
        <v>212</v>
      </c>
      <c r="J416" t="s">
        <v>618</v>
      </c>
      <c r="K416" t="s">
        <v>2844</v>
      </c>
      <c r="L416" t="s">
        <v>108</v>
      </c>
      <c r="M416" t="s">
        <v>1029</v>
      </c>
      <c r="N416">
        <v>967555800</v>
      </c>
      <c r="O416" t="s">
        <v>148</v>
      </c>
      <c r="P416" s="154">
        <v>13030495</v>
      </c>
      <c r="Q416" t="s">
        <v>80</v>
      </c>
      <c r="R416" t="s">
        <v>589</v>
      </c>
      <c r="S416" t="s">
        <v>2845</v>
      </c>
      <c r="T416" t="s">
        <v>2846</v>
      </c>
      <c r="U416" t="s">
        <v>2847</v>
      </c>
      <c r="V416" t="s">
        <v>2848</v>
      </c>
      <c r="W416" t="s">
        <v>101</v>
      </c>
      <c r="X416" t="s">
        <v>102</v>
      </c>
      <c r="Y416" s="229">
        <v>336</v>
      </c>
      <c r="Z416" s="176">
        <v>0</v>
      </c>
      <c r="AA416">
        <v>284</v>
      </c>
      <c r="AB416" t="s">
        <v>1491</v>
      </c>
      <c r="AC416" t="s">
        <v>1252</v>
      </c>
      <c r="AD416" s="199">
        <v>0.47</v>
      </c>
      <c r="AE416" s="199" t="s">
        <v>1374</v>
      </c>
      <c r="AF416" s="179">
        <v>0</v>
      </c>
      <c r="AG416" s="179">
        <v>0</v>
      </c>
      <c r="AH416" s="179">
        <v>0</v>
      </c>
      <c r="AI416" s="179">
        <v>54.545000000000002</v>
      </c>
      <c r="AJ416" s="179">
        <v>0</v>
      </c>
      <c r="AK416" s="179">
        <v>0</v>
      </c>
      <c r="AL416">
        <v>10</v>
      </c>
      <c r="AM416">
        <v>2023</v>
      </c>
      <c r="AN416" s="250" t="s">
        <v>1283</v>
      </c>
      <c r="AP416" t="str">
        <f>IF(BD_Bloqueados[[#This Row],[Analista ]]&lt;&gt;"Ana C",MID(BD_Bloqueados[[#This Row],[ID]],3,5),MID(BD_Bloqueados[[#This Row],[ID]],4,5))</f>
        <v>28523</v>
      </c>
      <c r="AQ416">
        <v>303</v>
      </c>
      <c r="AR416">
        <v>2023</v>
      </c>
      <c r="AS416" s="72">
        <v>44927</v>
      </c>
      <c r="AT416" s="72">
        <v>45229</v>
      </c>
      <c r="AU416">
        <v>10</v>
      </c>
    </row>
    <row r="417" spans="1:47">
      <c r="A417" t="s">
        <v>3120</v>
      </c>
      <c r="B417">
        <v>2</v>
      </c>
      <c r="C417" s="72">
        <v>45240</v>
      </c>
      <c r="D417">
        <v>42</v>
      </c>
      <c r="E417" s="173">
        <v>0.45833333333333331</v>
      </c>
      <c r="F417" t="s">
        <v>78</v>
      </c>
      <c r="G417" t="s">
        <v>29</v>
      </c>
      <c r="H417" t="s">
        <v>165</v>
      </c>
      <c r="I417" t="s">
        <v>248</v>
      </c>
      <c r="J417" t="s">
        <v>2681</v>
      </c>
      <c r="K417" t="s">
        <v>2473</v>
      </c>
      <c r="L417" t="s">
        <v>108</v>
      </c>
      <c r="M417" t="s">
        <v>1029</v>
      </c>
      <c r="N417">
        <v>967555800</v>
      </c>
      <c r="O417" t="s">
        <v>235</v>
      </c>
      <c r="P417" s="154">
        <v>13030557</v>
      </c>
      <c r="Q417" t="s">
        <v>206</v>
      </c>
      <c r="R417" t="s">
        <v>579</v>
      </c>
      <c r="S417" t="s">
        <v>3121</v>
      </c>
      <c r="T417" t="s">
        <v>1318</v>
      </c>
      <c r="U417" t="s">
        <v>2998</v>
      </c>
      <c r="W417" t="s">
        <v>101</v>
      </c>
      <c r="X417" t="s">
        <v>129</v>
      </c>
      <c r="Y417" s="229">
        <v>1080</v>
      </c>
      <c r="Z417" s="176">
        <v>2116242.4186046515</v>
      </c>
      <c r="AA417">
        <v>284</v>
      </c>
      <c r="AB417" t="s">
        <v>1407</v>
      </c>
      <c r="AC417" t="s">
        <v>1291</v>
      </c>
      <c r="AD417" s="199">
        <v>0.43</v>
      </c>
      <c r="AE417" s="199" t="s">
        <v>1374</v>
      </c>
      <c r="AF417" s="179">
        <v>0</v>
      </c>
      <c r="AG417" s="179">
        <v>48.34</v>
      </c>
      <c r="AH417" s="179">
        <v>742.86900000000003</v>
      </c>
      <c r="AI417" s="179">
        <v>51.283000000000001</v>
      </c>
      <c r="AJ417" s="179">
        <v>8.5999999999999993E-2</v>
      </c>
      <c r="AK417" s="179">
        <v>0</v>
      </c>
      <c r="AL417">
        <v>10</v>
      </c>
      <c r="AM417">
        <v>2023</v>
      </c>
      <c r="AN417" s="250"/>
      <c r="AP417" t="str">
        <f>IF(BD_Bloqueados[[#This Row],[Analista ]]&lt;&gt;"Ana C",MID(BD_Bloqueados[[#This Row],[ID]],3,5),MID(BD_Bloqueados[[#This Row],[ID]],4,5))</f>
        <v>28423</v>
      </c>
      <c r="AQ417">
        <v>299</v>
      </c>
      <c r="AR417">
        <v>2023</v>
      </c>
      <c r="AS417" s="72">
        <v>44927</v>
      </c>
      <c r="AT417" s="72">
        <v>45225</v>
      </c>
      <c r="AU417">
        <v>10</v>
      </c>
    </row>
    <row r="418" spans="1:47">
      <c r="A418" t="s">
        <v>2995</v>
      </c>
      <c r="B418">
        <v>2</v>
      </c>
      <c r="C418" s="72">
        <v>45240</v>
      </c>
      <c r="D418">
        <v>42</v>
      </c>
      <c r="E418" s="173">
        <v>0.65277777777777779</v>
      </c>
      <c r="F418" t="s">
        <v>109</v>
      </c>
      <c r="G418" t="s">
        <v>29</v>
      </c>
      <c r="H418" t="s">
        <v>165</v>
      </c>
      <c r="I418" t="s">
        <v>259</v>
      </c>
      <c r="J418" t="s">
        <v>618</v>
      </c>
      <c r="K418" t="s">
        <v>2996</v>
      </c>
      <c r="L418" t="s">
        <v>108</v>
      </c>
      <c r="M418" t="s">
        <v>1029</v>
      </c>
      <c r="N418">
        <v>967555800</v>
      </c>
      <c r="O418" t="s">
        <v>818</v>
      </c>
      <c r="P418" s="154">
        <v>13030606</v>
      </c>
      <c r="Q418" t="s">
        <v>206</v>
      </c>
      <c r="R418" t="s">
        <v>579</v>
      </c>
      <c r="S418" t="s">
        <v>2997</v>
      </c>
      <c r="T418" t="s">
        <v>1318</v>
      </c>
      <c r="U418" t="s">
        <v>2998</v>
      </c>
      <c r="V418" t="s">
        <v>2999</v>
      </c>
      <c r="W418" t="s">
        <v>101</v>
      </c>
      <c r="X418" t="s">
        <v>129</v>
      </c>
      <c r="Y418" s="229">
        <v>207.36</v>
      </c>
      <c r="Z418" s="176">
        <v>892442.88</v>
      </c>
      <c r="AA418">
        <v>284</v>
      </c>
      <c r="AB418" t="s">
        <v>1407</v>
      </c>
      <c r="AC418" t="s">
        <v>1291</v>
      </c>
      <c r="AD418" s="199">
        <v>0.21000000000000002</v>
      </c>
      <c r="AE418" s="199" t="s">
        <v>1374</v>
      </c>
      <c r="AF418" s="179">
        <v>0</v>
      </c>
      <c r="AG418" s="179">
        <v>32.337333333333333</v>
      </c>
      <c r="AH418" s="179">
        <v>781.94633333333343</v>
      </c>
      <c r="AI418" s="179">
        <v>29.521333333333331</v>
      </c>
      <c r="AJ418" s="179">
        <v>60</v>
      </c>
      <c r="AK418" s="179">
        <v>0</v>
      </c>
      <c r="AL418">
        <v>10</v>
      </c>
      <c r="AM418">
        <v>2023</v>
      </c>
      <c r="AN418" s="250"/>
      <c r="AP418" t="str">
        <f>IF(BD_Bloqueados[[#This Row],[Analista ]]&lt;&gt;"Ana C",MID(BD_Bloqueados[[#This Row],[ID]],3,5),MID(BD_Bloqueados[[#This Row],[ID]],4,5))</f>
        <v>28423</v>
      </c>
      <c r="AQ418">
        <v>294</v>
      </c>
      <c r="AR418">
        <v>2023</v>
      </c>
      <c r="AS418" s="72">
        <v>44927</v>
      </c>
      <c r="AT418" s="72">
        <v>45220</v>
      </c>
      <c r="AU418">
        <v>10</v>
      </c>
    </row>
    <row r="419" spans="1:47">
      <c r="A419" t="s">
        <v>3000</v>
      </c>
      <c r="B419">
        <v>2</v>
      </c>
      <c r="C419" s="72">
        <v>45240</v>
      </c>
      <c r="D419">
        <v>42</v>
      </c>
      <c r="E419" s="173">
        <v>0.64583333333333337</v>
      </c>
      <c r="F419" t="s">
        <v>109</v>
      </c>
      <c r="G419" t="s">
        <v>29</v>
      </c>
      <c r="H419" t="s">
        <v>165</v>
      </c>
      <c r="I419" t="s">
        <v>259</v>
      </c>
      <c r="J419" t="s">
        <v>618</v>
      </c>
      <c r="K419" t="s">
        <v>3001</v>
      </c>
      <c r="L419" t="s">
        <v>108</v>
      </c>
      <c r="M419" t="s">
        <v>1029</v>
      </c>
      <c r="N419">
        <v>967555800</v>
      </c>
      <c r="O419" t="s">
        <v>820</v>
      </c>
      <c r="P419" s="154">
        <v>13030607</v>
      </c>
      <c r="Q419" t="s">
        <v>206</v>
      </c>
      <c r="R419" t="s">
        <v>579</v>
      </c>
      <c r="S419" t="s">
        <v>3002</v>
      </c>
      <c r="T419" t="s">
        <v>1318</v>
      </c>
      <c r="U419" t="s">
        <v>2998</v>
      </c>
      <c r="W419" t="s">
        <v>101</v>
      </c>
      <c r="X419" t="s">
        <v>129</v>
      </c>
      <c r="Y419" s="229">
        <v>456.19200000000001</v>
      </c>
      <c r="Z419" s="176"/>
      <c r="AA419">
        <v>284</v>
      </c>
      <c r="AD419" s="199"/>
      <c r="AE419" s="199"/>
      <c r="AF419" s="179"/>
      <c r="AG419" s="179"/>
      <c r="AH419" s="179"/>
      <c r="AI419" s="179"/>
      <c r="AJ419" s="179"/>
      <c r="AK419" s="179"/>
      <c r="AL419">
        <v>10</v>
      </c>
      <c r="AM419">
        <v>2023</v>
      </c>
      <c r="AN419" s="250"/>
      <c r="AP419" t="str">
        <f>IF(BD_Bloqueados[[#This Row],[Analista ]]&lt;&gt;"Ana C",MID(BD_Bloqueados[[#This Row],[ID]],3,5),MID(BD_Bloqueados[[#This Row],[ID]],4,5))</f>
        <v>28423</v>
      </c>
      <c r="AQ419">
        <v>293</v>
      </c>
      <c r="AR419">
        <v>2023</v>
      </c>
      <c r="AS419" s="72">
        <v>44927</v>
      </c>
      <c r="AT419" s="72">
        <v>45219</v>
      </c>
      <c r="AU419">
        <v>10</v>
      </c>
    </row>
    <row r="420" spans="1:47">
      <c r="A420" t="s">
        <v>3122</v>
      </c>
      <c r="B420">
        <v>2</v>
      </c>
      <c r="C420" s="72">
        <v>45209</v>
      </c>
      <c r="D420">
        <v>42</v>
      </c>
      <c r="E420" s="173">
        <v>0.98611111111111116</v>
      </c>
      <c r="F420" t="s">
        <v>136</v>
      </c>
      <c r="G420" t="s">
        <v>24</v>
      </c>
      <c r="H420" t="s">
        <v>165</v>
      </c>
      <c r="I420" t="s">
        <v>615</v>
      </c>
      <c r="J420" t="s">
        <v>169</v>
      </c>
      <c r="K420" t="s">
        <v>3123</v>
      </c>
      <c r="L420" t="s">
        <v>108</v>
      </c>
      <c r="M420" t="s">
        <v>1029</v>
      </c>
      <c r="N420">
        <v>967555800</v>
      </c>
      <c r="O420" t="s">
        <v>303</v>
      </c>
      <c r="P420" s="154">
        <v>13030395</v>
      </c>
      <c r="Q420" t="s">
        <v>206</v>
      </c>
      <c r="R420" t="s">
        <v>578</v>
      </c>
      <c r="S420" t="s">
        <v>3124</v>
      </c>
      <c r="T420" t="s">
        <v>3125</v>
      </c>
      <c r="U420" t="s">
        <v>3126</v>
      </c>
      <c r="V420" t="s">
        <v>3127</v>
      </c>
      <c r="W420" t="s">
        <v>101</v>
      </c>
      <c r="X420" t="s">
        <v>156</v>
      </c>
      <c r="Y420" s="229">
        <v>504</v>
      </c>
      <c r="Z420" s="176">
        <v>0</v>
      </c>
      <c r="AA420">
        <v>276</v>
      </c>
      <c r="AB420" t="s">
        <v>1407</v>
      </c>
      <c r="AC420" t="s">
        <v>1252</v>
      </c>
      <c r="AD420" s="199"/>
      <c r="AE420" s="199"/>
      <c r="AF420" s="179"/>
      <c r="AG420" s="179"/>
      <c r="AH420" s="179"/>
      <c r="AI420" s="179"/>
      <c r="AJ420" s="179"/>
      <c r="AK420" s="179"/>
      <c r="AL420">
        <v>10</v>
      </c>
      <c r="AM420">
        <v>2023</v>
      </c>
      <c r="AN420" s="250" t="s">
        <v>1611</v>
      </c>
      <c r="AP420" t="str">
        <f>IF(BD_Bloqueados[[#This Row],[Analista ]]&lt;&gt;"Ana C",MID(BD_Bloqueados[[#This Row],[ID]],3,5),MID(BD_Bloqueados[[#This Row],[ID]],4,5))</f>
        <v>28323</v>
      </c>
      <c r="AQ420">
        <v>291</v>
      </c>
      <c r="AR420">
        <v>2023</v>
      </c>
      <c r="AS420" s="72">
        <v>44927</v>
      </c>
      <c r="AT420" s="72">
        <v>45217</v>
      </c>
      <c r="AU420">
        <v>10</v>
      </c>
    </row>
    <row r="421" spans="1:47">
      <c r="A421" t="s">
        <v>3133</v>
      </c>
      <c r="B421">
        <v>2</v>
      </c>
      <c r="C421" s="72">
        <v>45117</v>
      </c>
      <c r="D421">
        <v>41</v>
      </c>
      <c r="E421" s="173">
        <v>0.47638888888888892</v>
      </c>
      <c r="F421" t="s">
        <v>78</v>
      </c>
      <c r="G421" t="s">
        <v>31</v>
      </c>
      <c r="H421" t="s">
        <v>84</v>
      </c>
      <c r="I421" t="s">
        <v>212</v>
      </c>
      <c r="J421" t="s">
        <v>591</v>
      </c>
      <c r="K421" t="s">
        <v>1863</v>
      </c>
      <c r="L421" t="s">
        <v>77</v>
      </c>
      <c r="M421" t="s">
        <v>3134</v>
      </c>
      <c r="O421" t="s">
        <v>3135</v>
      </c>
      <c r="P421" s="154"/>
      <c r="Q421" t="s">
        <v>35</v>
      </c>
      <c r="R421" t="s">
        <v>3136</v>
      </c>
      <c r="S421" t="s">
        <v>3137</v>
      </c>
      <c r="T421" t="s">
        <v>3138</v>
      </c>
      <c r="U421" t="s">
        <v>3139</v>
      </c>
      <c r="V421" t="s">
        <v>3140</v>
      </c>
      <c r="W421" t="s">
        <v>101</v>
      </c>
      <c r="Y421" s="229">
        <v>58720</v>
      </c>
      <c r="Z421" s="176"/>
      <c r="AD421" s="199"/>
      <c r="AE421" s="199"/>
      <c r="AF421" s="179"/>
      <c r="AG421" s="179"/>
      <c r="AH421" s="179"/>
      <c r="AI421" s="179"/>
      <c r="AJ421" s="179"/>
      <c r="AK421" s="179"/>
      <c r="AL421">
        <v>10</v>
      </c>
      <c r="AM421">
        <v>2023</v>
      </c>
      <c r="AN421" s="250"/>
      <c r="AP421" t="str">
        <f>IF(BD_Bloqueados[[#This Row],[Analista ]]&lt;&gt;"Ana C",MID(BD_Bloqueados[[#This Row],[ID]],3,5),MID(BD_Bloqueados[[#This Row],[ID]],4,5))</f>
        <v>28023</v>
      </c>
      <c r="AQ421">
        <v>290</v>
      </c>
      <c r="AR421">
        <v>2023</v>
      </c>
      <c r="AS421" s="72">
        <v>44927</v>
      </c>
      <c r="AT421" s="72">
        <v>45216</v>
      </c>
      <c r="AU421">
        <v>10</v>
      </c>
    </row>
    <row r="422" spans="1:47">
      <c r="A422" t="s">
        <v>3490</v>
      </c>
      <c r="B422">
        <v>2</v>
      </c>
      <c r="C422" s="72">
        <v>45117</v>
      </c>
      <c r="D422">
        <v>41</v>
      </c>
      <c r="E422" s="173">
        <v>0.10416666666666667</v>
      </c>
      <c r="F422" t="s">
        <v>136</v>
      </c>
      <c r="G422" t="s">
        <v>29</v>
      </c>
      <c r="H422" t="s">
        <v>166</v>
      </c>
      <c r="I422" t="s">
        <v>615</v>
      </c>
      <c r="J422" t="s">
        <v>2681</v>
      </c>
      <c r="K422" t="s">
        <v>1409</v>
      </c>
      <c r="L422" t="s">
        <v>108</v>
      </c>
      <c r="M422" t="s">
        <v>1029</v>
      </c>
      <c r="N422">
        <v>967555800</v>
      </c>
      <c r="O422" t="s">
        <v>146</v>
      </c>
      <c r="P422" s="154">
        <v>12001436</v>
      </c>
      <c r="Q422" t="s">
        <v>206</v>
      </c>
      <c r="R422" t="s">
        <v>579</v>
      </c>
      <c r="S422" t="s">
        <v>3491</v>
      </c>
      <c r="T422" t="s">
        <v>3492</v>
      </c>
      <c r="U422" t="s">
        <v>3493</v>
      </c>
      <c r="W422" t="s">
        <v>101</v>
      </c>
      <c r="Y422" s="229"/>
      <c r="Z422" s="176"/>
      <c r="AA422">
        <v>280</v>
      </c>
      <c r="AD422" s="199"/>
      <c r="AE422" s="199"/>
      <c r="AF422" s="179"/>
      <c r="AG422" s="179"/>
      <c r="AH422" s="179"/>
      <c r="AI422" s="179"/>
      <c r="AJ422" s="179"/>
      <c r="AK422" s="179"/>
      <c r="AL422">
        <v>10</v>
      </c>
      <c r="AM422">
        <v>2023</v>
      </c>
      <c r="AN422" s="250"/>
      <c r="AP422" t="str">
        <f>IF(BD_Bloqueados[[#This Row],[Analista ]]&lt;&gt;"Ana C",MID(BD_Bloqueados[[#This Row],[ID]],3,5),MID(BD_Bloqueados[[#This Row],[ID]],4,5))</f>
        <v>28023</v>
      </c>
      <c r="AQ422">
        <v>290</v>
      </c>
      <c r="AR422">
        <v>2023</v>
      </c>
      <c r="AS422" s="72">
        <v>44927</v>
      </c>
      <c r="AT422" s="72">
        <v>45216</v>
      </c>
      <c r="AU422">
        <v>10</v>
      </c>
    </row>
    <row r="423" spans="1:47">
      <c r="A423" t="s">
        <v>3149</v>
      </c>
      <c r="B423">
        <v>2</v>
      </c>
      <c r="C423" s="72">
        <v>45087</v>
      </c>
      <c r="D423">
        <v>41</v>
      </c>
      <c r="E423" s="173">
        <v>0.625</v>
      </c>
      <c r="F423" t="s">
        <v>109</v>
      </c>
      <c r="G423" t="s">
        <v>27</v>
      </c>
      <c r="H423" t="s">
        <v>189</v>
      </c>
      <c r="I423" t="s">
        <v>190</v>
      </c>
      <c r="J423" t="s">
        <v>618</v>
      </c>
      <c r="K423" t="s">
        <v>3150</v>
      </c>
      <c r="L423" t="s">
        <v>108</v>
      </c>
      <c r="M423" t="s">
        <v>1029</v>
      </c>
      <c r="N423">
        <v>967555800</v>
      </c>
      <c r="O423" t="s">
        <v>217</v>
      </c>
      <c r="P423" s="154">
        <v>13030104</v>
      </c>
      <c r="Q423" t="s">
        <v>138</v>
      </c>
      <c r="R423" t="s">
        <v>641</v>
      </c>
      <c r="S423" t="s">
        <v>3151</v>
      </c>
      <c r="T423" t="s">
        <v>3152</v>
      </c>
      <c r="U423" t="s">
        <v>3153</v>
      </c>
      <c r="V423" t="s">
        <v>3154</v>
      </c>
      <c r="W423" t="s">
        <v>101</v>
      </c>
      <c r="Y423" s="229">
        <v>1932</v>
      </c>
      <c r="Z423" s="176"/>
      <c r="AA423">
        <v>279</v>
      </c>
      <c r="AD423" s="199"/>
      <c r="AE423" s="199"/>
      <c r="AF423" s="179"/>
      <c r="AG423" s="179"/>
      <c r="AH423" s="179"/>
      <c r="AI423" s="179"/>
      <c r="AJ423" s="179"/>
      <c r="AK423" s="179"/>
      <c r="AL423">
        <v>10</v>
      </c>
      <c r="AM423">
        <v>2023</v>
      </c>
      <c r="AN423" s="250"/>
      <c r="AP423" t="str">
        <f>IF(BD_Bloqueados[[#This Row],[Analista ]]&lt;&gt;"Ana C",MID(BD_Bloqueados[[#This Row],[ID]],3,5),MID(BD_Bloqueados[[#This Row],[ID]],4,5))</f>
        <v>27923</v>
      </c>
      <c r="AQ423">
        <v>286</v>
      </c>
      <c r="AR423">
        <v>2023</v>
      </c>
      <c r="AS423" s="72">
        <v>44927</v>
      </c>
      <c r="AT423" s="72">
        <v>45212</v>
      </c>
      <c r="AU423">
        <v>10</v>
      </c>
    </row>
    <row r="424" spans="1:47">
      <c r="A424" t="s">
        <v>3155</v>
      </c>
      <c r="B424">
        <v>2</v>
      </c>
      <c r="C424" s="72">
        <v>45026</v>
      </c>
      <c r="D424">
        <v>41</v>
      </c>
      <c r="E424" s="173">
        <v>0.32500000000000001</v>
      </c>
      <c r="F424" t="s">
        <v>78</v>
      </c>
      <c r="G424" t="s">
        <v>27</v>
      </c>
      <c r="H424" t="s">
        <v>81</v>
      </c>
      <c r="I424" t="s">
        <v>635</v>
      </c>
      <c r="J424" t="s">
        <v>618</v>
      </c>
      <c r="K424" t="s">
        <v>2664</v>
      </c>
      <c r="L424" t="s">
        <v>77</v>
      </c>
      <c r="M424" t="s">
        <v>659</v>
      </c>
      <c r="N424">
        <v>96678110</v>
      </c>
      <c r="O424" t="s">
        <v>514</v>
      </c>
      <c r="P424" s="154">
        <v>10003474</v>
      </c>
      <c r="Q424" t="s">
        <v>206</v>
      </c>
      <c r="R424" t="s">
        <v>579</v>
      </c>
      <c r="S424" t="s">
        <v>3156</v>
      </c>
      <c r="T424" t="s">
        <v>3157</v>
      </c>
      <c r="U424" t="s">
        <v>3158</v>
      </c>
      <c r="V424" t="s">
        <v>3159</v>
      </c>
      <c r="W424" t="s">
        <v>101</v>
      </c>
      <c r="Y424" s="229"/>
      <c r="Z424" s="176"/>
      <c r="AA424">
        <v>26092023</v>
      </c>
      <c r="AD424" s="199"/>
      <c r="AE424" s="199"/>
      <c r="AF424" s="179"/>
      <c r="AG424" s="179"/>
      <c r="AH424" s="179"/>
      <c r="AI424" s="179"/>
      <c r="AJ424" s="179"/>
      <c r="AK424" s="179"/>
      <c r="AL424">
        <v>10</v>
      </c>
      <c r="AM424">
        <v>2023</v>
      </c>
      <c r="AN424" s="250"/>
      <c r="AP424" t="str">
        <f>IF(BD_Bloqueados[[#This Row],[Analista ]]&lt;&gt;"Ana C",MID(BD_Bloqueados[[#This Row],[ID]],3,5),MID(BD_Bloqueados[[#This Row],[ID]],4,5))</f>
        <v>27723</v>
      </c>
      <c r="AQ424">
        <v>285</v>
      </c>
      <c r="AR424">
        <v>2023</v>
      </c>
      <c r="AS424" s="72">
        <v>44927</v>
      </c>
      <c r="AT424" s="72">
        <v>45211</v>
      </c>
      <c r="AU424">
        <v>10</v>
      </c>
    </row>
    <row r="425" spans="1:47">
      <c r="A425" t="s">
        <v>3172</v>
      </c>
      <c r="B425">
        <v>2</v>
      </c>
      <c r="C425" s="72">
        <v>44995</v>
      </c>
      <c r="D425">
        <v>41</v>
      </c>
      <c r="E425" s="173">
        <v>0.4375</v>
      </c>
      <c r="F425" t="s">
        <v>78</v>
      </c>
      <c r="G425" t="s">
        <v>25</v>
      </c>
      <c r="H425" t="s">
        <v>164</v>
      </c>
      <c r="I425" t="s">
        <v>635</v>
      </c>
      <c r="J425" t="s">
        <v>576</v>
      </c>
      <c r="K425" t="s">
        <v>1595</v>
      </c>
      <c r="L425" t="s">
        <v>108</v>
      </c>
      <c r="M425" t="s">
        <v>1029</v>
      </c>
      <c r="N425">
        <v>967555800</v>
      </c>
      <c r="O425" t="s">
        <v>265</v>
      </c>
      <c r="P425" s="154">
        <v>13030402</v>
      </c>
      <c r="Q425" t="s">
        <v>206</v>
      </c>
      <c r="R425" t="s">
        <v>579</v>
      </c>
      <c r="S425" t="s">
        <v>3173</v>
      </c>
      <c r="T425" t="s">
        <v>3174</v>
      </c>
      <c r="U425" t="s">
        <v>3175</v>
      </c>
      <c r="V425" t="s">
        <v>3176</v>
      </c>
      <c r="W425" t="s">
        <v>101</v>
      </c>
      <c r="X425" t="s">
        <v>156</v>
      </c>
      <c r="Y425" s="229"/>
      <c r="Z425" s="176"/>
      <c r="AA425">
        <v>276</v>
      </c>
      <c r="AB425" t="s">
        <v>1550</v>
      </c>
      <c r="AC425" t="s">
        <v>1291</v>
      </c>
      <c r="AD425" s="199"/>
      <c r="AE425" s="199"/>
      <c r="AF425" s="179"/>
      <c r="AG425" s="179"/>
      <c r="AH425" s="179"/>
      <c r="AI425" s="179"/>
      <c r="AJ425" s="179"/>
      <c r="AK425" s="179"/>
      <c r="AL425">
        <v>10</v>
      </c>
      <c r="AM425">
        <v>2023</v>
      </c>
      <c r="AN425" s="250"/>
      <c r="AP425" t="str">
        <f>IF(BD_Bloqueados[[#This Row],[Analista ]]&lt;&gt;"Ana C",MID(BD_Bloqueados[[#This Row],[ID]],3,5),MID(BD_Bloqueados[[#This Row],[ID]],4,5))</f>
        <v>27623</v>
      </c>
      <c r="AQ425">
        <v>285</v>
      </c>
      <c r="AR425">
        <v>2023</v>
      </c>
      <c r="AS425" s="72">
        <v>44927</v>
      </c>
      <c r="AT425" s="72">
        <v>45211</v>
      </c>
      <c r="AU425">
        <v>10</v>
      </c>
    </row>
    <row r="426" spans="1:47">
      <c r="A426" t="s">
        <v>3177</v>
      </c>
      <c r="B426">
        <v>2</v>
      </c>
      <c r="C426" s="72">
        <v>44995</v>
      </c>
      <c r="D426">
        <v>41</v>
      </c>
      <c r="E426" s="173">
        <v>0.53402777777777777</v>
      </c>
      <c r="F426" t="s">
        <v>78</v>
      </c>
      <c r="G426" t="s">
        <v>31</v>
      </c>
      <c r="H426" t="s">
        <v>84</v>
      </c>
      <c r="I426" t="s">
        <v>232</v>
      </c>
      <c r="J426" t="s">
        <v>576</v>
      </c>
      <c r="K426" t="s">
        <v>3178</v>
      </c>
      <c r="L426" t="s">
        <v>108</v>
      </c>
      <c r="M426" t="s">
        <v>1029</v>
      </c>
      <c r="N426">
        <v>967555800</v>
      </c>
      <c r="O426" t="s">
        <v>200</v>
      </c>
      <c r="P426" s="154">
        <v>13030428</v>
      </c>
      <c r="Q426" t="s">
        <v>206</v>
      </c>
      <c r="R426" t="s">
        <v>589</v>
      </c>
      <c r="S426" t="s">
        <v>3179</v>
      </c>
      <c r="T426" t="s">
        <v>3180</v>
      </c>
      <c r="U426" t="s">
        <v>3181</v>
      </c>
      <c r="V426" t="s">
        <v>3182</v>
      </c>
      <c r="W426" t="s">
        <v>101</v>
      </c>
      <c r="Y426" s="229">
        <v>105.6</v>
      </c>
      <c r="Z426" s="176"/>
      <c r="AA426">
        <v>275</v>
      </c>
      <c r="AD426" s="199"/>
      <c r="AE426" s="199"/>
      <c r="AF426" s="179"/>
      <c r="AG426" s="179"/>
      <c r="AH426" s="179"/>
      <c r="AI426" s="179"/>
      <c r="AJ426" s="179"/>
      <c r="AK426" s="179"/>
      <c r="AL426">
        <v>10</v>
      </c>
      <c r="AM426">
        <v>2023</v>
      </c>
      <c r="AN426" s="250"/>
      <c r="AP426" t="str">
        <f>IF(BD_Bloqueados[[#This Row],[Analista ]]&lt;&gt;"Ana C",MID(BD_Bloqueados[[#This Row],[ID]],3,5),MID(BD_Bloqueados[[#This Row],[ID]],4,5))</f>
        <v>27623</v>
      </c>
      <c r="AQ426">
        <v>285</v>
      </c>
      <c r="AR426">
        <v>2023</v>
      </c>
      <c r="AS426" s="72">
        <v>44927</v>
      </c>
      <c r="AT426" s="72">
        <v>45211</v>
      </c>
      <c r="AU426">
        <v>10</v>
      </c>
    </row>
    <row r="427" spans="1:47">
      <c r="A427" t="s">
        <v>3188</v>
      </c>
      <c r="B427">
        <v>2</v>
      </c>
      <c r="C427" s="72">
        <v>44967</v>
      </c>
      <c r="D427">
        <v>41</v>
      </c>
      <c r="E427" s="173">
        <v>0.36458333333333331</v>
      </c>
      <c r="F427" t="s">
        <v>78</v>
      </c>
      <c r="G427" t="s">
        <v>25</v>
      </c>
      <c r="H427" t="s">
        <v>81</v>
      </c>
      <c r="I427" t="s">
        <v>635</v>
      </c>
      <c r="J427" t="s">
        <v>576</v>
      </c>
      <c r="K427" t="s">
        <v>2551</v>
      </c>
      <c r="L427" t="s">
        <v>108</v>
      </c>
      <c r="M427" t="s">
        <v>1029</v>
      </c>
      <c r="N427">
        <v>967555800</v>
      </c>
      <c r="O427" t="s">
        <v>265</v>
      </c>
      <c r="P427" s="154">
        <v>13030402</v>
      </c>
      <c r="Q427" t="s">
        <v>206</v>
      </c>
      <c r="R427" t="s">
        <v>579</v>
      </c>
      <c r="S427" t="s">
        <v>3189</v>
      </c>
      <c r="T427" t="s">
        <v>3190</v>
      </c>
      <c r="U427" t="s">
        <v>3191</v>
      </c>
      <c r="V427" t="s">
        <v>3192</v>
      </c>
      <c r="W427" t="s">
        <v>101</v>
      </c>
      <c r="Y427" s="229">
        <v>8004</v>
      </c>
      <c r="Z427" s="176"/>
      <c r="AA427">
        <v>275</v>
      </c>
      <c r="AB427" t="s">
        <v>1550</v>
      </c>
      <c r="AC427" t="s">
        <v>1479</v>
      </c>
      <c r="AD427" s="199"/>
      <c r="AE427" s="199"/>
      <c r="AF427" s="179"/>
      <c r="AG427" s="179"/>
      <c r="AH427" s="179"/>
      <c r="AI427" s="179"/>
      <c r="AJ427" s="179"/>
      <c r="AK427" s="179"/>
      <c r="AL427">
        <v>10</v>
      </c>
      <c r="AM427">
        <v>2023</v>
      </c>
      <c r="AN427" s="250"/>
      <c r="AP427" t="str">
        <f>IF(BD_Bloqueados[[#This Row],[Analista ]]&lt;&gt;"Ana C",MID(BD_Bloqueados[[#This Row],[ID]],3,5),MID(BD_Bloqueados[[#This Row],[ID]],4,5))</f>
        <v>27523</v>
      </c>
      <c r="AQ427">
        <v>284</v>
      </c>
      <c r="AR427">
        <v>2023</v>
      </c>
      <c r="AS427" s="72">
        <v>44927</v>
      </c>
      <c r="AT427" s="72">
        <v>45210</v>
      </c>
      <c r="AU427">
        <v>10</v>
      </c>
    </row>
    <row r="428" spans="1:47">
      <c r="A428" t="s">
        <v>3193</v>
      </c>
      <c r="B428">
        <v>2</v>
      </c>
      <c r="C428" s="72">
        <v>45198</v>
      </c>
      <c r="D428">
        <v>40</v>
      </c>
      <c r="E428" s="173">
        <v>0.23611111111111113</v>
      </c>
      <c r="F428" t="s">
        <v>136</v>
      </c>
      <c r="G428" t="s">
        <v>22</v>
      </c>
      <c r="H428" t="s">
        <v>164</v>
      </c>
      <c r="I428" t="s">
        <v>248</v>
      </c>
      <c r="J428" t="s">
        <v>567</v>
      </c>
      <c r="K428" t="s">
        <v>1275</v>
      </c>
      <c r="L428" t="s">
        <v>108</v>
      </c>
      <c r="M428" t="s">
        <v>1029</v>
      </c>
      <c r="N428">
        <v>967555800</v>
      </c>
      <c r="O428" t="s">
        <v>93</v>
      </c>
      <c r="P428" s="154">
        <v>12001396</v>
      </c>
      <c r="Q428" t="s">
        <v>206</v>
      </c>
      <c r="R428" t="s">
        <v>584</v>
      </c>
      <c r="S428" t="s">
        <v>3194</v>
      </c>
      <c r="T428" t="s">
        <v>3195</v>
      </c>
      <c r="U428" t="s">
        <v>3196</v>
      </c>
      <c r="V428" t="s">
        <v>3197</v>
      </c>
      <c r="W428" t="s">
        <v>101</v>
      </c>
      <c r="X428" t="s">
        <v>156</v>
      </c>
      <c r="Y428" s="229">
        <v>4200</v>
      </c>
      <c r="Z428" s="176">
        <v>0</v>
      </c>
      <c r="AA428">
        <v>272</v>
      </c>
      <c r="AD428" s="199"/>
      <c r="AE428" s="199"/>
      <c r="AF428" s="179"/>
      <c r="AG428" s="179"/>
      <c r="AH428" s="179"/>
      <c r="AI428" s="179"/>
      <c r="AJ428" s="179"/>
      <c r="AK428" s="179"/>
      <c r="AL428">
        <v>9</v>
      </c>
      <c r="AM428">
        <v>2023</v>
      </c>
      <c r="AN428" s="250"/>
      <c r="AP428" t="str">
        <f>IF(BD_Bloqueados[[#This Row],[Analista ]]&lt;&gt;"Ana C",MID(BD_Bloqueados[[#This Row],[ID]],3,5),MID(BD_Bloqueados[[#This Row],[ID]],4,5))</f>
        <v>27223</v>
      </c>
      <c r="AQ428">
        <v>284</v>
      </c>
      <c r="AR428">
        <v>2023</v>
      </c>
      <c r="AS428" s="72">
        <v>44927</v>
      </c>
      <c r="AT428" s="72">
        <v>45210</v>
      </c>
      <c r="AU428">
        <v>10</v>
      </c>
    </row>
    <row r="429" spans="1:47">
      <c r="A429" t="s">
        <v>3198</v>
      </c>
      <c r="B429">
        <v>2</v>
      </c>
      <c r="C429" s="72">
        <v>45197</v>
      </c>
      <c r="D429">
        <v>40</v>
      </c>
      <c r="E429" s="173">
        <v>0.18055555555555555</v>
      </c>
      <c r="F429" t="s">
        <v>136</v>
      </c>
      <c r="G429" t="s">
        <v>27</v>
      </c>
      <c r="H429" t="s">
        <v>140</v>
      </c>
      <c r="I429" t="s">
        <v>143</v>
      </c>
      <c r="J429" t="s">
        <v>2681</v>
      </c>
      <c r="K429" t="s">
        <v>2836</v>
      </c>
      <c r="L429" t="s">
        <v>77</v>
      </c>
      <c r="M429" t="s">
        <v>706</v>
      </c>
      <c r="N429">
        <v>81145500</v>
      </c>
      <c r="O429" t="s">
        <v>513</v>
      </c>
      <c r="P429" s="154">
        <v>10000521</v>
      </c>
      <c r="Q429" t="s">
        <v>138</v>
      </c>
      <c r="R429" t="s">
        <v>79</v>
      </c>
      <c r="S429" t="s">
        <v>3199</v>
      </c>
      <c r="T429" t="s">
        <v>3200</v>
      </c>
      <c r="U429" t="s">
        <v>2633</v>
      </c>
      <c r="V429" t="s">
        <v>3201</v>
      </c>
      <c r="W429" t="s">
        <v>101</v>
      </c>
      <c r="X429" t="s">
        <v>129</v>
      </c>
      <c r="Y429" s="229">
        <v>93450</v>
      </c>
      <c r="Z429" s="176"/>
      <c r="AA429" t="s">
        <v>3202</v>
      </c>
      <c r="AD429" s="199"/>
      <c r="AE429" s="199"/>
      <c r="AF429" s="179"/>
      <c r="AG429" s="179"/>
      <c r="AH429" s="179"/>
      <c r="AI429" s="179"/>
      <c r="AJ429" s="179"/>
      <c r="AK429" s="179"/>
      <c r="AL429">
        <v>9</v>
      </c>
      <c r="AM429">
        <v>2023</v>
      </c>
      <c r="AN429" s="250"/>
      <c r="AP429" t="str">
        <f>IF(BD_Bloqueados[[#This Row],[Analista ]]&lt;&gt;"Ana C",MID(BD_Bloqueados[[#This Row],[ID]],3,5),MID(BD_Bloqueados[[#This Row],[ID]],4,5))</f>
        <v>27123</v>
      </c>
      <c r="AQ429">
        <v>283</v>
      </c>
      <c r="AR429">
        <v>2023</v>
      </c>
      <c r="AS429" s="72">
        <v>44927</v>
      </c>
      <c r="AT429" s="72">
        <v>45209</v>
      </c>
      <c r="AU429">
        <v>10</v>
      </c>
    </row>
    <row r="430" spans="1:47">
      <c r="A430" t="s">
        <v>3203</v>
      </c>
      <c r="B430">
        <v>2</v>
      </c>
      <c r="C430" s="72">
        <v>45196</v>
      </c>
      <c r="D430">
        <v>40</v>
      </c>
      <c r="E430" s="173">
        <v>0.58472222222222225</v>
      </c>
      <c r="F430" t="s">
        <v>109</v>
      </c>
      <c r="G430" t="s">
        <v>30</v>
      </c>
      <c r="H430" t="s">
        <v>30</v>
      </c>
      <c r="I430" t="s">
        <v>87</v>
      </c>
      <c r="J430" t="s">
        <v>260</v>
      </c>
      <c r="K430" t="s">
        <v>3204</v>
      </c>
      <c r="L430" t="s">
        <v>77</v>
      </c>
      <c r="M430" t="s">
        <v>3205</v>
      </c>
      <c r="O430" t="s">
        <v>3206</v>
      </c>
      <c r="P430" s="154"/>
      <c r="Q430" t="s">
        <v>138</v>
      </c>
      <c r="R430" t="s">
        <v>590</v>
      </c>
      <c r="S430" t="s">
        <v>3207</v>
      </c>
      <c r="T430" t="s">
        <v>3208</v>
      </c>
      <c r="U430" t="s">
        <v>3209</v>
      </c>
      <c r="V430" t="s">
        <v>3210</v>
      </c>
      <c r="W430" t="s">
        <v>101</v>
      </c>
      <c r="X430" t="s">
        <v>1518</v>
      </c>
      <c r="Y430" s="229"/>
      <c r="Z430" s="176">
        <v>0</v>
      </c>
      <c r="AA430" t="s">
        <v>3211</v>
      </c>
      <c r="AD430" s="199"/>
      <c r="AE430" s="199"/>
      <c r="AF430" s="179"/>
      <c r="AG430" s="179"/>
      <c r="AH430" s="179"/>
      <c r="AI430" s="179"/>
      <c r="AJ430" s="179"/>
      <c r="AK430" s="179"/>
      <c r="AL430">
        <v>9</v>
      </c>
      <c r="AM430">
        <v>2023</v>
      </c>
      <c r="AN430" s="250"/>
      <c r="AP430" t="str">
        <f>IF(BD_Bloqueados[[#This Row],[Analista ]]&lt;&gt;"Ana C",MID(BD_Bloqueados[[#This Row],[ID]],3,5),MID(BD_Bloqueados[[#This Row],[ID]],4,5))</f>
        <v>27023</v>
      </c>
      <c r="AQ430">
        <v>272</v>
      </c>
      <c r="AR430">
        <v>2023</v>
      </c>
      <c r="AS430" s="72">
        <v>44927</v>
      </c>
      <c r="AT430" s="72">
        <v>45198</v>
      </c>
      <c r="AU430">
        <v>9</v>
      </c>
    </row>
    <row r="431" spans="1:47">
      <c r="A431" t="s">
        <v>3212</v>
      </c>
      <c r="B431">
        <v>2</v>
      </c>
      <c r="C431" s="72">
        <v>45196</v>
      </c>
      <c r="D431">
        <v>40</v>
      </c>
      <c r="E431" s="173">
        <v>0.75</v>
      </c>
      <c r="F431" t="s">
        <v>109</v>
      </c>
      <c r="G431" t="s">
        <v>23</v>
      </c>
      <c r="H431" t="s">
        <v>139</v>
      </c>
      <c r="I431" t="s">
        <v>635</v>
      </c>
      <c r="J431" t="s">
        <v>591</v>
      </c>
      <c r="K431" t="s">
        <v>2268</v>
      </c>
      <c r="L431" t="s">
        <v>108</v>
      </c>
      <c r="M431" t="s">
        <v>1029</v>
      </c>
      <c r="N431">
        <v>967555800</v>
      </c>
      <c r="O431" t="s">
        <v>285</v>
      </c>
      <c r="P431" s="154">
        <v>13030597</v>
      </c>
      <c r="Q431" t="s">
        <v>138</v>
      </c>
      <c r="R431" t="s">
        <v>589</v>
      </c>
      <c r="S431" t="s">
        <v>3213</v>
      </c>
      <c r="T431" t="s">
        <v>3214</v>
      </c>
      <c r="U431" t="s">
        <v>3215</v>
      </c>
      <c r="V431" t="s">
        <v>3216</v>
      </c>
      <c r="W431" t="s">
        <v>101</v>
      </c>
      <c r="X431" t="s">
        <v>102</v>
      </c>
      <c r="Y431" s="229">
        <v>422.4</v>
      </c>
      <c r="Z431" s="176">
        <v>0</v>
      </c>
      <c r="AA431">
        <v>270</v>
      </c>
      <c r="AB431" t="s">
        <v>1356</v>
      </c>
      <c r="AC431" t="s">
        <v>1349</v>
      </c>
      <c r="AD431" s="199"/>
      <c r="AE431" s="199"/>
      <c r="AF431" s="179"/>
      <c r="AG431" s="179"/>
      <c r="AH431" s="179"/>
      <c r="AI431" s="179"/>
      <c r="AJ431" s="179"/>
      <c r="AK431" s="179"/>
      <c r="AL431">
        <v>9</v>
      </c>
      <c r="AM431">
        <v>2023</v>
      </c>
      <c r="AN431" s="250"/>
      <c r="AP431" t="str">
        <f>IF(BD_Bloqueados[[#This Row],[Analista ]]&lt;&gt;"Ana C",MID(BD_Bloqueados[[#This Row],[ID]],3,5),MID(BD_Bloqueados[[#This Row],[ID]],4,5))</f>
        <v>27023</v>
      </c>
      <c r="AQ431">
        <v>271</v>
      </c>
      <c r="AR431">
        <v>2023</v>
      </c>
      <c r="AS431" s="72">
        <v>44927</v>
      </c>
      <c r="AT431" s="72">
        <v>45197</v>
      </c>
      <c r="AU431">
        <v>9</v>
      </c>
    </row>
    <row r="432" spans="1:47">
      <c r="A432" t="s">
        <v>3217</v>
      </c>
      <c r="B432">
        <v>2</v>
      </c>
      <c r="C432" s="72">
        <v>45196</v>
      </c>
      <c r="D432">
        <v>40</v>
      </c>
      <c r="E432" s="173">
        <v>0.80625000000000002</v>
      </c>
      <c r="F432" t="s">
        <v>109</v>
      </c>
      <c r="G432" t="s">
        <v>23</v>
      </c>
      <c r="H432" t="s">
        <v>139</v>
      </c>
      <c r="I432" t="s">
        <v>635</v>
      </c>
      <c r="J432" t="s">
        <v>591</v>
      </c>
      <c r="K432" t="s">
        <v>2268</v>
      </c>
      <c r="L432" t="s">
        <v>108</v>
      </c>
      <c r="M432" t="s">
        <v>1029</v>
      </c>
      <c r="N432">
        <v>967555800</v>
      </c>
      <c r="O432" t="s">
        <v>285</v>
      </c>
      <c r="P432" s="154">
        <v>13030597</v>
      </c>
      <c r="Q432" t="s">
        <v>138</v>
      </c>
      <c r="R432" t="s">
        <v>589</v>
      </c>
      <c r="S432" t="s">
        <v>3218</v>
      </c>
      <c r="T432" t="s">
        <v>3214</v>
      </c>
      <c r="U432" t="s">
        <v>3219</v>
      </c>
      <c r="V432" t="s">
        <v>3220</v>
      </c>
      <c r="W432" t="s">
        <v>101</v>
      </c>
      <c r="X432" t="s">
        <v>3221</v>
      </c>
      <c r="Y432" s="229">
        <v>1689.6</v>
      </c>
      <c r="Z432" s="176">
        <v>0</v>
      </c>
      <c r="AA432">
        <v>270</v>
      </c>
      <c r="AB432" t="s">
        <v>1356</v>
      </c>
      <c r="AC432" t="s">
        <v>1349</v>
      </c>
      <c r="AD432" s="199"/>
      <c r="AE432" s="199"/>
      <c r="AF432" s="179"/>
      <c r="AG432" s="179"/>
      <c r="AH432" s="179"/>
      <c r="AI432" s="179"/>
      <c r="AJ432" s="179"/>
      <c r="AK432" s="179"/>
      <c r="AL432">
        <v>9</v>
      </c>
      <c r="AM432">
        <v>2023</v>
      </c>
      <c r="AN432" s="250"/>
      <c r="AP432" t="str">
        <f>IF(BD_Bloqueados[[#This Row],[Analista ]]&lt;&gt;"Ana C",MID(BD_Bloqueados[[#This Row],[ID]],3,5),MID(BD_Bloqueados[[#This Row],[ID]],4,5))</f>
        <v>27023</v>
      </c>
      <c r="AQ432">
        <v>270</v>
      </c>
      <c r="AR432">
        <v>2023</v>
      </c>
      <c r="AS432" s="72">
        <v>44927</v>
      </c>
      <c r="AT432" s="72">
        <v>45196</v>
      </c>
      <c r="AU432">
        <v>9</v>
      </c>
    </row>
    <row r="433" spans="1:47">
      <c r="A433" t="s">
        <v>3222</v>
      </c>
      <c r="B433">
        <v>2</v>
      </c>
      <c r="C433" s="72">
        <v>45194</v>
      </c>
      <c r="D433">
        <v>40</v>
      </c>
      <c r="E433" s="173">
        <v>0.3611111111111111</v>
      </c>
      <c r="F433" t="s">
        <v>78</v>
      </c>
      <c r="G433" t="s">
        <v>25</v>
      </c>
      <c r="H433" t="s">
        <v>164</v>
      </c>
      <c r="I433" t="s">
        <v>615</v>
      </c>
      <c r="J433" t="s">
        <v>169</v>
      </c>
      <c r="K433" t="s">
        <v>2466</v>
      </c>
      <c r="L433" t="s">
        <v>108</v>
      </c>
      <c r="M433" t="s">
        <v>1029</v>
      </c>
      <c r="N433">
        <v>967555800</v>
      </c>
      <c r="O433" t="s">
        <v>254</v>
      </c>
      <c r="P433" s="154">
        <v>13030321</v>
      </c>
      <c r="Q433" t="s">
        <v>206</v>
      </c>
      <c r="R433" t="s">
        <v>608</v>
      </c>
      <c r="S433" t="s">
        <v>3223</v>
      </c>
      <c r="T433" t="s">
        <v>3224</v>
      </c>
      <c r="U433" t="s">
        <v>3225</v>
      </c>
      <c r="V433" t="s">
        <v>3226</v>
      </c>
      <c r="W433" t="s">
        <v>101</v>
      </c>
      <c r="X433" t="s">
        <v>156</v>
      </c>
      <c r="Y433" s="176">
        <v>1144.8699999999999</v>
      </c>
      <c r="Z433" s="176">
        <v>570058.2498799999</v>
      </c>
      <c r="AA433">
        <v>268</v>
      </c>
      <c r="AB433" t="s">
        <v>1685</v>
      </c>
      <c r="AC433" t="s">
        <v>3227</v>
      </c>
      <c r="AD433" s="199">
        <v>1</v>
      </c>
      <c r="AE433" s="199" t="s">
        <v>1292</v>
      </c>
      <c r="AF433" s="179">
        <v>0</v>
      </c>
      <c r="AG433" s="179">
        <v>0</v>
      </c>
      <c r="AH433" s="179">
        <v>497.92399999999998</v>
      </c>
      <c r="AI433" s="179">
        <v>0</v>
      </c>
      <c r="AJ433" s="179">
        <v>0</v>
      </c>
      <c r="AK433" s="179">
        <v>0</v>
      </c>
      <c r="AL433">
        <v>9</v>
      </c>
      <c r="AM433">
        <v>2023</v>
      </c>
      <c r="AN433" s="250"/>
      <c r="AP433" t="str">
        <f>IF(BD_Bloqueados[[#This Row],[Analista ]]&lt;&gt;"Ana C",MID(BD_Bloqueados[[#This Row],[ID]],3,5),MID(BD_Bloqueados[[#This Row],[ID]],4,5))</f>
        <v>26823</v>
      </c>
      <c r="AQ433">
        <v>270</v>
      </c>
      <c r="AR433">
        <v>2023</v>
      </c>
      <c r="AS433" s="72">
        <v>44927</v>
      </c>
      <c r="AT433" s="72">
        <v>45196</v>
      </c>
      <c r="AU433">
        <v>9</v>
      </c>
    </row>
    <row r="434" spans="1:47">
      <c r="A434" t="s">
        <v>3228</v>
      </c>
      <c r="B434">
        <v>2</v>
      </c>
      <c r="C434" s="72">
        <v>45190</v>
      </c>
      <c r="D434">
        <v>39</v>
      </c>
      <c r="E434" s="173">
        <v>0.95833333333333337</v>
      </c>
      <c r="F434" t="s">
        <v>136</v>
      </c>
      <c r="G434" t="s">
        <v>27</v>
      </c>
      <c r="H434" t="s">
        <v>209</v>
      </c>
      <c r="I434" t="s">
        <v>635</v>
      </c>
      <c r="J434" t="s">
        <v>2681</v>
      </c>
      <c r="K434" t="s">
        <v>3229</v>
      </c>
      <c r="L434" t="s">
        <v>108</v>
      </c>
      <c r="M434" t="s">
        <v>1029</v>
      </c>
      <c r="N434">
        <v>967555800</v>
      </c>
      <c r="O434" t="s">
        <v>99</v>
      </c>
      <c r="P434" s="154">
        <v>13001756</v>
      </c>
      <c r="Q434" t="s">
        <v>206</v>
      </c>
      <c r="R434" t="s">
        <v>579</v>
      </c>
      <c r="S434" t="s">
        <v>3230</v>
      </c>
      <c r="T434" t="s">
        <v>3231</v>
      </c>
      <c r="U434" t="s">
        <v>3232</v>
      </c>
      <c r="V434" t="s">
        <v>3233</v>
      </c>
      <c r="W434" t="s">
        <v>101</v>
      </c>
      <c r="X434" t="s">
        <v>102</v>
      </c>
      <c r="Y434" s="258"/>
      <c r="Z434" s="176">
        <v>0</v>
      </c>
      <c r="AA434">
        <v>263</v>
      </c>
      <c r="AD434" s="199"/>
      <c r="AE434" s="199"/>
      <c r="AF434" s="179"/>
      <c r="AG434" s="179"/>
      <c r="AH434" s="179"/>
      <c r="AI434" s="179"/>
      <c r="AJ434" s="179"/>
      <c r="AK434" s="179"/>
      <c r="AL434">
        <v>9</v>
      </c>
      <c r="AM434">
        <v>2023</v>
      </c>
      <c r="AN434" s="250"/>
      <c r="AP434" t="str">
        <f>IF(BD_Bloqueados[[#This Row],[Analista ]]&lt;&gt;"Ana C",MID(BD_Bloqueados[[#This Row],[ID]],3,5),MID(BD_Bloqueados[[#This Row],[ID]],4,5))</f>
        <v>26423</v>
      </c>
      <c r="AQ434">
        <v>270</v>
      </c>
      <c r="AR434">
        <v>2023</v>
      </c>
      <c r="AS434" s="72">
        <v>44927</v>
      </c>
      <c r="AT434" s="72">
        <v>45196</v>
      </c>
      <c r="AU434">
        <v>9</v>
      </c>
    </row>
    <row r="435" spans="1:47">
      <c r="A435" t="s">
        <v>3234</v>
      </c>
      <c r="B435">
        <v>2</v>
      </c>
      <c r="C435" s="72">
        <v>45182</v>
      </c>
      <c r="D435">
        <v>38</v>
      </c>
      <c r="E435" s="173">
        <v>0.54166666666666663</v>
      </c>
      <c r="F435" t="s">
        <v>78</v>
      </c>
      <c r="G435" t="s">
        <v>27</v>
      </c>
      <c r="H435" t="s">
        <v>189</v>
      </c>
      <c r="I435" t="s">
        <v>190</v>
      </c>
      <c r="J435" t="s">
        <v>618</v>
      </c>
      <c r="K435" t="s">
        <v>1232</v>
      </c>
      <c r="L435" t="s">
        <v>108</v>
      </c>
      <c r="M435" t="s">
        <v>1029</v>
      </c>
      <c r="N435">
        <v>967555800</v>
      </c>
      <c r="O435" t="s">
        <v>195</v>
      </c>
      <c r="P435" s="154">
        <v>13030093</v>
      </c>
      <c r="Q435" t="s">
        <v>138</v>
      </c>
      <c r="R435" t="s">
        <v>589</v>
      </c>
      <c r="S435" t="s">
        <v>3235</v>
      </c>
      <c r="T435" t="s">
        <v>3236</v>
      </c>
      <c r="U435" t="s">
        <v>3237</v>
      </c>
      <c r="V435" t="s">
        <v>3238</v>
      </c>
      <c r="W435" t="s">
        <v>101</v>
      </c>
      <c r="X435" t="s">
        <v>156</v>
      </c>
      <c r="Y435" s="229">
        <v>404.5</v>
      </c>
      <c r="Z435" s="176">
        <v>313414.68999999994</v>
      </c>
      <c r="AA435">
        <v>256</v>
      </c>
      <c r="AB435" t="s">
        <v>1290</v>
      </c>
      <c r="AC435" t="s">
        <v>1252</v>
      </c>
      <c r="AD435" s="199">
        <v>0.45</v>
      </c>
      <c r="AE435" s="199" t="s">
        <v>1292</v>
      </c>
      <c r="AF435" s="179">
        <v>19.32</v>
      </c>
      <c r="AG435" s="179">
        <v>266.43</v>
      </c>
      <c r="AH435" s="179">
        <v>0</v>
      </c>
      <c r="AI435" s="179">
        <v>52.707000000000001</v>
      </c>
      <c r="AJ435" s="179">
        <v>10.212</v>
      </c>
      <c r="AK435" s="179">
        <v>0</v>
      </c>
      <c r="AL435">
        <v>9</v>
      </c>
      <c r="AM435">
        <v>2023</v>
      </c>
      <c r="AN435" s="250" t="s">
        <v>1283</v>
      </c>
      <c r="AP435" t="str">
        <f>IF(BD_Bloqueados[[#This Row],[Analista ]]&lt;&gt;"Ana C",MID(BD_Bloqueados[[#This Row],[ID]],3,5),MID(BD_Bloqueados[[#This Row],[ID]],4,5))</f>
        <v>25623</v>
      </c>
      <c r="AQ435">
        <v>268</v>
      </c>
      <c r="AR435">
        <v>2023</v>
      </c>
      <c r="AS435" s="72">
        <v>44927</v>
      </c>
      <c r="AT435" s="72">
        <v>45194</v>
      </c>
      <c r="AU435">
        <v>9</v>
      </c>
    </row>
    <row r="436" spans="1:47">
      <c r="A436" t="s">
        <v>2849</v>
      </c>
      <c r="B436">
        <v>2</v>
      </c>
      <c r="C436" s="72">
        <v>45269</v>
      </c>
      <c r="D436">
        <v>38</v>
      </c>
      <c r="E436" s="173">
        <v>6.9444444444444441E-3</v>
      </c>
      <c r="F436" t="s">
        <v>136</v>
      </c>
      <c r="G436" t="s">
        <v>24</v>
      </c>
      <c r="H436" t="s">
        <v>165</v>
      </c>
      <c r="I436" t="s">
        <v>615</v>
      </c>
      <c r="J436" t="s">
        <v>169</v>
      </c>
      <c r="K436" t="s">
        <v>1524</v>
      </c>
      <c r="L436" t="s">
        <v>108</v>
      </c>
      <c r="M436" t="s">
        <v>1029</v>
      </c>
      <c r="N436">
        <v>967555800</v>
      </c>
      <c r="O436" t="s">
        <v>2850</v>
      </c>
      <c r="P436" s="154"/>
      <c r="Q436" t="s">
        <v>206</v>
      </c>
      <c r="R436" t="s">
        <v>578</v>
      </c>
      <c r="S436" t="s">
        <v>2851</v>
      </c>
      <c r="T436" t="s">
        <v>2852</v>
      </c>
      <c r="U436" t="s">
        <v>2853</v>
      </c>
      <c r="W436" t="s">
        <v>101</v>
      </c>
      <c r="X436" t="s">
        <v>156</v>
      </c>
      <c r="Y436" s="229">
        <v>252</v>
      </c>
      <c r="Z436" s="176">
        <v>0</v>
      </c>
      <c r="AA436">
        <v>255</v>
      </c>
      <c r="AB436" t="s">
        <v>1407</v>
      </c>
      <c r="AC436" t="s">
        <v>1479</v>
      </c>
      <c r="AD436" s="199"/>
      <c r="AE436" s="199"/>
      <c r="AF436" s="179"/>
      <c r="AG436" s="179"/>
      <c r="AH436" s="179"/>
      <c r="AI436" s="179"/>
      <c r="AJ436" s="179"/>
      <c r="AK436" s="179"/>
      <c r="AL436">
        <v>9</v>
      </c>
      <c r="AM436">
        <v>2023</v>
      </c>
      <c r="AN436" s="250"/>
      <c r="AP436" t="str">
        <f>IF(BD_Bloqueados[[#This Row],[Analista ]]&lt;&gt;"Ana C",MID(BD_Bloqueados[[#This Row],[ID]],3,5),MID(BD_Bloqueados[[#This Row],[ID]],4,5))</f>
        <v>25523</v>
      </c>
      <c r="AQ436">
        <v>264</v>
      </c>
      <c r="AR436">
        <v>2023</v>
      </c>
      <c r="AS436" s="72">
        <v>44927</v>
      </c>
      <c r="AT436" s="72">
        <v>45190</v>
      </c>
      <c r="AU436">
        <v>9</v>
      </c>
    </row>
    <row r="437" spans="1:47">
      <c r="A437" t="s">
        <v>2854</v>
      </c>
      <c r="B437">
        <v>2</v>
      </c>
      <c r="C437" s="72">
        <v>45269</v>
      </c>
      <c r="D437">
        <v>38</v>
      </c>
      <c r="E437" s="173">
        <v>0.80833333333333324</v>
      </c>
      <c r="F437" t="s">
        <v>109</v>
      </c>
      <c r="G437" t="s">
        <v>28</v>
      </c>
      <c r="H437" t="s">
        <v>165</v>
      </c>
      <c r="I437" t="s">
        <v>248</v>
      </c>
      <c r="J437" t="s">
        <v>2681</v>
      </c>
      <c r="K437" t="s">
        <v>2422</v>
      </c>
      <c r="L437" t="s">
        <v>108</v>
      </c>
      <c r="M437" t="s">
        <v>1029</v>
      </c>
      <c r="N437">
        <v>967555800</v>
      </c>
      <c r="O437" t="s">
        <v>284</v>
      </c>
      <c r="P437" s="154">
        <v>13030285</v>
      </c>
      <c r="Q437" t="s">
        <v>206</v>
      </c>
      <c r="R437" t="s">
        <v>579</v>
      </c>
      <c r="S437" t="s">
        <v>2855</v>
      </c>
      <c r="T437" t="s">
        <v>2754</v>
      </c>
      <c r="U437" t="s">
        <v>2856</v>
      </c>
      <c r="V437" t="s">
        <v>2857</v>
      </c>
      <c r="W437" t="s">
        <v>101</v>
      </c>
      <c r="X437" t="s">
        <v>1291</v>
      </c>
      <c r="Y437" s="229">
        <v>987</v>
      </c>
      <c r="Z437" s="176">
        <v>0</v>
      </c>
      <c r="AA437">
        <v>188</v>
      </c>
      <c r="AB437" t="s">
        <v>1407</v>
      </c>
      <c r="AD437" s="199"/>
      <c r="AE437" s="199"/>
      <c r="AF437" s="179"/>
      <c r="AG437" s="179"/>
      <c r="AH437" s="179"/>
      <c r="AI437" s="179"/>
      <c r="AJ437" s="179"/>
      <c r="AK437" s="179"/>
      <c r="AL437">
        <v>9</v>
      </c>
      <c r="AM437">
        <v>2023</v>
      </c>
      <c r="AN437" s="250"/>
      <c r="AP437" t="str">
        <f>IF(BD_Bloqueados[[#This Row],[Analista ]]&lt;&gt;"Ana C",MID(BD_Bloqueados[[#This Row],[ID]],3,5),MID(BD_Bloqueados[[#This Row],[ID]],4,5))</f>
        <v>25523</v>
      </c>
      <c r="AQ437">
        <v>256</v>
      </c>
      <c r="AR437">
        <v>2023</v>
      </c>
      <c r="AS437" s="72">
        <v>44927</v>
      </c>
      <c r="AT437" s="72">
        <v>45182</v>
      </c>
      <c r="AU437">
        <v>9</v>
      </c>
    </row>
    <row r="438" spans="1:47">
      <c r="A438" t="s">
        <v>3245</v>
      </c>
      <c r="B438">
        <v>2</v>
      </c>
      <c r="C438" s="72">
        <v>45116</v>
      </c>
      <c r="D438">
        <v>37</v>
      </c>
      <c r="E438" s="173">
        <v>0.57013888888888886</v>
      </c>
      <c r="F438" t="s">
        <v>109</v>
      </c>
      <c r="G438" t="s">
        <v>28</v>
      </c>
      <c r="H438" t="s">
        <v>81</v>
      </c>
      <c r="I438" t="s">
        <v>635</v>
      </c>
      <c r="J438" t="s">
        <v>618</v>
      </c>
      <c r="K438" t="s">
        <v>3246</v>
      </c>
      <c r="L438" t="s">
        <v>108</v>
      </c>
      <c r="M438" t="s">
        <v>1029</v>
      </c>
      <c r="N438">
        <v>967555800</v>
      </c>
      <c r="O438" t="s">
        <v>291</v>
      </c>
      <c r="P438" s="154">
        <v>13030336</v>
      </c>
      <c r="Q438" t="s">
        <v>80</v>
      </c>
      <c r="R438" t="s">
        <v>608</v>
      </c>
      <c r="S438" t="s">
        <v>3247</v>
      </c>
      <c r="T438" t="s">
        <v>3248</v>
      </c>
      <c r="U438" t="s">
        <v>3249</v>
      </c>
      <c r="V438" t="s">
        <v>3250</v>
      </c>
      <c r="W438" t="s">
        <v>101</v>
      </c>
      <c r="X438" t="s">
        <v>129</v>
      </c>
      <c r="Y438" s="229">
        <v>376.5</v>
      </c>
      <c r="Z438" s="176"/>
      <c r="AA438">
        <v>250</v>
      </c>
      <c r="AD438" s="199"/>
      <c r="AE438" s="199"/>
      <c r="AF438" s="179"/>
      <c r="AG438" s="179"/>
      <c r="AH438" s="179"/>
      <c r="AI438" s="179"/>
      <c r="AJ438" s="179"/>
      <c r="AK438" s="179"/>
      <c r="AL438">
        <v>9</v>
      </c>
      <c r="AM438">
        <v>2023</v>
      </c>
      <c r="AN438" s="250"/>
      <c r="AP438" t="str">
        <f>IF(BD_Bloqueados[[#This Row],[Analista ]]&lt;&gt;"Ana C",MID(BD_Bloqueados[[#This Row],[ID]],3,5),MID(BD_Bloqueados[[#This Row],[ID]],4,5))</f>
        <v>25023</v>
      </c>
      <c r="AQ438">
        <v>255</v>
      </c>
      <c r="AR438">
        <v>2023</v>
      </c>
      <c r="AS438" s="72">
        <v>44927</v>
      </c>
      <c r="AT438" s="72">
        <v>45181</v>
      </c>
      <c r="AU438">
        <v>9</v>
      </c>
    </row>
    <row r="439" spans="1:47">
      <c r="A439" t="s">
        <v>1299</v>
      </c>
      <c r="B439">
        <v>2</v>
      </c>
      <c r="C439" s="72">
        <v>45086</v>
      </c>
      <c r="D439">
        <v>37</v>
      </c>
      <c r="E439" s="173">
        <v>0.3611111111111111</v>
      </c>
      <c r="F439" t="s">
        <v>78</v>
      </c>
      <c r="G439" t="s">
        <v>27</v>
      </c>
      <c r="H439" t="s">
        <v>189</v>
      </c>
      <c r="I439" t="s">
        <v>615</v>
      </c>
      <c r="J439" t="s">
        <v>618</v>
      </c>
      <c r="K439" t="s">
        <v>1300</v>
      </c>
      <c r="L439" t="s">
        <v>108</v>
      </c>
      <c r="M439" t="s">
        <v>1029</v>
      </c>
      <c r="N439">
        <v>967555800</v>
      </c>
      <c r="O439" t="s">
        <v>195</v>
      </c>
      <c r="P439" s="154">
        <v>13030093</v>
      </c>
      <c r="Q439" t="s">
        <v>138</v>
      </c>
      <c r="R439" t="s">
        <v>589</v>
      </c>
      <c r="S439" t="s">
        <v>1301</v>
      </c>
      <c r="U439" t="s">
        <v>1302</v>
      </c>
      <c r="V439" t="s">
        <v>1303</v>
      </c>
      <c r="W439" t="s">
        <v>101</v>
      </c>
      <c r="X439" t="s">
        <v>156</v>
      </c>
      <c r="Y439" s="230" t="s">
        <v>1304</v>
      </c>
      <c r="Z439" s="176"/>
      <c r="AA439">
        <v>249</v>
      </c>
      <c r="AD439" s="199"/>
      <c r="AE439" s="199"/>
      <c r="AF439" s="179"/>
      <c r="AG439" s="179"/>
      <c r="AH439" s="179"/>
      <c r="AI439" s="179"/>
      <c r="AJ439" s="179"/>
      <c r="AK439" s="179"/>
      <c r="AL439">
        <v>9</v>
      </c>
      <c r="AM439">
        <v>2023</v>
      </c>
      <c r="AN439" s="250"/>
      <c r="AP439" t="str">
        <f>IF(BD_Bloqueados[[#This Row],[Analista ]]&lt;&gt;"Ana C",MID(BD_Bloqueados[[#This Row],[ID]],3,5),MID(BD_Bloqueados[[#This Row],[ID]],4,5))</f>
        <v>24923</v>
      </c>
      <c r="AQ439">
        <v>255</v>
      </c>
      <c r="AR439">
        <v>2023</v>
      </c>
      <c r="AS439" s="72">
        <v>44927</v>
      </c>
      <c r="AT439" s="72">
        <v>45181</v>
      </c>
      <c r="AU439">
        <v>9</v>
      </c>
    </row>
    <row r="440" spans="1:47">
      <c r="A440" t="s">
        <v>3264</v>
      </c>
      <c r="B440">
        <v>2</v>
      </c>
      <c r="C440" s="72">
        <v>45055</v>
      </c>
      <c r="D440">
        <v>37</v>
      </c>
      <c r="E440" s="173">
        <v>0.41666666666666669</v>
      </c>
      <c r="F440" t="s">
        <v>78</v>
      </c>
      <c r="G440" t="s">
        <v>28</v>
      </c>
      <c r="H440" t="s">
        <v>165</v>
      </c>
      <c r="I440" t="s">
        <v>621</v>
      </c>
      <c r="J440" t="s">
        <v>618</v>
      </c>
      <c r="K440" t="s">
        <v>3265</v>
      </c>
      <c r="L440" t="s">
        <v>108</v>
      </c>
      <c r="M440" t="s">
        <v>1029</v>
      </c>
      <c r="N440">
        <v>967555800</v>
      </c>
      <c r="O440" t="s">
        <v>324</v>
      </c>
      <c r="P440" s="154">
        <v>13000469</v>
      </c>
      <c r="Q440" t="s">
        <v>206</v>
      </c>
      <c r="R440" t="s">
        <v>579</v>
      </c>
      <c r="S440" t="s">
        <v>3266</v>
      </c>
      <c r="T440" t="s">
        <v>3267</v>
      </c>
      <c r="U440" t="s">
        <v>3268</v>
      </c>
      <c r="V440" t="s">
        <v>3269</v>
      </c>
      <c r="W440" t="s">
        <v>101</v>
      </c>
      <c r="X440" t="s">
        <v>129</v>
      </c>
      <c r="Y440" s="229">
        <v>140</v>
      </c>
      <c r="Z440" s="176">
        <v>276126.00000000006</v>
      </c>
      <c r="AA440">
        <v>149</v>
      </c>
      <c r="AB440" t="s">
        <v>3270</v>
      </c>
      <c r="AC440" t="s">
        <v>1252</v>
      </c>
      <c r="AD440" s="199">
        <v>0.35</v>
      </c>
      <c r="AE440" s="199" t="s">
        <v>1374</v>
      </c>
      <c r="AF440" s="179">
        <v>48.968000000000004</v>
      </c>
      <c r="AG440" s="179">
        <v>564.22799999999995</v>
      </c>
      <c r="AH440" s="179">
        <v>34.536000000000001</v>
      </c>
      <c r="AI440" s="179">
        <v>34.536000000000001</v>
      </c>
      <c r="AJ440" s="179">
        <v>8.0470000000000006</v>
      </c>
      <c r="AK440" s="179">
        <v>0</v>
      </c>
      <c r="AL440">
        <v>9</v>
      </c>
      <c r="AM440">
        <v>2023</v>
      </c>
      <c r="AN440" s="250" t="s">
        <v>3271</v>
      </c>
      <c r="AP440" t="str">
        <f>IF(BD_Bloqueados[[#This Row],[Analista ]]&lt;&gt;"Ana C",MID(BD_Bloqueados[[#This Row],[ID]],3,5),MID(BD_Bloqueados[[#This Row],[ID]],4,5))</f>
        <v>24823</v>
      </c>
      <c r="AQ440">
        <v>249</v>
      </c>
      <c r="AR440">
        <v>2023</v>
      </c>
      <c r="AS440" s="72">
        <v>44927</v>
      </c>
      <c r="AT440" s="72">
        <v>45175</v>
      </c>
      <c r="AU440">
        <v>9</v>
      </c>
    </row>
    <row r="441" spans="1:47">
      <c r="A441" t="s">
        <v>3278</v>
      </c>
      <c r="B441">
        <v>2</v>
      </c>
      <c r="C441" s="72">
        <v>45055</v>
      </c>
      <c r="D441">
        <v>37</v>
      </c>
      <c r="E441" s="173">
        <v>0.22916666666666666</v>
      </c>
      <c r="F441" t="s">
        <v>136</v>
      </c>
      <c r="G441" t="s">
        <v>27</v>
      </c>
      <c r="H441" t="s">
        <v>209</v>
      </c>
      <c r="I441" t="s">
        <v>259</v>
      </c>
      <c r="J441" t="s">
        <v>2681</v>
      </c>
      <c r="K441" t="s">
        <v>1196</v>
      </c>
      <c r="L441" t="s">
        <v>108</v>
      </c>
      <c r="M441" t="s">
        <v>1029</v>
      </c>
      <c r="N441">
        <v>967555800</v>
      </c>
      <c r="O441" t="s">
        <v>99</v>
      </c>
      <c r="P441" s="154">
        <v>13001756</v>
      </c>
      <c r="Q441" t="s">
        <v>138</v>
      </c>
      <c r="R441" t="s">
        <v>641</v>
      </c>
      <c r="S441" t="s">
        <v>3279</v>
      </c>
      <c r="T441" t="s">
        <v>3280</v>
      </c>
      <c r="U441" t="s">
        <v>1496</v>
      </c>
      <c r="V441" t="s">
        <v>3281</v>
      </c>
      <c r="W441" t="s">
        <v>101</v>
      </c>
      <c r="X441" t="s">
        <v>1291</v>
      </c>
      <c r="Y441" s="229">
        <v>4080</v>
      </c>
      <c r="Z441" s="176"/>
      <c r="AA441">
        <v>247</v>
      </c>
      <c r="AD441" s="199"/>
      <c r="AE441" s="199"/>
      <c r="AF441" s="179"/>
      <c r="AG441" s="179"/>
      <c r="AH441" s="179"/>
      <c r="AI441" s="179"/>
      <c r="AJ441" s="179"/>
      <c r="AK441" s="179"/>
      <c r="AL441">
        <v>9</v>
      </c>
      <c r="AM441">
        <v>2023</v>
      </c>
      <c r="AN441" s="250"/>
      <c r="AP441" t="str">
        <f>IF(BD_Bloqueados[[#This Row],[Analista ]]&lt;&gt;"Ana C",MID(BD_Bloqueados[[#This Row],[ID]],3,5),MID(BD_Bloqueados[[#This Row],[ID]],4,5))</f>
        <v>24823</v>
      </c>
      <c r="AQ441">
        <v>243</v>
      </c>
      <c r="AR441">
        <v>2023</v>
      </c>
      <c r="AS441" s="72">
        <v>44927</v>
      </c>
      <c r="AT441" s="72">
        <v>45169</v>
      </c>
      <c r="AU441">
        <v>8</v>
      </c>
    </row>
    <row r="442" spans="1:47">
      <c r="A442" t="s">
        <v>3282</v>
      </c>
      <c r="B442">
        <v>2</v>
      </c>
      <c r="C442" s="72">
        <v>45025</v>
      </c>
      <c r="D442">
        <v>37</v>
      </c>
      <c r="E442" s="173">
        <v>0.66666666666666663</v>
      </c>
      <c r="F442" t="s">
        <v>109</v>
      </c>
      <c r="G442" t="s">
        <v>29</v>
      </c>
      <c r="H442" t="s">
        <v>83</v>
      </c>
      <c r="I442" t="s">
        <v>87</v>
      </c>
      <c r="J442" t="s">
        <v>3283</v>
      </c>
      <c r="K442" t="s">
        <v>3284</v>
      </c>
      <c r="L442" t="s">
        <v>108</v>
      </c>
      <c r="M442" t="s">
        <v>1029</v>
      </c>
      <c r="N442">
        <v>967555800</v>
      </c>
      <c r="O442" t="s">
        <v>90</v>
      </c>
      <c r="P442" s="154">
        <v>12001435</v>
      </c>
      <c r="Q442" t="s">
        <v>80</v>
      </c>
      <c r="R442" t="s">
        <v>608</v>
      </c>
      <c r="S442" t="s">
        <v>3285</v>
      </c>
      <c r="T442" t="s">
        <v>3286</v>
      </c>
      <c r="U442" t="s">
        <v>3287</v>
      </c>
      <c r="V442" t="s">
        <v>3288</v>
      </c>
      <c r="W442" t="s">
        <v>101</v>
      </c>
      <c r="X442" t="s">
        <v>129</v>
      </c>
      <c r="Y442" s="229">
        <v>125</v>
      </c>
      <c r="Z442" s="176">
        <v>274766.66666666669</v>
      </c>
      <c r="AA442">
        <v>247</v>
      </c>
      <c r="AB442" t="s">
        <v>1685</v>
      </c>
      <c r="AC442" t="s">
        <v>1686</v>
      </c>
      <c r="AD442" s="199">
        <v>4.4999999999999998E-2</v>
      </c>
      <c r="AE442" s="199" t="s">
        <v>1374</v>
      </c>
      <c r="AF442" s="179">
        <v>84.165999999999997</v>
      </c>
      <c r="AG442" s="179">
        <v>5.9009999999999998</v>
      </c>
      <c r="AH442" s="179">
        <v>0</v>
      </c>
      <c r="AI442" s="179">
        <v>5.7030000000000003</v>
      </c>
      <c r="AJ442" s="179">
        <v>0</v>
      </c>
      <c r="AK442" s="179">
        <v>3.1459999999999999</v>
      </c>
      <c r="AL442">
        <v>9</v>
      </c>
      <c r="AM442">
        <v>2023</v>
      </c>
      <c r="AN442" s="250"/>
      <c r="AP442" t="str">
        <f>IF(BD_Bloqueados[[#This Row],[Analista ]]&lt;&gt;"Ana C",MID(BD_Bloqueados[[#This Row],[ID]],3,5),MID(BD_Bloqueados[[#This Row],[ID]],4,5))</f>
        <v>24723</v>
      </c>
      <c r="AQ442">
        <v>243</v>
      </c>
      <c r="AR442">
        <v>2023</v>
      </c>
      <c r="AS442" s="72">
        <v>44927</v>
      </c>
      <c r="AT442" s="72">
        <v>45169</v>
      </c>
      <c r="AU442">
        <v>8</v>
      </c>
    </row>
    <row r="443" spans="1:47">
      <c r="A443" t="s">
        <v>3297</v>
      </c>
      <c r="B443">
        <v>2</v>
      </c>
      <c r="C443" s="72">
        <v>44935</v>
      </c>
      <c r="D443">
        <v>36</v>
      </c>
      <c r="E443" s="173">
        <v>1.1111111111111112E-2</v>
      </c>
      <c r="F443" t="s">
        <v>136</v>
      </c>
      <c r="G443" t="s">
        <v>31</v>
      </c>
      <c r="H443" t="s">
        <v>114</v>
      </c>
      <c r="I443" t="s">
        <v>635</v>
      </c>
      <c r="J443" t="s">
        <v>595</v>
      </c>
      <c r="K443" t="s">
        <v>3298</v>
      </c>
      <c r="L443" t="s">
        <v>108</v>
      </c>
      <c r="M443" t="s">
        <v>1029</v>
      </c>
      <c r="N443">
        <v>967555800</v>
      </c>
      <c r="O443" t="s">
        <v>200</v>
      </c>
      <c r="P443" s="154">
        <v>13030428</v>
      </c>
      <c r="Q443" t="s">
        <v>80</v>
      </c>
      <c r="R443" t="s">
        <v>589</v>
      </c>
      <c r="S443" t="s">
        <v>3299</v>
      </c>
      <c r="T443" t="s">
        <v>3300</v>
      </c>
      <c r="U443" t="s">
        <v>3301</v>
      </c>
      <c r="V443" t="s">
        <v>3302</v>
      </c>
      <c r="W443" t="s">
        <v>101</v>
      </c>
      <c r="X443" t="s">
        <v>102</v>
      </c>
      <c r="Y443" s="229">
        <v>1056</v>
      </c>
      <c r="Z443" s="176">
        <v>0</v>
      </c>
      <c r="AA443">
        <v>243</v>
      </c>
      <c r="AD443" s="199"/>
      <c r="AE443" s="199"/>
      <c r="AF443" s="179"/>
      <c r="AG443" s="179"/>
      <c r="AH443" s="179"/>
      <c r="AI443" s="179"/>
      <c r="AJ443" s="179"/>
      <c r="AK443" s="179"/>
      <c r="AL443">
        <v>9</v>
      </c>
      <c r="AM443">
        <v>2023</v>
      </c>
      <c r="AN443" s="250"/>
      <c r="AP443" t="str">
        <f>IF(BD_Bloqueados[[#This Row],[Analista ]]&lt;&gt;"Ana C",MID(BD_Bloqueados[[#This Row],[ID]],3,5),MID(BD_Bloqueados[[#This Row],[ID]],4,5))</f>
        <v>24423</v>
      </c>
      <c r="AQ443">
        <v>242</v>
      </c>
      <c r="AR443">
        <v>2023</v>
      </c>
      <c r="AS443" s="72">
        <v>44927</v>
      </c>
      <c r="AT443" s="72">
        <v>45168</v>
      </c>
      <c r="AU443">
        <v>8</v>
      </c>
    </row>
    <row r="444" spans="1:47">
      <c r="A444" t="s">
        <v>3917</v>
      </c>
      <c r="B444">
        <v>2</v>
      </c>
      <c r="C444" s="72">
        <v>44935</v>
      </c>
      <c r="D444">
        <v>36</v>
      </c>
      <c r="E444" s="173">
        <v>0.24374999999999999</v>
      </c>
      <c r="F444" t="s">
        <v>136</v>
      </c>
      <c r="G444" t="s">
        <v>22</v>
      </c>
      <c r="H444" t="s">
        <v>186</v>
      </c>
      <c r="I444" t="s">
        <v>635</v>
      </c>
      <c r="J444" t="s">
        <v>595</v>
      </c>
      <c r="K444" t="s">
        <v>3918</v>
      </c>
      <c r="L444" t="s">
        <v>108</v>
      </c>
      <c r="M444" t="s">
        <v>1029</v>
      </c>
      <c r="N444">
        <v>967555800</v>
      </c>
      <c r="O444" t="s">
        <v>123</v>
      </c>
      <c r="P444" s="154">
        <v>13030401</v>
      </c>
      <c r="Q444" t="s">
        <v>80</v>
      </c>
      <c r="R444" t="s">
        <v>589</v>
      </c>
      <c r="S444" t="s">
        <v>3919</v>
      </c>
      <c r="T444" t="s">
        <v>3920</v>
      </c>
      <c r="U444" t="s">
        <v>3921</v>
      </c>
      <c r="V444" t="s">
        <v>3922</v>
      </c>
      <c r="W444" t="s">
        <v>101</v>
      </c>
      <c r="X444" t="s">
        <v>156</v>
      </c>
      <c r="Y444" s="229"/>
      <c r="Z444" s="176">
        <v>0</v>
      </c>
      <c r="AA444">
        <v>244</v>
      </c>
      <c r="AB444" t="s">
        <v>1466</v>
      </c>
      <c r="AC444" t="s">
        <v>1349</v>
      </c>
      <c r="AD444" s="199">
        <v>1</v>
      </c>
      <c r="AE444" s="199" t="s">
        <v>1292</v>
      </c>
      <c r="AF444" s="179">
        <v>0</v>
      </c>
      <c r="AG444" s="179">
        <v>0</v>
      </c>
      <c r="AH444" s="179">
        <v>0</v>
      </c>
      <c r="AI444" s="179">
        <v>34.536000000000001</v>
      </c>
      <c r="AJ444" s="179">
        <v>0</v>
      </c>
      <c r="AK444" s="179">
        <v>0</v>
      </c>
      <c r="AL444">
        <v>9</v>
      </c>
      <c r="AM444">
        <v>2023</v>
      </c>
      <c r="AN444" s="250"/>
      <c r="AP444" t="str">
        <f>IF(BD_Bloqueados[[#This Row],[Analista ]]&lt;&gt;"Ana C",MID(BD_Bloqueados[[#This Row],[ID]],3,5),MID(BD_Bloqueados[[#This Row],[ID]],4,5))</f>
        <v>24423</v>
      </c>
      <c r="AQ444">
        <v>242</v>
      </c>
      <c r="AR444">
        <v>2023</v>
      </c>
      <c r="AS444" s="72">
        <v>44927</v>
      </c>
      <c r="AT444" s="72">
        <v>45168</v>
      </c>
      <c r="AU444">
        <v>8</v>
      </c>
    </row>
    <row r="445" spans="1:47">
      <c r="A445" t="s">
        <v>3303</v>
      </c>
      <c r="B445">
        <v>2</v>
      </c>
      <c r="C445" s="72">
        <v>45169</v>
      </c>
      <c r="D445">
        <v>36</v>
      </c>
      <c r="E445" s="173">
        <v>0.83333333333333337</v>
      </c>
      <c r="F445" t="s">
        <v>109</v>
      </c>
      <c r="G445" t="s">
        <v>29</v>
      </c>
      <c r="H445" t="s">
        <v>83</v>
      </c>
      <c r="I445" t="s">
        <v>615</v>
      </c>
      <c r="J445" t="s">
        <v>2681</v>
      </c>
      <c r="K445" t="s">
        <v>3304</v>
      </c>
      <c r="L445" t="s">
        <v>77</v>
      </c>
      <c r="M445" t="s">
        <v>575</v>
      </c>
      <c r="N445">
        <v>76618520</v>
      </c>
      <c r="O445" t="s">
        <v>593</v>
      </c>
      <c r="P445" s="154">
        <v>10004345</v>
      </c>
      <c r="Q445" t="s">
        <v>138</v>
      </c>
      <c r="R445" t="s">
        <v>627</v>
      </c>
      <c r="S445" t="s">
        <v>3305</v>
      </c>
      <c r="T445" t="s">
        <v>3306</v>
      </c>
      <c r="U445" t="s">
        <v>3307</v>
      </c>
      <c r="V445" t="s">
        <v>3308</v>
      </c>
      <c r="W445" t="s">
        <v>101</v>
      </c>
      <c r="Y445" s="229"/>
      <c r="Z445" s="176"/>
      <c r="AA445">
        <v>341302</v>
      </c>
      <c r="AD445" s="199"/>
      <c r="AE445" s="199"/>
      <c r="AF445" s="179"/>
      <c r="AG445" s="179"/>
      <c r="AH445" s="179"/>
      <c r="AI445" s="179"/>
      <c r="AJ445" s="179"/>
      <c r="AK445" s="179"/>
      <c r="AL445">
        <v>8</v>
      </c>
      <c r="AM445">
        <v>2023</v>
      </c>
      <c r="AN445" s="250"/>
      <c r="AP445" t="str">
        <f>IF(BD_Bloqueados[[#This Row],[Analista ]]&lt;&gt;"Ana C",MID(BD_Bloqueados[[#This Row],[ID]],3,5),MID(BD_Bloqueados[[#This Row],[ID]],4,5))</f>
        <v>24323</v>
      </c>
      <c r="AQ445">
        <v>241</v>
      </c>
      <c r="AR445">
        <v>2023</v>
      </c>
      <c r="AS445" s="72">
        <v>44927</v>
      </c>
      <c r="AT445" s="72">
        <v>45167</v>
      </c>
      <c r="AU445">
        <v>8</v>
      </c>
    </row>
    <row r="446" spans="1:47">
      <c r="A446" t="s">
        <v>3309</v>
      </c>
      <c r="B446">
        <v>2</v>
      </c>
      <c r="C446" s="72">
        <v>45169</v>
      </c>
      <c r="D446">
        <v>36</v>
      </c>
      <c r="E446" s="173">
        <v>0.4597222222222222</v>
      </c>
      <c r="F446" t="s">
        <v>136</v>
      </c>
      <c r="G446" t="s">
        <v>23</v>
      </c>
      <c r="H446" t="s">
        <v>207</v>
      </c>
      <c r="I446" t="s">
        <v>635</v>
      </c>
      <c r="J446" t="s">
        <v>595</v>
      </c>
      <c r="K446" t="s">
        <v>3310</v>
      </c>
      <c r="L446" t="s">
        <v>108</v>
      </c>
      <c r="M446" t="s">
        <v>1029</v>
      </c>
      <c r="N446">
        <v>967555800</v>
      </c>
      <c r="O446" t="s">
        <v>122</v>
      </c>
      <c r="P446" s="154">
        <v>12001446</v>
      </c>
      <c r="Q446" t="s">
        <v>80</v>
      </c>
      <c r="R446" t="s">
        <v>589</v>
      </c>
      <c r="S446" t="s">
        <v>3311</v>
      </c>
      <c r="T446" t="s">
        <v>3312</v>
      </c>
      <c r="U446" t="s">
        <v>3313</v>
      </c>
      <c r="V446" t="s">
        <v>3314</v>
      </c>
      <c r="W446" t="s">
        <v>101</v>
      </c>
      <c r="X446" t="s">
        <v>156</v>
      </c>
      <c r="Y446" s="229">
        <v>5280</v>
      </c>
      <c r="Z446" s="176">
        <v>181129.08000000002</v>
      </c>
      <c r="AA446">
        <v>242</v>
      </c>
      <c r="AB446" t="s">
        <v>1491</v>
      </c>
      <c r="AC446" t="s">
        <v>1252</v>
      </c>
      <c r="AD446" s="199">
        <v>1</v>
      </c>
      <c r="AE446" s="199" t="s">
        <v>1292</v>
      </c>
      <c r="AF446" s="179">
        <v>0</v>
      </c>
      <c r="AG446" s="179">
        <v>0</v>
      </c>
      <c r="AH446" s="179">
        <v>0</v>
      </c>
      <c r="AI446" s="179">
        <v>28.930250000000001</v>
      </c>
      <c r="AJ446" s="179">
        <v>5.3745000000000003</v>
      </c>
      <c r="AK446" s="179">
        <v>0</v>
      </c>
      <c r="AL446">
        <v>8</v>
      </c>
      <c r="AM446">
        <v>2023</v>
      </c>
      <c r="AN446" s="250" t="s">
        <v>1283</v>
      </c>
      <c r="AP446" t="str">
        <f>IF(BD_Bloqueados[[#This Row],[Analista ]]&lt;&gt;"Ana C",MID(BD_Bloqueados[[#This Row],[ID]],3,5),MID(BD_Bloqueados[[#This Row],[ID]],4,5))</f>
        <v>24323</v>
      </c>
      <c r="AQ446">
        <v>238</v>
      </c>
      <c r="AR446">
        <v>2023</v>
      </c>
      <c r="AS446" s="72">
        <v>44927</v>
      </c>
      <c r="AT446" s="72">
        <v>45164</v>
      </c>
      <c r="AU446">
        <v>8</v>
      </c>
    </row>
    <row r="447" spans="1:47">
      <c r="A447" t="s">
        <v>3315</v>
      </c>
      <c r="B447">
        <v>2</v>
      </c>
      <c r="C447" s="72">
        <v>45168</v>
      </c>
      <c r="D447">
        <v>36</v>
      </c>
      <c r="E447" s="173">
        <v>0.10416666666666667</v>
      </c>
      <c r="F447" t="s">
        <v>136</v>
      </c>
      <c r="G447" t="s">
        <v>28</v>
      </c>
      <c r="H447" t="s">
        <v>165</v>
      </c>
      <c r="I447" t="s">
        <v>87</v>
      </c>
      <c r="J447" t="s">
        <v>2681</v>
      </c>
      <c r="K447" t="s">
        <v>3316</v>
      </c>
      <c r="L447" t="s">
        <v>108</v>
      </c>
      <c r="M447" t="s">
        <v>1029</v>
      </c>
      <c r="N447">
        <v>967555800</v>
      </c>
      <c r="O447" t="s">
        <v>331</v>
      </c>
      <c r="P447" s="154">
        <v>13000471</v>
      </c>
      <c r="Q447" t="s">
        <v>185</v>
      </c>
      <c r="R447" t="s">
        <v>600</v>
      </c>
      <c r="S447" t="s">
        <v>3317</v>
      </c>
      <c r="T447" t="s">
        <v>3318</v>
      </c>
      <c r="U447" t="s">
        <v>3319</v>
      </c>
      <c r="V447" t="s">
        <v>3320</v>
      </c>
      <c r="W447" t="s">
        <v>101</v>
      </c>
      <c r="X447" t="s">
        <v>156</v>
      </c>
      <c r="Y447" s="229">
        <v>157.5</v>
      </c>
      <c r="Z447" s="176">
        <v>130435.2</v>
      </c>
      <c r="AA447">
        <v>240</v>
      </c>
      <c r="AB447" t="s">
        <v>1459</v>
      </c>
      <c r="AC447" t="s">
        <v>1252</v>
      </c>
      <c r="AD447" s="199">
        <v>0.3</v>
      </c>
      <c r="AE447" s="199" t="s">
        <v>1374</v>
      </c>
      <c r="AF447" s="179">
        <v>0</v>
      </c>
      <c r="AG447" s="179">
        <v>106.255</v>
      </c>
      <c r="AH447" s="179">
        <v>0</v>
      </c>
      <c r="AI447" s="179">
        <v>133.536</v>
      </c>
      <c r="AJ447" s="179">
        <v>8.657</v>
      </c>
      <c r="AK447" s="179">
        <v>0</v>
      </c>
      <c r="AL447">
        <v>8</v>
      </c>
      <c r="AM447">
        <v>2023</v>
      </c>
      <c r="AN447" s="250" t="s">
        <v>1703</v>
      </c>
      <c r="AP447" t="str">
        <f>IF(BD_Bloqueados[[#This Row],[Analista ]]&lt;&gt;"Ana C",MID(BD_Bloqueados[[#This Row],[ID]],3,5),MID(BD_Bloqueados[[#This Row],[ID]],4,5))</f>
        <v>24223</v>
      </c>
      <c r="AQ447">
        <v>237</v>
      </c>
      <c r="AR447">
        <v>2023</v>
      </c>
      <c r="AS447" s="72">
        <v>44927</v>
      </c>
      <c r="AT447" s="72">
        <v>45163</v>
      </c>
      <c r="AU447">
        <v>8</v>
      </c>
    </row>
    <row r="448" spans="1:47">
      <c r="A448" t="s">
        <v>3321</v>
      </c>
      <c r="B448">
        <v>2</v>
      </c>
      <c r="C448" s="72">
        <v>45168</v>
      </c>
      <c r="D448">
        <v>36</v>
      </c>
      <c r="E448" s="173">
        <v>0.14583333333333334</v>
      </c>
      <c r="F448" t="s">
        <v>136</v>
      </c>
      <c r="G448" t="s">
        <v>23</v>
      </c>
      <c r="H448" t="s">
        <v>139</v>
      </c>
      <c r="I448" t="s">
        <v>635</v>
      </c>
      <c r="J448" t="s">
        <v>169</v>
      </c>
      <c r="K448" t="s">
        <v>3322</v>
      </c>
      <c r="L448" t="s">
        <v>108</v>
      </c>
      <c r="M448" t="s">
        <v>1029</v>
      </c>
      <c r="N448">
        <v>967555800</v>
      </c>
      <c r="O448" t="s">
        <v>122</v>
      </c>
      <c r="P448" s="154">
        <v>12001446</v>
      </c>
      <c r="Q448" t="s">
        <v>138</v>
      </c>
      <c r="R448" t="s">
        <v>589</v>
      </c>
      <c r="S448" t="s">
        <v>3323</v>
      </c>
      <c r="T448" t="s">
        <v>3324</v>
      </c>
      <c r="U448" t="s">
        <v>3325</v>
      </c>
      <c r="V448" t="s">
        <v>3326</v>
      </c>
      <c r="W448" t="s">
        <v>101</v>
      </c>
      <c r="X448" t="s">
        <v>102</v>
      </c>
      <c r="Y448" s="229">
        <v>422.4</v>
      </c>
      <c r="Z448" s="176">
        <v>0</v>
      </c>
      <c r="AA448">
        <v>242</v>
      </c>
      <c r="AB448" t="s">
        <v>1356</v>
      </c>
      <c r="AC448" t="s">
        <v>1349</v>
      </c>
      <c r="AD448" s="199">
        <v>0</v>
      </c>
      <c r="AE448" s="199" t="s">
        <v>1292</v>
      </c>
      <c r="AF448" s="179">
        <v>0</v>
      </c>
      <c r="AG448" s="179">
        <v>0</v>
      </c>
      <c r="AH448" s="179">
        <v>0</v>
      </c>
      <c r="AI448" s="179">
        <v>0</v>
      </c>
      <c r="AJ448" s="179">
        <v>0</v>
      </c>
      <c r="AK448" s="179">
        <v>0</v>
      </c>
      <c r="AL448">
        <v>8</v>
      </c>
      <c r="AM448">
        <v>2023</v>
      </c>
      <c r="AN448" s="250"/>
      <c r="AP448" t="str">
        <f>IF(BD_Bloqueados[[#This Row],[Analista ]]&lt;&gt;"Ana C",MID(BD_Bloqueados[[#This Row],[ID]],3,5),MID(BD_Bloqueados[[#This Row],[ID]],4,5))</f>
        <v>24223</v>
      </c>
      <c r="AQ448">
        <v>231</v>
      </c>
      <c r="AR448">
        <v>2023</v>
      </c>
      <c r="AS448" s="72">
        <v>44927</v>
      </c>
      <c r="AT448" s="72">
        <v>45157</v>
      </c>
      <c r="AU448">
        <v>8</v>
      </c>
    </row>
    <row r="449" spans="1:47">
      <c r="A449" t="s">
        <v>3327</v>
      </c>
      <c r="B449">
        <v>2</v>
      </c>
      <c r="C449" s="72">
        <v>45167</v>
      </c>
      <c r="D449">
        <v>36</v>
      </c>
      <c r="E449" s="173">
        <v>0.52083333333333337</v>
      </c>
      <c r="F449" t="s">
        <v>78</v>
      </c>
      <c r="G449" t="s">
        <v>23</v>
      </c>
      <c r="H449" t="s">
        <v>164</v>
      </c>
      <c r="I449" t="s">
        <v>259</v>
      </c>
      <c r="J449" t="s">
        <v>567</v>
      </c>
      <c r="K449" t="s">
        <v>3328</v>
      </c>
      <c r="L449" t="s">
        <v>108</v>
      </c>
      <c r="M449" t="s">
        <v>1029</v>
      </c>
      <c r="N449">
        <v>967555800</v>
      </c>
      <c r="O449" t="s">
        <v>285</v>
      </c>
      <c r="P449" s="154">
        <v>13030597</v>
      </c>
      <c r="Q449" t="s">
        <v>206</v>
      </c>
      <c r="R449" t="s">
        <v>578</v>
      </c>
      <c r="S449" t="s">
        <v>3329</v>
      </c>
      <c r="T449" t="s">
        <v>3330</v>
      </c>
      <c r="U449" t="s">
        <v>3331</v>
      </c>
      <c r="V449" t="s">
        <v>3332</v>
      </c>
      <c r="W449" t="s">
        <v>101</v>
      </c>
      <c r="X449" t="s">
        <v>156</v>
      </c>
      <c r="Y449" s="229">
        <v>4646.3999999999996</v>
      </c>
      <c r="Z449" s="176">
        <v>56267.903999999995</v>
      </c>
      <c r="AA449">
        <v>241</v>
      </c>
      <c r="AB449" t="s">
        <v>1550</v>
      </c>
      <c r="AC449" t="s">
        <v>1349</v>
      </c>
      <c r="AD449" s="199">
        <v>1</v>
      </c>
      <c r="AE449" s="199" t="s">
        <v>1292</v>
      </c>
      <c r="AF449" s="179">
        <v>0</v>
      </c>
      <c r="AG449" s="179">
        <v>0</v>
      </c>
      <c r="AH449" s="179">
        <v>0</v>
      </c>
      <c r="AI449" s="179">
        <v>12.11</v>
      </c>
      <c r="AJ449" s="179">
        <v>0</v>
      </c>
      <c r="AK449" s="179">
        <v>0</v>
      </c>
      <c r="AL449">
        <v>8</v>
      </c>
      <c r="AM449">
        <v>2023</v>
      </c>
      <c r="AN449" s="250"/>
      <c r="AP449" t="str">
        <f>IF(BD_Bloqueados[[#This Row],[Analista ]]&lt;&gt;"Ana C",MID(BD_Bloqueados[[#This Row],[ID]],3,5),MID(BD_Bloqueados[[#This Row],[ID]],4,5))</f>
        <v>24123</v>
      </c>
      <c r="AQ449">
        <v>230</v>
      </c>
      <c r="AR449">
        <v>2023</v>
      </c>
      <c r="AS449" s="72">
        <v>44927</v>
      </c>
      <c r="AT449" s="72">
        <v>45156</v>
      </c>
      <c r="AU449">
        <v>8</v>
      </c>
    </row>
    <row r="450" spans="1:47">
      <c r="A450" t="s">
        <v>3333</v>
      </c>
      <c r="B450">
        <v>2</v>
      </c>
      <c r="C450" s="72">
        <v>45164</v>
      </c>
      <c r="D450">
        <v>35</v>
      </c>
      <c r="E450" s="173">
        <v>3.125E-2</v>
      </c>
      <c r="F450" t="s">
        <v>136</v>
      </c>
      <c r="G450" t="s">
        <v>27</v>
      </c>
      <c r="H450" t="s">
        <v>209</v>
      </c>
      <c r="I450" t="s">
        <v>615</v>
      </c>
      <c r="J450" t="s">
        <v>2681</v>
      </c>
      <c r="K450" t="s">
        <v>1196</v>
      </c>
      <c r="L450" t="s">
        <v>77</v>
      </c>
      <c r="M450" t="s">
        <v>708</v>
      </c>
      <c r="N450">
        <v>76188974</v>
      </c>
      <c r="O450" t="s">
        <v>541</v>
      </c>
      <c r="P450" s="154">
        <v>11001858</v>
      </c>
      <c r="Q450" t="s">
        <v>35</v>
      </c>
      <c r="R450" t="s">
        <v>627</v>
      </c>
      <c r="S450" t="s">
        <v>3334</v>
      </c>
      <c r="U450" t="s">
        <v>3335</v>
      </c>
      <c r="V450" t="s">
        <v>3336</v>
      </c>
      <c r="W450" t="s">
        <v>101</v>
      </c>
      <c r="Y450" s="229">
        <v>178.5</v>
      </c>
      <c r="Z450" s="176"/>
      <c r="AD450" s="199"/>
      <c r="AE450" s="199"/>
      <c r="AF450" s="179"/>
      <c r="AG450" s="179"/>
      <c r="AH450" s="179"/>
      <c r="AI450" s="179"/>
      <c r="AJ450" s="179"/>
      <c r="AK450" s="179"/>
      <c r="AL450">
        <v>8</v>
      </c>
      <c r="AM450">
        <v>2023</v>
      </c>
      <c r="AN450" s="250"/>
      <c r="AP450" t="str">
        <f>IF(BD_Bloqueados[[#This Row],[Analista ]]&lt;&gt;"Ana C",MID(BD_Bloqueados[[#This Row],[ID]],3,5),MID(BD_Bloqueados[[#This Row],[ID]],4,5))</f>
        <v>23823</v>
      </c>
      <c r="AQ450">
        <v>228</v>
      </c>
      <c r="AR450">
        <v>2023</v>
      </c>
      <c r="AS450" s="72">
        <v>44927</v>
      </c>
      <c r="AT450" s="72">
        <v>45154</v>
      </c>
      <c r="AU450">
        <v>8</v>
      </c>
    </row>
    <row r="451" spans="1:47">
      <c r="A451" t="s">
        <v>3337</v>
      </c>
      <c r="B451">
        <v>2</v>
      </c>
      <c r="C451" s="72">
        <v>45163</v>
      </c>
      <c r="D451">
        <v>35</v>
      </c>
      <c r="E451" s="173">
        <v>0.47222222222222227</v>
      </c>
      <c r="F451" t="s">
        <v>78</v>
      </c>
      <c r="G451" t="s">
        <v>27</v>
      </c>
      <c r="H451" t="s">
        <v>209</v>
      </c>
      <c r="I451" t="s">
        <v>635</v>
      </c>
      <c r="J451" t="s">
        <v>618</v>
      </c>
      <c r="K451" t="s">
        <v>3338</v>
      </c>
      <c r="L451" t="s">
        <v>108</v>
      </c>
      <c r="M451" t="s">
        <v>1029</v>
      </c>
      <c r="N451">
        <v>967555800</v>
      </c>
      <c r="O451" t="s">
        <v>99</v>
      </c>
      <c r="P451" s="154">
        <v>13001756</v>
      </c>
      <c r="Q451" t="s">
        <v>138</v>
      </c>
      <c r="R451" t="s">
        <v>589</v>
      </c>
      <c r="S451" t="s">
        <v>3339</v>
      </c>
      <c r="T451" t="s">
        <v>3340</v>
      </c>
      <c r="U451" t="s">
        <v>3341</v>
      </c>
      <c r="V451" t="s">
        <v>3342</v>
      </c>
      <c r="W451" t="s">
        <v>101</v>
      </c>
      <c r="X451" t="s">
        <v>156</v>
      </c>
      <c r="Y451" s="229">
        <v>475.2</v>
      </c>
      <c r="Z451" s="176">
        <v>130336.90559999998</v>
      </c>
      <c r="AA451">
        <v>236</v>
      </c>
      <c r="AB451" t="s">
        <v>1290</v>
      </c>
      <c r="AC451" t="s">
        <v>1252</v>
      </c>
      <c r="AD451" s="199">
        <v>1</v>
      </c>
      <c r="AE451" s="199" t="s">
        <v>1292</v>
      </c>
      <c r="AF451" s="179">
        <v>15.552</v>
      </c>
      <c r="AG451" s="179">
        <v>106.327</v>
      </c>
      <c r="AH451" s="179">
        <v>0</v>
      </c>
      <c r="AI451" s="179">
        <v>150.82400000000001</v>
      </c>
      <c r="AJ451" s="179">
        <v>1.575</v>
      </c>
      <c r="AK451" s="179">
        <v>0</v>
      </c>
      <c r="AL451">
        <v>8</v>
      </c>
      <c r="AM451">
        <v>2023</v>
      </c>
      <c r="AN451" s="250" t="s">
        <v>1283</v>
      </c>
      <c r="AP451" t="str">
        <f>IF(BD_Bloqueados[[#This Row],[Analista ]]&lt;&gt;"Ana C",MID(BD_Bloqueados[[#This Row],[ID]],3,5),MID(BD_Bloqueados[[#This Row],[ID]],4,5))</f>
        <v>23723</v>
      </c>
      <c r="AQ451">
        <v>342</v>
      </c>
      <c r="AR451">
        <v>2023</v>
      </c>
      <c r="AS451" s="72">
        <v>44927</v>
      </c>
      <c r="AT451" s="72">
        <v>45268</v>
      </c>
      <c r="AU451">
        <v>12</v>
      </c>
    </row>
    <row r="452" spans="1:47">
      <c r="A452" t="s">
        <v>3426</v>
      </c>
      <c r="B452">
        <v>2</v>
      </c>
      <c r="C452" s="72">
        <v>45159</v>
      </c>
      <c r="D452">
        <v>35</v>
      </c>
      <c r="E452" s="173">
        <v>0.4458333333333333</v>
      </c>
      <c r="F452" t="s">
        <v>78</v>
      </c>
      <c r="G452" t="s">
        <v>25</v>
      </c>
      <c r="H452" t="s">
        <v>164</v>
      </c>
      <c r="I452" t="s">
        <v>635</v>
      </c>
      <c r="J452" t="s">
        <v>595</v>
      </c>
      <c r="K452" t="s">
        <v>1595</v>
      </c>
      <c r="L452" t="s">
        <v>108</v>
      </c>
      <c r="M452" t="s">
        <v>1029</v>
      </c>
      <c r="N452">
        <v>967555800</v>
      </c>
      <c r="O452" t="s">
        <v>265</v>
      </c>
      <c r="P452" s="154">
        <v>13030402</v>
      </c>
      <c r="Q452" t="s">
        <v>80</v>
      </c>
      <c r="R452" t="s">
        <v>608</v>
      </c>
      <c r="S452" t="s">
        <v>3427</v>
      </c>
      <c r="T452" t="s">
        <v>3428</v>
      </c>
      <c r="U452" t="s">
        <v>3429</v>
      </c>
      <c r="V452" t="s">
        <v>3430</v>
      </c>
      <c r="W452" t="s">
        <v>101</v>
      </c>
      <c r="X452" t="s">
        <v>129</v>
      </c>
      <c r="Y452" s="229">
        <v>2027</v>
      </c>
      <c r="Z452" s="176">
        <v>1384282.8940000001</v>
      </c>
      <c r="AA452">
        <v>233</v>
      </c>
      <c r="AB452" t="s">
        <v>1685</v>
      </c>
      <c r="AC452" t="s">
        <v>3431</v>
      </c>
      <c r="AD452" s="199">
        <v>1</v>
      </c>
      <c r="AE452" s="199" t="s">
        <v>1292</v>
      </c>
      <c r="AF452" s="179">
        <v>0</v>
      </c>
      <c r="AG452" s="179">
        <v>9.7759999999999998</v>
      </c>
      <c r="AH452" s="179">
        <v>535.92700000000002</v>
      </c>
      <c r="AI452" s="179">
        <v>115.721</v>
      </c>
      <c r="AJ452" s="179">
        <v>21.498000000000001</v>
      </c>
      <c r="AK452" s="179">
        <v>0</v>
      </c>
      <c r="AL452">
        <v>8</v>
      </c>
      <c r="AM452">
        <v>2023</v>
      </c>
      <c r="AN452" s="250"/>
      <c r="AP452" t="str">
        <f>IF(BD_Bloqueados[[#This Row],[Analista ]]&lt;&gt;"Ana C",MID(BD_Bloqueados[[#This Row],[ID]],3,5),MID(BD_Bloqueados[[#This Row],[ID]],4,5))</f>
        <v>23323</v>
      </c>
      <c r="AQ452">
        <v>223</v>
      </c>
      <c r="AR452">
        <v>2023</v>
      </c>
      <c r="AS452" s="72">
        <v>44927</v>
      </c>
      <c r="AT452" s="72">
        <v>45149</v>
      </c>
      <c r="AU452">
        <v>8</v>
      </c>
    </row>
    <row r="453" spans="1:47">
      <c r="A453" t="s">
        <v>3343</v>
      </c>
      <c r="B453">
        <v>2</v>
      </c>
      <c r="C453" s="72">
        <v>45157</v>
      </c>
      <c r="D453">
        <v>34</v>
      </c>
      <c r="E453" s="173">
        <v>6.25E-2</v>
      </c>
      <c r="F453" t="s">
        <v>136</v>
      </c>
      <c r="G453" t="s">
        <v>29</v>
      </c>
      <c r="H453" t="s">
        <v>113</v>
      </c>
      <c r="I453" t="s">
        <v>259</v>
      </c>
      <c r="J453" t="s">
        <v>2681</v>
      </c>
      <c r="K453" t="s">
        <v>2473</v>
      </c>
      <c r="L453" t="s">
        <v>108</v>
      </c>
      <c r="M453" t="s">
        <v>1029</v>
      </c>
      <c r="N453">
        <v>967555800</v>
      </c>
      <c r="O453" t="s">
        <v>146</v>
      </c>
      <c r="P453" s="154">
        <v>12001436</v>
      </c>
      <c r="Q453" t="s">
        <v>206</v>
      </c>
      <c r="R453" t="s">
        <v>579</v>
      </c>
      <c r="S453" t="s">
        <v>3344</v>
      </c>
      <c r="T453" t="s">
        <v>3345</v>
      </c>
      <c r="U453" t="s">
        <v>3346</v>
      </c>
      <c r="V453" t="s">
        <v>3347</v>
      </c>
      <c r="W453" t="s">
        <v>101</v>
      </c>
      <c r="X453" t="s">
        <v>129</v>
      </c>
      <c r="Y453" s="229">
        <v>1532.16</v>
      </c>
      <c r="Z453" s="176">
        <v>2687408.6399999992</v>
      </c>
      <c r="AA453">
        <v>231</v>
      </c>
      <c r="AB453" t="s">
        <v>1550</v>
      </c>
      <c r="AC453" t="s">
        <v>1349</v>
      </c>
      <c r="AD453" s="199">
        <v>4.8000000000000001E-2</v>
      </c>
      <c r="AE453" s="199" t="s">
        <v>1374</v>
      </c>
      <c r="AF453" s="179">
        <v>72.346999999999994</v>
      </c>
      <c r="AG453" s="179">
        <v>5.9009999999999998</v>
      </c>
      <c r="AH453" s="179">
        <v>0</v>
      </c>
      <c r="AI453" s="179">
        <v>3.6269999999999998</v>
      </c>
      <c r="AJ453" s="179">
        <v>0</v>
      </c>
      <c r="AK453" s="179">
        <v>2.3170000000000002</v>
      </c>
      <c r="AL453">
        <v>8</v>
      </c>
      <c r="AM453">
        <v>2023</v>
      </c>
      <c r="AN453" s="250"/>
      <c r="AP453" t="str">
        <f>IF(BD_Bloqueados[[#This Row],[Analista ]]&lt;&gt;"Ana C",MID(BD_Bloqueados[[#This Row],[ID]],3,5),MID(BD_Bloqueados[[#This Row],[ID]],4,5))</f>
        <v>23123</v>
      </c>
      <c r="AQ453">
        <v>223</v>
      </c>
      <c r="AR453">
        <v>2023</v>
      </c>
      <c r="AS453" s="72">
        <v>44927</v>
      </c>
      <c r="AT453" s="72">
        <v>45149</v>
      </c>
      <c r="AU453">
        <v>8</v>
      </c>
    </row>
    <row r="454" spans="1:47">
      <c r="A454" t="s">
        <v>3348</v>
      </c>
      <c r="B454">
        <v>2</v>
      </c>
      <c r="C454" s="72">
        <v>45156</v>
      </c>
      <c r="D454">
        <v>34</v>
      </c>
      <c r="E454" s="173">
        <v>0.72916666666666663</v>
      </c>
      <c r="F454" t="s">
        <v>109</v>
      </c>
      <c r="G454" t="s">
        <v>23</v>
      </c>
      <c r="H454" t="s">
        <v>207</v>
      </c>
      <c r="I454" t="s">
        <v>635</v>
      </c>
      <c r="J454" t="s">
        <v>595</v>
      </c>
      <c r="K454" t="s">
        <v>3349</v>
      </c>
      <c r="L454" t="s">
        <v>108</v>
      </c>
      <c r="M454" t="s">
        <v>1029</v>
      </c>
      <c r="N454">
        <v>967555800</v>
      </c>
      <c r="O454" t="s">
        <v>285</v>
      </c>
      <c r="P454" s="154">
        <v>13030597</v>
      </c>
      <c r="Q454" t="s">
        <v>80</v>
      </c>
      <c r="R454" t="s">
        <v>589</v>
      </c>
      <c r="S454" t="s">
        <v>3350</v>
      </c>
      <c r="T454" t="s">
        <v>3351</v>
      </c>
      <c r="U454" t="s">
        <v>3352</v>
      </c>
      <c r="V454" t="s">
        <v>3353</v>
      </c>
      <c r="W454" t="s">
        <v>101</v>
      </c>
      <c r="X454" t="s">
        <v>156</v>
      </c>
      <c r="Y454" s="229">
        <v>2793</v>
      </c>
      <c r="Z454" s="176">
        <v>95813.166749999989</v>
      </c>
      <c r="AA454">
        <v>230</v>
      </c>
      <c r="AB454" t="s">
        <v>3354</v>
      </c>
      <c r="AC454" t="s">
        <v>1349</v>
      </c>
      <c r="AD454" s="199">
        <v>1</v>
      </c>
      <c r="AE454" s="199" t="s">
        <v>3355</v>
      </c>
      <c r="AF454" s="179">
        <v>0</v>
      </c>
      <c r="AG454" s="179">
        <v>0</v>
      </c>
      <c r="AH454" s="179">
        <v>0</v>
      </c>
      <c r="AI454" s="179">
        <v>28.930250000000001</v>
      </c>
      <c r="AJ454" s="179">
        <v>5.3745000000000003</v>
      </c>
      <c r="AK454" s="179">
        <v>0</v>
      </c>
      <c r="AL454">
        <v>8</v>
      </c>
      <c r="AM454">
        <v>2023</v>
      </c>
      <c r="AN454" s="250"/>
      <c r="AP454" t="str">
        <f>IF(BD_Bloqueados[[#This Row],[Analista ]]&lt;&gt;"Ana C",MID(BD_Bloqueados[[#This Row],[ID]],3,5),MID(BD_Bloqueados[[#This Row],[ID]],4,5))</f>
        <v>23023</v>
      </c>
      <c r="AQ454">
        <v>222</v>
      </c>
      <c r="AR454">
        <v>2023</v>
      </c>
      <c r="AS454" s="72">
        <v>44927</v>
      </c>
      <c r="AT454" s="72">
        <v>45148</v>
      </c>
      <c r="AU454">
        <v>8</v>
      </c>
    </row>
    <row r="455" spans="1:47">
      <c r="A455" t="s">
        <v>3356</v>
      </c>
      <c r="B455">
        <v>2</v>
      </c>
      <c r="C455" s="72">
        <v>45154</v>
      </c>
      <c r="D455">
        <v>34</v>
      </c>
      <c r="E455" s="173">
        <v>0.2986111111111111</v>
      </c>
      <c r="F455" t="s">
        <v>78</v>
      </c>
      <c r="G455" t="s">
        <v>29</v>
      </c>
      <c r="H455" t="s">
        <v>83</v>
      </c>
      <c r="I455" t="s">
        <v>615</v>
      </c>
      <c r="J455" t="s">
        <v>618</v>
      </c>
      <c r="K455" t="s">
        <v>3357</v>
      </c>
      <c r="L455" t="s">
        <v>77</v>
      </c>
      <c r="M455" t="s">
        <v>681</v>
      </c>
      <c r="N455">
        <v>96506730</v>
      </c>
      <c r="O455" t="s">
        <v>858</v>
      </c>
      <c r="P455" s="154">
        <v>10004359</v>
      </c>
      <c r="Q455" t="s">
        <v>206</v>
      </c>
      <c r="R455" t="s">
        <v>627</v>
      </c>
      <c r="S455" t="s">
        <v>3358</v>
      </c>
      <c r="T455" t="s">
        <v>1397</v>
      </c>
      <c r="U455" t="s">
        <v>3359</v>
      </c>
      <c r="W455" t="s">
        <v>101</v>
      </c>
      <c r="Y455" s="229">
        <v>89.8</v>
      </c>
      <c r="Z455" s="176">
        <v>0</v>
      </c>
      <c r="AA455" t="s">
        <v>3360</v>
      </c>
      <c r="AD455" s="199"/>
      <c r="AE455" s="199"/>
      <c r="AF455" s="179"/>
      <c r="AG455" s="179"/>
      <c r="AH455" s="179"/>
      <c r="AI455" s="179"/>
      <c r="AJ455" s="179"/>
      <c r="AK455" s="179"/>
      <c r="AL455">
        <v>8</v>
      </c>
      <c r="AM455">
        <v>2023</v>
      </c>
      <c r="AN455" s="250"/>
      <c r="AP455" t="str">
        <f>IF(BD_Bloqueados[[#This Row],[Analista ]]&lt;&gt;"Ana C",MID(BD_Bloqueados[[#This Row],[ID]],3,5),MID(BD_Bloqueados[[#This Row],[ID]],4,5))</f>
        <v>22823</v>
      </c>
      <c r="AQ455">
        <v>221</v>
      </c>
      <c r="AR455">
        <v>2023</v>
      </c>
      <c r="AS455" s="72">
        <v>44927</v>
      </c>
      <c r="AT455" s="72">
        <v>45147</v>
      </c>
      <c r="AU455">
        <v>8</v>
      </c>
    </row>
    <row r="456" spans="1:47">
      <c r="A456" t="s">
        <v>3003</v>
      </c>
      <c r="B456">
        <v>2</v>
      </c>
      <c r="C456" s="72">
        <v>45238</v>
      </c>
      <c r="D456">
        <v>33</v>
      </c>
      <c r="E456" s="173">
        <v>0.6875</v>
      </c>
      <c r="F456" t="s">
        <v>109</v>
      </c>
      <c r="G456" t="s">
        <v>27</v>
      </c>
      <c r="H456" t="s">
        <v>189</v>
      </c>
      <c r="I456" t="s">
        <v>615</v>
      </c>
      <c r="J456" t="s">
        <v>2681</v>
      </c>
      <c r="K456" t="s">
        <v>2334</v>
      </c>
      <c r="L456" t="s">
        <v>108</v>
      </c>
      <c r="M456" t="s">
        <v>1029</v>
      </c>
      <c r="N456">
        <v>967555800</v>
      </c>
      <c r="O456" t="s">
        <v>272</v>
      </c>
      <c r="P456" s="154">
        <v>13030280</v>
      </c>
      <c r="Q456" t="s">
        <v>138</v>
      </c>
      <c r="R456" t="s">
        <v>589</v>
      </c>
      <c r="S456" t="s">
        <v>3004</v>
      </c>
      <c r="T456" t="s">
        <v>3005</v>
      </c>
      <c r="U456" t="s">
        <v>3006</v>
      </c>
      <c r="V456" t="s">
        <v>3007</v>
      </c>
      <c r="W456" t="s">
        <v>101</v>
      </c>
      <c r="X456" t="s">
        <v>156</v>
      </c>
      <c r="Y456" s="229">
        <v>61.6</v>
      </c>
      <c r="Z456" s="176">
        <v>42305.06</v>
      </c>
      <c r="AA456">
        <v>223</v>
      </c>
      <c r="AB456" t="s">
        <v>1290</v>
      </c>
      <c r="AC456" t="s">
        <v>1252</v>
      </c>
      <c r="AD456" s="199">
        <v>0.44</v>
      </c>
      <c r="AE456" s="199" t="s">
        <v>1374</v>
      </c>
      <c r="AF456" s="179">
        <v>19.250999999999998</v>
      </c>
      <c r="AG456" s="179">
        <v>234.35599999999999</v>
      </c>
      <c r="AH456" s="179">
        <v>0</v>
      </c>
      <c r="AI456" s="179">
        <v>43.037999999999997</v>
      </c>
      <c r="AJ456" s="179">
        <v>5.5339999999999998</v>
      </c>
      <c r="AK456" s="179">
        <v>0</v>
      </c>
      <c r="AL456">
        <v>8</v>
      </c>
      <c r="AM456">
        <v>2023</v>
      </c>
      <c r="AN456" s="250" t="s">
        <v>3008</v>
      </c>
      <c r="AP456" t="str">
        <f>IF(BD_Bloqueados[[#This Row],[Analista ]]&lt;&gt;"Ana C",MID(BD_Bloqueados[[#This Row],[ID]],3,5),MID(BD_Bloqueados[[#This Row],[ID]],4,5))</f>
        <v>22323</v>
      </c>
      <c r="AQ456">
        <v>221</v>
      </c>
      <c r="AR456">
        <v>2023</v>
      </c>
      <c r="AS456" s="72">
        <v>44927</v>
      </c>
      <c r="AT456" s="72">
        <v>45147</v>
      </c>
      <c r="AU456">
        <v>8</v>
      </c>
    </row>
    <row r="457" spans="1:47">
      <c r="A457" t="s">
        <v>3009</v>
      </c>
      <c r="B457">
        <v>2</v>
      </c>
      <c r="C457" s="72">
        <v>45238</v>
      </c>
      <c r="D457">
        <v>33</v>
      </c>
      <c r="E457" s="173">
        <v>0.46527777777777773</v>
      </c>
      <c r="F457" t="s">
        <v>78</v>
      </c>
      <c r="G457" t="s">
        <v>32</v>
      </c>
      <c r="H457" t="s">
        <v>85</v>
      </c>
      <c r="I457" t="s">
        <v>248</v>
      </c>
      <c r="J457" t="s">
        <v>2204</v>
      </c>
      <c r="K457" t="s">
        <v>3010</v>
      </c>
      <c r="L457" t="s">
        <v>108</v>
      </c>
      <c r="M457" t="s">
        <v>1029</v>
      </c>
      <c r="N457">
        <v>967555800</v>
      </c>
      <c r="O457" t="s">
        <v>200</v>
      </c>
      <c r="P457" s="154">
        <v>13030428</v>
      </c>
      <c r="Q457" t="s">
        <v>138</v>
      </c>
      <c r="R457" t="s">
        <v>589</v>
      </c>
      <c r="S457" t="s">
        <v>3011</v>
      </c>
      <c r="T457" t="s">
        <v>3012</v>
      </c>
      <c r="U457" t="s">
        <v>3013</v>
      </c>
      <c r="V457" t="s">
        <v>3014</v>
      </c>
      <c r="W457" t="s">
        <v>101</v>
      </c>
      <c r="X457" t="s">
        <v>156</v>
      </c>
      <c r="Y457" s="229">
        <v>636</v>
      </c>
      <c r="Z457" s="176">
        <v>198565.56000000003</v>
      </c>
      <c r="AA457">
        <v>222</v>
      </c>
      <c r="AB457" t="s">
        <v>1290</v>
      </c>
      <c r="AC457" t="s">
        <v>1252</v>
      </c>
      <c r="AD457" s="199">
        <v>1</v>
      </c>
      <c r="AE457" s="199" t="s">
        <v>1292</v>
      </c>
      <c r="AF457" s="179">
        <v>2.93</v>
      </c>
      <c r="AG457" s="179">
        <v>149.46</v>
      </c>
      <c r="AH457" s="179">
        <v>0</v>
      </c>
      <c r="AI457" s="179">
        <v>158.715</v>
      </c>
      <c r="AJ457" s="179">
        <v>1.105</v>
      </c>
      <c r="AK457" s="179">
        <v>0</v>
      </c>
      <c r="AL457">
        <v>8</v>
      </c>
      <c r="AM457">
        <v>2023</v>
      </c>
      <c r="AN457" s="250" t="s">
        <v>1611</v>
      </c>
      <c r="AP457" t="str">
        <f>IF(BD_Bloqueados[[#This Row],[Analista ]]&lt;&gt;"Ana C",MID(BD_Bloqueados[[#This Row],[ID]],3,5),MID(BD_Bloqueados[[#This Row],[ID]],4,5))</f>
        <v>22323</v>
      </c>
      <c r="AQ457">
        <v>220</v>
      </c>
      <c r="AR457">
        <v>2023</v>
      </c>
      <c r="AS457" s="72">
        <v>44927</v>
      </c>
      <c r="AT457" s="72">
        <v>45146</v>
      </c>
      <c r="AU457">
        <v>8</v>
      </c>
    </row>
    <row r="458" spans="1:47">
      <c r="A458" t="s">
        <v>3128</v>
      </c>
      <c r="B458">
        <v>2</v>
      </c>
      <c r="C458" s="72">
        <v>45207</v>
      </c>
      <c r="D458">
        <v>33</v>
      </c>
      <c r="E458" s="173">
        <v>0.52083333333333337</v>
      </c>
      <c r="F458" t="s">
        <v>78</v>
      </c>
      <c r="G458" t="s">
        <v>28</v>
      </c>
      <c r="H458" t="s">
        <v>81</v>
      </c>
      <c r="I458" t="s">
        <v>259</v>
      </c>
      <c r="J458" t="s">
        <v>618</v>
      </c>
      <c r="K458" t="s">
        <v>1077</v>
      </c>
      <c r="L458" t="s">
        <v>77</v>
      </c>
      <c r="M458" t="s">
        <v>656</v>
      </c>
      <c r="N458">
        <v>84750800</v>
      </c>
      <c r="O458" t="s">
        <v>481</v>
      </c>
      <c r="P458" s="154">
        <v>10000449</v>
      </c>
      <c r="Q458" t="s">
        <v>80</v>
      </c>
      <c r="R458" t="s">
        <v>608</v>
      </c>
      <c r="S458" t="s">
        <v>3129</v>
      </c>
      <c r="T458" t="s">
        <v>3130</v>
      </c>
      <c r="U458" t="s">
        <v>3131</v>
      </c>
      <c r="V458" t="s">
        <v>3132</v>
      </c>
      <c r="W458" t="s">
        <v>101</v>
      </c>
      <c r="Y458" s="229">
        <v>2776</v>
      </c>
      <c r="Z458" s="176"/>
      <c r="AA458">
        <v>50523</v>
      </c>
      <c r="AD458" s="199"/>
      <c r="AE458" s="199"/>
      <c r="AF458" s="179"/>
      <c r="AG458" s="179"/>
      <c r="AH458" s="179"/>
      <c r="AI458" s="179"/>
      <c r="AJ458" s="179"/>
      <c r="AK458" s="179"/>
      <c r="AL458">
        <v>8</v>
      </c>
      <c r="AM458">
        <v>2023</v>
      </c>
      <c r="AN458" s="250"/>
      <c r="AP458" t="str">
        <f>IF(BD_Bloqueados[[#This Row],[Analista ]]&lt;&gt;"Ana C",MID(BD_Bloqueados[[#This Row],[ID]],3,5),MID(BD_Bloqueados[[#This Row],[ID]],4,5))</f>
        <v>22223</v>
      </c>
      <c r="AQ458">
        <v>189</v>
      </c>
      <c r="AR458">
        <v>2023</v>
      </c>
      <c r="AS458" s="72">
        <v>44927</v>
      </c>
      <c r="AT458" s="72">
        <v>45115</v>
      </c>
      <c r="AU458">
        <v>7</v>
      </c>
    </row>
    <row r="459" spans="1:47">
      <c r="A459" t="s">
        <v>3239</v>
      </c>
      <c r="B459">
        <v>2</v>
      </c>
      <c r="C459" s="72">
        <v>45177</v>
      </c>
      <c r="D459">
        <v>33</v>
      </c>
      <c r="E459" s="173">
        <v>0.94513888888888886</v>
      </c>
      <c r="F459" t="s">
        <v>136</v>
      </c>
      <c r="G459" t="s">
        <v>27</v>
      </c>
      <c r="H459" t="s">
        <v>189</v>
      </c>
      <c r="I459" t="s">
        <v>635</v>
      </c>
      <c r="J459" t="s">
        <v>618</v>
      </c>
      <c r="K459" t="s">
        <v>3240</v>
      </c>
      <c r="L459" t="s">
        <v>108</v>
      </c>
      <c r="M459" t="s">
        <v>1029</v>
      </c>
      <c r="N459">
        <v>967555800</v>
      </c>
      <c r="O459" t="s">
        <v>272</v>
      </c>
      <c r="P459" s="154">
        <v>13030280</v>
      </c>
      <c r="Q459" t="s">
        <v>138</v>
      </c>
      <c r="R459" t="s">
        <v>589</v>
      </c>
      <c r="S459" t="s">
        <v>3241</v>
      </c>
      <c r="T459" t="s">
        <v>3242</v>
      </c>
      <c r="U459" t="s">
        <v>3243</v>
      </c>
      <c r="V459" t="s">
        <v>3244</v>
      </c>
      <c r="W459" t="s">
        <v>101</v>
      </c>
      <c r="X459" t="s">
        <v>156</v>
      </c>
      <c r="Y459" s="229">
        <v>149.6</v>
      </c>
      <c r="Z459" s="176">
        <v>102740.85999999999</v>
      </c>
      <c r="AA459">
        <v>221</v>
      </c>
      <c r="AB459" t="s">
        <v>1714</v>
      </c>
      <c r="AC459" t="s">
        <v>1349</v>
      </c>
      <c r="AD459" s="199">
        <v>0.44</v>
      </c>
      <c r="AE459" s="199" t="s">
        <v>1374</v>
      </c>
      <c r="AF459" s="179">
        <v>19.250999999999998</v>
      </c>
      <c r="AG459" s="179">
        <v>234.35599999999999</v>
      </c>
      <c r="AH459" s="179">
        <v>0</v>
      </c>
      <c r="AI459" s="179">
        <v>43.037999999999997</v>
      </c>
      <c r="AJ459" s="179">
        <v>5.5339999999999998</v>
      </c>
      <c r="AK459" s="179">
        <v>0</v>
      </c>
      <c r="AL459">
        <v>8</v>
      </c>
      <c r="AM459">
        <v>2023</v>
      </c>
      <c r="AN459" s="250"/>
      <c r="AP459" t="str">
        <f>IF(BD_Bloqueados[[#This Row],[Analista ]]&lt;&gt;"Ana C",MID(BD_Bloqueados[[#This Row],[ID]],3,5),MID(BD_Bloqueados[[#This Row],[ID]],4,5))</f>
        <v>22123</v>
      </c>
      <c r="AQ459">
        <v>189</v>
      </c>
      <c r="AR459">
        <v>2023</v>
      </c>
      <c r="AS459" s="72">
        <v>44927</v>
      </c>
      <c r="AT459" s="72">
        <v>45115</v>
      </c>
      <c r="AU459">
        <v>7</v>
      </c>
    </row>
    <row r="460" spans="1:47">
      <c r="A460" t="s">
        <v>3365</v>
      </c>
      <c r="B460">
        <v>2</v>
      </c>
      <c r="C460" s="72">
        <v>45177</v>
      </c>
      <c r="D460">
        <v>33</v>
      </c>
      <c r="E460" s="173">
        <v>0.53888888888888886</v>
      </c>
      <c r="F460" t="s">
        <v>78</v>
      </c>
      <c r="G460" t="s">
        <v>28</v>
      </c>
      <c r="H460" t="s">
        <v>81</v>
      </c>
      <c r="I460" t="s">
        <v>259</v>
      </c>
      <c r="J460" t="s">
        <v>618</v>
      </c>
      <c r="K460" t="s">
        <v>1077</v>
      </c>
      <c r="L460" t="s">
        <v>108</v>
      </c>
      <c r="M460" t="s">
        <v>1029</v>
      </c>
      <c r="N460">
        <v>967555800</v>
      </c>
      <c r="O460" t="s">
        <v>347</v>
      </c>
      <c r="P460" s="154">
        <v>12000409</v>
      </c>
      <c r="Q460" t="s">
        <v>80</v>
      </c>
      <c r="R460" t="s">
        <v>608</v>
      </c>
      <c r="S460" t="s">
        <v>3366</v>
      </c>
      <c r="T460" t="s">
        <v>3367</v>
      </c>
      <c r="U460" t="s">
        <v>3368</v>
      </c>
      <c r="V460" t="s">
        <v>3369</v>
      </c>
      <c r="W460" t="s">
        <v>101</v>
      </c>
      <c r="X460" t="s">
        <v>129</v>
      </c>
      <c r="Y460" s="229">
        <v>736.7</v>
      </c>
      <c r="Z460" s="176">
        <v>600086.35199999996</v>
      </c>
      <c r="AA460">
        <v>220</v>
      </c>
      <c r="AB460" t="s">
        <v>1685</v>
      </c>
      <c r="AC460" t="s">
        <v>1252</v>
      </c>
      <c r="AD460" s="199">
        <v>2.5000000000000001E-2</v>
      </c>
      <c r="AE460" s="199" t="s">
        <v>1374</v>
      </c>
      <c r="AF460" s="179">
        <v>0.71299999999999997</v>
      </c>
      <c r="AG460" s="179">
        <v>0</v>
      </c>
      <c r="AH460" s="179">
        <v>19.651</v>
      </c>
      <c r="AI460" s="179">
        <v>0</v>
      </c>
      <c r="AJ460" s="179">
        <v>0</v>
      </c>
      <c r="AK460" s="179">
        <v>0</v>
      </c>
      <c r="AL460">
        <v>8</v>
      </c>
      <c r="AM460">
        <v>2023</v>
      </c>
      <c r="AN460" s="250" t="s">
        <v>3370</v>
      </c>
      <c r="AP460" t="str">
        <f>IF(BD_Bloqueados[[#This Row],[Analista ]]&lt;&gt;"Ana C",MID(BD_Bloqueados[[#This Row],[ID]],3,5),MID(BD_Bloqueados[[#This Row],[ID]],4,5))</f>
        <v>22123</v>
      </c>
      <c r="AQ460">
        <v>189</v>
      </c>
      <c r="AR460">
        <v>2023</v>
      </c>
      <c r="AS460" s="72">
        <v>44927</v>
      </c>
      <c r="AT460" s="72">
        <v>45115</v>
      </c>
      <c r="AU460">
        <v>7</v>
      </c>
    </row>
    <row r="461" spans="1:47">
      <c r="A461" s="191" t="s">
        <v>3371</v>
      </c>
      <c r="B461">
        <v>2</v>
      </c>
      <c r="C461" s="72">
        <v>45146</v>
      </c>
      <c r="D461">
        <v>33</v>
      </c>
      <c r="E461" s="173">
        <v>0.53888888888888886</v>
      </c>
      <c r="F461" t="s">
        <v>78</v>
      </c>
      <c r="G461" t="s">
        <v>28</v>
      </c>
      <c r="H461" t="s">
        <v>81</v>
      </c>
      <c r="I461" t="s">
        <v>259</v>
      </c>
      <c r="J461" t="s">
        <v>618</v>
      </c>
      <c r="K461" t="s">
        <v>1077</v>
      </c>
      <c r="L461" t="s">
        <v>108</v>
      </c>
      <c r="M461" t="s">
        <v>1029</v>
      </c>
      <c r="N461">
        <v>967555800</v>
      </c>
      <c r="O461" t="s">
        <v>347</v>
      </c>
      <c r="P461" s="154">
        <v>12000409</v>
      </c>
      <c r="Q461" t="s">
        <v>80</v>
      </c>
      <c r="R461" t="s">
        <v>608</v>
      </c>
      <c r="S461" t="s">
        <v>3372</v>
      </c>
      <c r="T461" t="s">
        <v>3367</v>
      </c>
      <c r="U461" t="s">
        <v>3368</v>
      </c>
      <c r="V461" t="s">
        <v>3373</v>
      </c>
      <c r="W461" t="s">
        <v>101</v>
      </c>
      <c r="X461" t="s">
        <v>129</v>
      </c>
      <c r="Y461" s="229">
        <v>320</v>
      </c>
      <c r="Z461" s="176">
        <v>1008345.6000000002</v>
      </c>
      <c r="AA461">
        <v>220</v>
      </c>
      <c r="AB461" t="s">
        <v>1685</v>
      </c>
      <c r="AC461" t="s">
        <v>1252</v>
      </c>
      <c r="AD461" s="199">
        <v>2.5000000000000001E-2</v>
      </c>
      <c r="AE461" s="199" t="s">
        <v>1374</v>
      </c>
      <c r="AF461" s="179">
        <v>5.3019999999999996</v>
      </c>
      <c r="AG461" s="179">
        <v>0</v>
      </c>
      <c r="AH461" s="179">
        <v>63.209999999999994</v>
      </c>
      <c r="AI461" s="179">
        <v>4.641</v>
      </c>
      <c r="AJ461" s="179">
        <v>1.26</v>
      </c>
      <c r="AK461" s="179">
        <v>4.3639999999999999</v>
      </c>
      <c r="AL461">
        <v>8</v>
      </c>
      <c r="AM461">
        <v>2023</v>
      </c>
      <c r="AN461" s="250" t="s">
        <v>3370</v>
      </c>
      <c r="AP461" t="str">
        <f>IF(BD_Bloqueados[[#This Row],[Analista ]]&lt;&gt;"Ana C",MID(BD_Bloqueados[[#This Row],[ID]],3,5),MID(BD_Bloqueados[[#This Row],[ID]],4,5))</f>
        <v>22023</v>
      </c>
      <c r="AQ461">
        <v>159</v>
      </c>
      <c r="AR461">
        <v>2023</v>
      </c>
      <c r="AS461" s="72">
        <v>44927</v>
      </c>
      <c r="AT461" s="72">
        <v>45085</v>
      </c>
      <c r="AU461">
        <v>6</v>
      </c>
    </row>
    <row r="462" spans="1:47">
      <c r="A462" s="191" t="s">
        <v>3923</v>
      </c>
      <c r="B462">
        <v>2</v>
      </c>
      <c r="C462" s="72">
        <v>44934</v>
      </c>
      <c r="D462">
        <v>32</v>
      </c>
      <c r="E462" s="173">
        <v>0.14583333333333334</v>
      </c>
      <c r="F462" t="s">
        <v>136</v>
      </c>
      <c r="G462" t="s">
        <v>29</v>
      </c>
      <c r="H462" t="s">
        <v>113</v>
      </c>
      <c r="I462" t="s">
        <v>615</v>
      </c>
      <c r="J462" t="s">
        <v>2135</v>
      </c>
      <c r="K462" t="s">
        <v>2711</v>
      </c>
      <c r="L462" t="s">
        <v>108</v>
      </c>
      <c r="M462" t="s">
        <v>1029</v>
      </c>
      <c r="N462">
        <v>967555800</v>
      </c>
      <c r="O462" t="s">
        <v>119</v>
      </c>
      <c r="P462" s="154">
        <v>12001437</v>
      </c>
      <c r="Q462" t="s">
        <v>206</v>
      </c>
      <c r="R462" t="s">
        <v>627</v>
      </c>
      <c r="S462" t="s">
        <v>3924</v>
      </c>
      <c r="T462" t="s">
        <v>3925</v>
      </c>
      <c r="U462" t="s">
        <v>3926</v>
      </c>
      <c r="W462" t="s">
        <v>101</v>
      </c>
      <c r="X462" t="s">
        <v>129</v>
      </c>
      <c r="Y462" s="229">
        <v>638.4</v>
      </c>
      <c r="Z462" s="176">
        <v>1028266.2249999999</v>
      </c>
      <c r="AA462">
        <v>213</v>
      </c>
      <c r="AB462" t="s">
        <v>2727</v>
      </c>
      <c r="AC462" t="s">
        <v>1629</v>
      </c>
      <c r="AD462" s="199">
        <v>4.8000000000000001E-2</v>
      </c>
      <c r="AE462" s="199" t="s">
        <v>1374</v>
      </c>
      <c r="AF462" s="179">
        <v>76.664000000000001</v>
      </c>
      <c r="AG462" s="179">
        <v>0</v>
      </c>
      <c r="AH462" s="179">
        <v>0</v>
      </c>
      <c r="AI462" s="179">
        <v>0.64924999999999999</v>
      </c>
      <c r="AJ462" s="179">
        <v>0</v>
      </c>
      <c r="AK462" s="179">
        <v>0</v>
      </c>
      <c r="AL462">
        <v>8</v>
      </c>
      <c r="AM462">
        <v>2023</v>
      </c>
      <c r="AN462" s="250"/>
      <c r="AP462" t="str">
        <f>IF(BD_Bloqueados[[#This Row],[Analista ]]&lt;&gt;"Ana C",MID(BD_Bloqueados[[#This Row],[ID]],3,5),MID(BD_Bloqueados[[#This Row],[ID]],4,5))</f>
        <v>21323</v>
      </c>
      <c r="AQ462">
        <v>159</v>
      </c>
      <c r="AR462">
        <v>2023</v>
      </c>
      <c r="AS462" s="72">
        <v>44927</v>
      </c>
      <c r="AT462" s="72">
        <v>45085</v>
      </c>
      <c r="AU462">
        <v>6</v>
      </c>
    </row>
    <row r="463" spans="1:47">
      <c r="A463" t="s">
        <v>3438</v>
      </c>
      <c r="B463">
        <v>2</v>
      </c>
      <c r="C463" s="72">
        <v>45134</v>
      </c>
      <c r="D463">
        <v>31</v>
      </c>
      <c r="E463" s="173">
        <v>0.66666666666666663</v>
      </c>
      <c r="F463" t="s">
        <v>109</v>
      </c>
      <c r="G463" t="s">
        <v>29</v>
      </c>
      <c r="H463" t="s">
        <v>211</v>
      </c>
      <c r="I463" t="s">
        <v>143</v>
      </c>
      <c r="J463" t="s">
        <v>618</v>
      </c>
      <c r="K463" t="s">
        <v>3259</v>
      </c>
      <c r="L463" t="s">
        <v>108</v>
      </c>
      <c r="M463" t="s">
        <v>1029</v>
      </c>
      <c r="N463">
        <v>967555800</v>
      </c>
      <c r="O463" t="s">
        <v>119</v>
      </c>
      <c r="P463" s="154">
        <v>12001437</v>
      </c>
      <c r="Q463" t="s">
        <v>80</v>
      </c>
      <c r="R463" t="s">
        <v>596</v>
      </c>
      <c r="S463" t="s">
        <v>3439</v>
      </c>
      <c r="T463" t="s">
        <v>3440</v>
      </c>
      <c r="U463" t="s">
        <v>3441</v>
      </c>
      <c r="V463" t="s">
        <v>3442</v>
      </c>
      <c r="W463" t="s">
        <v>101</v>
      </c>
      <c r="X463" t="s">
        <v>156</v>
      </c>
      <c r="Y463" s="229">
        <v>206.4</v>
      </c>
      <c r="Z463" s="176">
        <v>40391.890285714289</v>
      </c>
      <c r="AA463">
        <v>208</v>
      </c>
      <c r="AB463" t="s">
        <v>1491</v>
      </c>
      <c r="AC463" t="s">
        <v>1252</v>
      </c>
      <c r="AD463" s="199">
        <v>0.35</v>
      </c>
      <c r="AE463" s="199" t="s">
        <v>1374</v>
      </c>
      <c r="AF463" s="179">
        <v>0</v>
      </c>
      <c r="AG463" s="179">
        <v>0</v>
      </c>
      <c r="AH463" s="179">
        <v>0</v>
      </c>
      <c r="AI463" s="179">
        <v>68.494</v>
      </c>
      <c r="AJ463" s="179">
        <v>0</v>
      </c>
      <c r="AK463" s="179">
        <v>0</v>
      </c>
      <c r="AL463">
        <v>7</v>
      </c>
      <c r="AM463">
        <v>2023</v>
      </c>
      <c r="AN463" s="250" t="s">
        <v>1283</v>
      </c>
      <c r="AP463" t="str">
        <f>IF(BD_Bloqueados[[#This Row],[Analista ]]&lt;&gt;"Ana C",MID(BD_Bloqueados[[#This Row],[ID]],3,5),MID(BD_Bloqueados[[#This Row],[ID]],4,5))</f>
        <v>20823</v>
      </c>
      <c r="AQ463">
        <v>159</v>
      </c>
      <c r="AR463">
        <v>2023</v>
      </c>
      <c r="AS463" s="72">
        <v>44927</v>
      </c>
      <c r="AT463" s="72">
        <v>45085</v>
      </c>
      <c r="AU463">
        <v>6</v>
      </c>
    </row>
    <row r="464" spans="1:47">
      <c r="A464" t="s">
        <v>3443</v>
      </c>
      <c r="B464">
        <v>2</v>
      </c>
      <c r="C464" s="72">
        <v>45134</v>
      </c>
      <c r="D464">
        <v>31</v>
      </c>
      <c r="E464" s="173">
        <v>0.36458333333333331</v>
      </c>
      <c r="F464" t="s">
        <v>78</v>
      </c>
      <c r="G464" t="s">
        <v>27</v>
      </c>
      <c r="H464" t="s">
        <v>189</v>
      </c>
      <c r="I464" t="s">
        <v>615</v>
      </c>
      <c r="J464" t="s">
        <v>618</v>
      </c>
      <c r="K464" t="s">
        <v>3444</v>
      </c>
      <c r="L464" t="s">
        <v>108</v>
      </c>
      <c r="M464" t="s">
        <v>1029</v>
      </c>
      <c r="N464">
        <v>967555800</v>
      </c>
      <c r="O464" t="s">
        <v>237</v>
      </c>
      <c r="P464" s="154">
        <v>13030190</v>
      </c>
      <c r="Q464" t="s">
        <v>138</v>
      </c>
      <c r="R464" t="s">
        <v>79</v>
      </c>
      <c r="S464" t="s">
        <v>3445</v>
      </c>
      <c r="T464" t="s">
        <v>3446</v>
      </c>
      <c r="U464" t="s">
        <v>3447</v>
      </c>
      <c r="V464" t="s">
        <v>3448</v>
      </c>
      <c r="W464" t="s">
        <v>101</v>
      </c>
      <c r="X464" t="s">
        <v>156</v>
      </c>
      <c r="Y464" s="229">
        <v>292.5</v>
      </c>
      <c r="Z464" s="176">
        <v>240440.54210526319</v>
      </c>
      <c r="AA464">
        <v>208</v>
      </c>
      <c r="AB464" t="s">
        <v>3449</v>
      </c>
      <c r="AC464" t="s">
        <v>1252</v>
      </c>
      <c r="AD464" s="199">
        <v>0.47499999999999998</v>
      </c>
      <c r="AE464" s="199" t="s">
        <v>1374</v>
      </c>
      <c r="AF464" s="179">
        <v>17.884</v>
      </c>
      <c r="AG464" s="179">
        <v>273.613</v>
      </c>
      <c r="AH464" s="179">
        <v>0</v>
      </c>
      <c r="AI464" s="179">
        <v>89.040999999999997</v>
      </c>
      <c r="AJ464" s="179">
        <v>9.9209999999999994</v>
      </c>
      <c r="AK464" s="179">
        <v>0</v>
      </c>
      <c r="AL464">
        <v>7</v>
      </c>
      <c r="AM464">
        <v>2023</v>
      </c>
      <c r="AN464" s="250" t="s">
        <v>3450</v>
      </c>
      <c r="AP464" t="str">
        <f>IF(BD_Bloqueados[[#This Row],[Analista ]]&lt;&gt;"Ana C",MID(BD_Bloqueados[[#This Row],[ID]],3,5),MID(BD_Bloqueados[[#This Row],[ID]],4,5))</f>
        <v>20823</v>
      </c>
      <c r="AQ464">
        <v>332</v>
      </c>
      <c r="AR464">
        <v>2023</v>
      </c>
      <c r="AS464" s="72">
        <v>44927</v>
      </c>
      <c r="AT464" s="72">
        <v>45258</v>
      </c>
      <c r="AU464">
        <v>11</v>
      </c>
    </row>
    <row r="465" spans="1:47">
      <c r="A465" t="s">
        <v>3451</v>
      </c>
      <c r="B465">
        <v>2</v>
      </c>
      <c r="C465" s="72">
        <v>45128</v>
      </c>
      <c r="D465">
        <v>30</v>
      </c>
      <c r="E465" s="173">
        <v>0.42708333333333331</v>
      </c>
      <c r="F465" t="s">
        <v>78</v>
      </c>
      <c r="G465" t="s">
        <v>27</v>
      </c>
      <c r="H465" t="s">
        <v>189</v>
      </c>
      <c r="I465" t="s">
        <v>248</v>
      </c>
      <c r="J465" t="s">
        <v>618</v>
      </c>
      <c r="K465" t="s">
        <v>1136</v>
      </c>
      <c r="L465" t="s">
        <v>108</v>
      </c>
      <c r="M465" t="s">
        <v>1029</v>
      </c>
      <c r="N465">
        <v>967555800</v>
      </c>
      <c r="O465" t="s">
        <v>771</v>
      </c>
      <c r="P465" s="154">
        <v>13030094</v>
      </c>
      <c r="Q465" t="s">
        <v>185</v>
      </c>
      <c r="R465" t="s">
        <v>579</v>
      </c>
      <c r="S465" t="s">
        <v>3452</v>
      </c>
      <c r="T465" t="s">
        <v>3453</v>
      </c>
      <c r="U465" t="s">
        <v>3454</v>
      </c>
      <c r="V465" t="s">
        <v>3455</v>
      </c>
      <c r="W465" t="s">
        <v>101</v>
      </c>
      <c r="X465" t="s">
        <v>156</v>
      </c>
      <c r="Y465" s="229">
        <v>166.25</v>
      </c>
      <c r="Z465" s="176">
        <v>243810.72401960788</v>
      </c>
      <c r="AA465">
        <v>202</v>
      </c>
      <c r="AB465" t="s">
        <v>1400</v>
      </c>
      <c r="AC465" t="s">
        <v>1252</v>
      </c>
      <c r="AD465" s="199">
        <v>0.47499999999999998</v>
      </c>
      <c r="AE465" s="199" t="s">
        <v>1374</v>
      </c>
      <c r="AF465" s="179">
        <v>314.63006862745101</v>
      </c>
      <c r="AG465" s="179">
        <v>272.01799999999997</v>
      </c>
      <c r="AH465" s="179">
        <v>0</v>
      </c>
      <c r="AI465" s="179">
        <v>98.930999999999997</v>
      </c>
      <c r="AJ465" s="179">
        <v>11.023</v>
      </c>
      <c r="AK465" s="179">
        <v>0</v>
      </c>
      <c r="AL465">
        <v>7</v>
      </c>
      <c r="AM465">
        <v>2023</v>
      </c>
      <c r="AN465" s="250" t="s">
        <v>2621</v>
      </c>
      <c r="AP465" t="str">
        <f>IF(BD_Bloqueados[[#This Row],[Analista ]]&lt;&gt;"Ana C",MID(BD_Bloqueados[[#This Row],[ID]],3,5),MID(BD_Bloqueados[[#This Row],[ID]],4,5))</f>
        <v>20223</v>
      </c>
      <c r="AQ465">
        <v>67</v>
      </c>
      <c r="AR465">
        <v>2023</v>
      </c>
      <c r="AS465" s="72">
        <v>44927</v>
      </c>
      <c r="AT465" s="72">
        <v>44993</v>
      </c>
      <c r="AU465">
        <v>3</v>
      </c>
    </row>
    <row r="466" spans="1:47">
      <c r="A466" t="s">
        <v>3456</v>
      </c>
      <c r="B466">
        <v>2</v>
      </c>
      <c r="C466" s="72">
        <v>45127</v>
      </c>
      <c r="D466">
        <v>30</v>
      </c>
      <c r="E466" s="173">
        <v>0.72222222222222221</v>
      </c>
      <c r="F466" t="s">
        <v>109</v>
      </c>
      <c r="G466" t="s">
        <v>23</v>
      </c>
      <c r="H466" t="s">
        <v>164</v>
      </c>
      <c r="I466" t="s">
        <v>615</v>
      </c>
      <c r="J466" t="s">
        <v>169</v>
      </c>
      <c r="K466" t="s">
        <v>3457</v>
      </c>
      <c r="L466" t="s">
        <v>108</v>
      </c>
      <c r="M466" t="s">
        <v>1029</v>
      </c>
      <c r="N466">
        <v>967555800</v>
      </c>
      <c r="O466" t="s">
        <v>96</v>
      </c>
      <c r="P466" s="154">
        <v>12001411</v>
      </c>
      <c r="Q466" t="s">
        <v>206</v>
      </c>
      <c r="R466" t="s">
        <v>226</v>
      </c>
      <c r="S466" t="s">
        <v>3458</v>
      </c>
      <c r="T466" t="s">
        <v>3459</v>
      </c>
      <c r="U466" t="s">
        <v>3460</v>
      </c>
      <c r="V466" t="s">
        <v>3461</v>
      </c>
      <c r="W466" t="s">
        <v>101</v>
      </c>
      <c r="X466" t="s">
        <v>156</v>
      </c>
      <c r="Y466" s="229">
        <v>4050</v>
      </c>
      <c r="Z466" s="176">
        <v>39037.949999999997</v>
      </c>
      <c r="AA466">
        <v>201</v>
      </c>
      <c r="AB466" t="s">
        <v>226</v>
      </c>
      <c r="AC466" t="s">
        <v>2216</v>
      </c>
      <c r="AD466" s="199">
        <v>1</v>
      </c>
      <c r="AE466" s="199" t="s">
        <v>1292</v>
      </c>
      <c r="AF466" s="179">
        <v>0</v>
      </c>
      <c r="AG466" s="179">
        <v>0</v>
      </c>
      <c r="AH466" s="179">
        <v>0</v>
      </c>
      <c r="AI466" s="179">
        <v>9.6389999999999993</v>
      </c>
      <c r="AJ466" s="179">
        <v>0</v>
      </c>
      <c r="AK466" s="179">
        <v>0</v>
      </c>
      <c r="AL466">
        <v>7</v>
      </c>
      <c r="AM466">
        <v>2023</v>
      </c>
      <c r="AN466" s="250"/>
      <c r="AP466" t="str">
        <f>IF(BD_Bloqueados[[#This Row],[Analista ]]&lt;&gt;"Ana C",MID(BD_Bloqueados[[#This Row],[ID]],3,5),MID(BD_Bloqueados[[#This Row],[ID]],4,5))</f>
        <v>20123</v>
      </c>
      <c r="AQ466">
        <v>355</v>
      </c>
      <c r="AR466">
        <v>2023</v>
      </c>
      <c r="AS466" s="72">
        <v>44927</v>
      </c>
      <c r="AT466" s="72">
        <v>45281</v>
      </c>
      <c r="AU466">
        <v>12</v>
      </c>
    </row>
    <row r="467" spans="1:47">
      <c r="A467" t="s">
        <v>3462</v>
      </c>
      <c r="B467">
        <v>2</v>
      </c>
      <c r="C467" s="72">
        <v>45122</v>
      </c>
      <c r="D467">
        <v>29</v>
      </c>
      <c r="E467" s="173">
        <v>2.0833333333333332E-2</v>
      </c>
      <c r="F467" t="s">
        <v>136</v>
      </c>
      <c r="G467" t="s">
        <v>27</v>
      </c>
      <c r="H467" t="s">
        <v>189</v>
      </c>
      <c r="I467" t="s">
        <v>615</v>
      </c>
      <c r="J467" t="s">
        <v>618</v>
      </c>
      <c r="K467" t="s">
        <v>3463</v>
      </c>
      <c r="L467" t="s">
        <v>108</v>
      </c>
      <c r="M467" t="s">
        <v>1029</v>
      </c>
      <c r="N467">
        <v>967555800</v>
      </c>
      <c r="O467" t="s">
        <v>771</v>
      </c>
      <c r="P467" s="154">
        <v>13030094</v>
      </c>
      <c r="Q467" t="s">
        <v>138</v>
      </c>
      <c r="R467" t="s">
        <v>589</v>
      </c>
      <c r="S467" t="s">
        <v>3464</v>
      </c>
      <c r="T467" t="s">
        <v>3465</v>
      </c>
      <c r="U467" t="s">
        <v>3466</v>
      </c>
      <c r="V467" t="s">
        <v>3467</v>
      </c>
      <c r="W467" t="s">
        <v>101</v>
      </c>
      <c r="X467" t="s">
        <v>156</v>
      </c>
      <c r="Y467" s="229">
        <v>3757</v>
      </c>
      <c r="Z467" s="176">
        <v>2941802.1852631583</v>
      </c>
      <c r="AA467">
        <v>195</v>
      </c>
      <c r="AB467" t="s">
        <v>1290</v>
      </c>
      <c r="AC467" t="s">
        <v>1252</v>
      </c>
      <c r="AD467" s="199">
        <v>0.47499999999999998</v>
      </c>
      <c r="AE467" s="199" t="s">
        <v>1374</v>
      </c>
      <c r="AF467" s="179">
        <v>29.792999999999999</v>
      </c>
      <c r="AG467" s="179">
        <v>272.01799999999997</v>
      </c>
      <c r="AH467" s="179">
        <v>0</v>
      </c>
      <c r="AI467" s="179">
        <v>59.1</v>
      </c>
      <c r="AJ467" s="179">
        <v>11.023</v>
      </c>
      <c r="AK467" s="179">
        <v>0</v>
      </c>
      <c r="AL467">
        <v>7</v>
      </c>
      <c r="AM467">
        <v>2023</v>
      </c>
      <c r="AN467" s="250" t="s">
        <v>3008</v>
      </c>
      <c r="AP467" t="str">
        <f>IF(BD_Bloqueados[[#This Row],[Analista ]]&lt;&gt;"Ana C",MID(BD_Bloqueados[[#This Row],[ID]],3,5),MID(BD_Bloqueados[[#This Row],[ID]],4,5))</f>
        <v>19623</v>
      </c>
      <c r="AQ467">
        <v>233</v>
      </c>
      <c r="AR467">
        <v>2023</v>
      </c>
      <c r="AS467" s="72">
        <v>44927</v>
      </c>
      <c r="AT467" s="72">
        <v>45159</v>
      </c>
      <c r="AU467">
        <v>8</v>
      </c>
    </row>
    <row r="468" spans="1:47">
      <c r="A468" t="s">
        <v>3468</v>
      </c>
      <c r="B468">
        <v>2</v>
      </c>
      <c r="C468" s="72">
        <v>45122</v>
      </c>
      <c r="D468">
        <v>29</v>
      </c>
      <c r="E468" s="173">
        <v>5.6944444444444443E-2</v>
      </c>
      <c r="F468" t="s">
        <v>136</v>
      </c>
      <c r="G468" t="s">
        <v>29</v>
      </c>
      <c r="H468" t="s">
        <v>165</v>
      </c>
      <c r="I468" t="s">
        <v>635</v>
      </c>
      <c r="J468" t="s">
        <v>618</v>
      </c>
      <c r="K468" t="s">
        <v>3469</v>
      </c>
      <c r="L468" t="s">
        <v>108</v>
      </c>
      <c r="M468" t="s">
        <v>1029</v>
      </c>
      <c r="N468">
        <v>967555800</v>
      </c>
      <c r="O468" t="s">
        <v>251</v>
      </c>
      <c r="P468" s="154">
        <v>13030559</v>
      </c>
      <c r="Q468" t="s">
        <v>80</v>
      </c>
      <c r="R468" t="s">
        <v>589</v>
      </c>
      <c r="S468" t="s">
        <v>3470</v>
      </c>
      <c r="T468" t="s">
        <v>3471</v>
      </c>
      <c r="U468" t="s">
        <v>3472</v>
      </c>
      <c r="V468" t="s">
        <v>3473</v>
      </c>
      <c r="W468" t="s">
        <v>101</v>
      </c>
      <c r="X468" t="s">
        <v>102</v>
      </c>
      <c r="Y468" s="229">
        <v>770.56</v>
      </c>
      <c r="Z468" s="176">
        <v>122741.24799999999</v>
      </c>
      <c r="AA468">
        <v>165</v>
      </c>
      <c r="AB468" t="s">
        <v>1491</v>
      </c>
      <c r="AC468" t="s">
        <v>1252</v>
      </c>
      <c r="AD468" s="199">
        <v>0.43</v>
      </c>
      <c r="AE468" s="199" t="s">
        <v>1374</v>
      </c>
      <c r="AF468" s="179">
        <v>0</v>
      </c>
      <c r="AG468" s="179">
        <v>0</v>
      </c>
      <c r="AH468" s="179">
        <v>0</v>
      </c>
      <c r="AI468" s="179">
        <v>68.494</v>
      </c>
      <c r="AJ468" s="179">
        <v>0</v>
      </c>
      <c r="AK468" s="179">
        <v>0</v>
      </c>
      <c r="AL468">
        <v>7</v>
      </c>
      <c r="AM468">
        <v>2023</v>
      </c>
      <c r="AN468" s="250" t="s">
        <v>1283</v>
      </c>
      <c r="AP468" t="str">
        <f>IF(BD_Bloqueados[[#This Row],[Analista ]]&lt;&gt;"Ana C",MID(BD_Bloqueados[[#This Row],[ID]],3,5),MID(BD_Bloqueados[[#This Row],[ID]],4,5))</f>
        <v>19623</v>
      </c>
      <c r="AQ468">
        <v>39</v>
      </c>
      <c r="AR468">
        <v>2023</v>
      </c>
      <c r="AS468" s="72">
        <v>44927</v>
      </c>
      <c r="AT468" s="72">
        <v>44965</v>
      </c>
      <c r="AU468">
        <v>2</v>
      </c>
    </row>
    <row r="469" spans="1:47">
      <c r="A469" t="s">
        <v>3474</v>
      </c>
      <c r="B469">
        <v>2</v>
      </c>
      <c r="C469" s="72">
        <v>45121</v>
      </c>
      <c r="D469">
        <v>29</v>
      </c>
      <c r="E469" s="173">
        <v>1.3888888888888888E-2</v>
      </c>
      <c r="F469" t="s">
        <v>136</v>
      </c>
      <c r="G469" t="s">
        <v>27</v>
      </c>
      <c r="H469" t="s">
        <v>189</v>
      </c>
      <c r="I469" t="s">
        <v>615</v>
      </c>
      <c r="J469" t="s">
        <v>618</v>
      </c>
      <c r="K469" t="s">
        <v>3463</v>
      </c>
      <c r="L469" t="s">
        <v>108</v>
      </c>
      <c r="M469" t="s">
        <v>1029</v>
      </c>
      <c r="N469">
        <v>967555800</v>
      </c>
      <c r="O469" t="s">
        <v>253</v>
      </c>
      <c r="P469" s="154">
        <v>13030191</v>
      </c>
      <c r="Q469" t="s">
        <v>185</v>
      </c>
      <c r="R469" t="s">
        <v>579</v>
      </c>
      <c r="S469" t="s">
        <v>3475</v>
      </c>
      <c r="T469" t="s">
        <v>3476</v>
      </c>
      <c r="U469" t="s">
        <v>3477</v>
      </c>
      <c r="V469" t="s">
        <v>3478</v>
      </c>
      <c r="W469" t="s">
        <v>101</v>
      </c>
      <c r="X469" t="s">
        <v>156</v>
      </c>
      <c r="Y469" s="229">
        <v>26.46</v>
      </c>
      <c r="Z469" s="176">
        <v>20718.681347368427</v>
      </c>
      <c r="AA469">
        <v>195</v>
      </c>
      <c r="AB469" t="s">
        <v>1400</v>
      </c>
      <c r="AC469" t="s">
        <v>1252</v>
      </c>
      <c r="AD469" s="199">
        <v>0.47499999999999998</v>
      </c>
      <c r="AE469" s="199" t="s">
        <v>1374</v>
      </c>
      <c r="AF469" s="179">
        <v>29.792999999999999</v>
      </c>
      <c r="AG469" s="179">
        <v>272.01799999999997</v>
      </c>
      <c r="AH469" s="179">
        <v>0</v>
      </c>
      <c r="AI469" s="179">
        <v>59.1</v>
      </c>
      <c r="AJ469" s="179">
        <v>11.023</v>
      </c>
      <c r="AK469" s="179">
        <v>0</v>
      </c>
      <c r="AL469">
        <v>7</v>
      </c>
      <c r="AM469">
        <v>2023</v>
      </c>
      <c r="AN469" s="250" t="s">
        <v>2621</v>
      </c>
      <c r="AP469" t="str">
        <f>IF(BD_Bloqueados[[#This Row],[Analista ]]&lt;&gt;"Ana C",MID(BD_Bloqueados[[#This Row],[ID]],3,5),MID(BD_Bloqueados[[#This Row],[ID]],4,5))</f>
        <v>19523</v>
      </c>
      <c r="AQ469">
        <v>208</v>
      </c>
      <c r="AR469">
        <v>2023</v>
      </c>
      <c r="AS469" s="72">
        <v>44927</v>
      </c>
      <c r="AT469" s="72">
        <v>45134</v>
      </c>
      <c r="AU469">
        <v>7</v>
      </c>
    </row>
    <row r="470" spans="1:47">
      <c r="A470" t="s">
        <v>3479</v>
      </c>
      <c r="B470">
        <v>2</v>
      </c>
      <c r="C470" s="72">
        <v>45120</v>
      </c>
      <c r="D470">
        <v>29</v>
      </c>
      <c r="E470" s="173">
        <v>6.9444444444444434E-2</v>
      </c>
      <c r="F470" t="s">
        <v>136</v>
      </c>
      <c r="G470" t="s">
        <v>31</v>
      </c>
      <c r="H470" t="s">
        <v>114</v>
      </c>
      <c r="I470" t="s">
        <v>635</v>
      </c>
      <c r="J470" t="s">
        <v>169</v>
      </c>
      <c r="K470" t="s">
        <v>3480</v>
      </c>
      <c r="L470" t="s">
        <v>108</v>
      </c>
      <c r="M470" t="s">
        <v>1029</v>
      </c>
      <c r="N470">
        <v>967555800</v>
      </c>
      <c r="O470" t="s">
        <v>97</v>
      </c>
      <c r="P470" s="154">
        <v>13030492</v>
      </c>
      <c r="Q470" t="s">
        <v>80</v>
      </c>
      <c r="R470" t="s">
        <v>589</v>
      </c>
      <c r="S470" t="s">
        <v>3481</v>
      </c>
      <c r="T470" t="s">
        <v>3482</v>
      </c>
      <c r="U470" t="s">
        <v>3483</v>
      </c>
      <c r="V470" t="s">
        <v>3484</v>
      </c>
      <c r="W470" t="s">
        <v>101</v>
      </c>
      <c r="X470" t="s">
        <v>156</v>
      </c>
      <c r="Y470" s="229">
        <v>1980</v>
      </c>
      <c r="Z470" s="176">
        <v>40151.628000000004</v>
      </c>
      <c r="AA470">
        <v>193</v>
      </c>
      <c r="AB470" t="s">
        <v>1491</v>
      </c>
      <c r="AC470" t="s">
        <v>1252</v>
      </c>
      <c r="AD470" s="199">
        <v>1</v>
      </c>
      <c r="AE470" s="199" t="s">
        <v>1292</v>
      </c>
      <c r="AF470" s="179">
        <v>0</v>
      </c>
      <c r="AG470" s="179">
        <v>0</v>
      </c>
      <c r="AH470" s="179">
        <v>0</v>
      </c>
      <c r="AI470" s="179">
        <v>20.278600000000001</v>
      </c>
      <c r="AJ470" s="179">
        <v>0</v>
      </c>
      <c r="AK470" s="179">
        <v>0</v>
      </c>
      <c r="AL470">
        <v>7</v>
      </c>
      <c r="AM470">
        <v>2023</v>
      </c>
      <c r="AN470" s="250" t="s">
        <v>1283</v>
      </c>
      <c r="AP470" t="str">
        <f>IF(BD_Bloqueados[[#This Row],[Analista ]]&lt;&gt;"Ana C",MID(BD_Bloqueados[[#This Row],[ID]],3,5),MID(BD_Bloqueados[[#This Row],[ID]],4,5))</f>
        <v>19423</v>
      </c>
      <c r="AQ470">
        <v>208</v>
      </c>
      <c r="AR470">
        <v>2023</v>
      </c>
      <c r="AS470" s="72">
        <v>44927</v>
      </c>
      <c r="AT470" s="72">
        <v>45134</v>
      </c>
      <c r="AU470">
        <v>7</v>
      </c>
    </row>
    <row r="471" spans="1:47">
      <c r="A471" t="s">
        <v>3485</v>
      </c>
      <c r="B471">
        <v>2</v>
      </c>
      <c r="C471" s="72">
        <v>45120</v>
      </c>
      <c r="D471">
        <v>29</v>
      </c>
      <c r="E471" s="173">
        <v>0.41666666666666669</v>
      </c>
      <c r="F471" t="s">
        <v>78</v>
      </c>
      <c r="G471" t="s">
        <v>27</v>
      </c>
      <c r="H471" t="s">
        <v>189</v>
      </c>
      <c r="I471" t="s">
        <v>87</v>
      </c>
      <c r="J471" t="s">
        <v>117</v>
      </c>
      <c r="K471" t="s">
        <v>1048</v>
      </c>
      <c r="L471" t="s">
        <v>108</v>
      </c>
      <c r="M471" t="s">
        <v>1029</v>
      </c>
      <c r="N471">
        <v>967555800</v>
      </c>
      <c r="O471" t="s">
        <v>148</v>
      </c>
      <c r="P471" s="154">
        <v>13030495</v>
      </c>
      <c r="Q471" t="s">
        <v>185</v>
      </c>
      <c r="R471" t="s">
        <v>600</v>
      </c>
      <c r="S471" t="s">
        <v>3486</v>
      </c>
      <c r="T471" t="s">
        <v>3487</v>
      </c>
      <c r="U471" t="s">
        <v>3488</v>
      </c>
      <c r="V471" t="s">
        <v>3489</v>
      </c>
      <c r="W471" t="s">
        <v>101</v>
      </c>
      <c r="X471" t="s">
        <v>102</v>
      </c>
      <c r="Y471" s="229">
        <v>1848</v>
      </c>
      <c r="Z471" s="176">
        <v>0</v>
      </c>
      <c r="AA471">
        <v>194</v>
      </c>
      <c r="AB471" t="s">
        <v>1459</v>
      </c>
      <c r="AC471" t="s">
        <v>1349</v>
      </c>
      <c r="AD471" s="199"/>
      <c r="AE471" s="199"/>
      <c r="AF471" s="179"/>
      <c r="AG471" s="179"/>
      <c r="AH471" s="179"/>
      <c r="AI471" s="179"/>
      <c r="AJ471" s="179"/>
      <c r="AK471" s="179"/>
      <c r="AL471">
        <v>7</v>
      </c>
      <c r="AM471">
        <v>2023</v>
      </c>
      <c r="AN471" s="250"/>
      <c r="AP471" t="str">
        <f>IF(BD_Bloqueados[[#This Row],[Analista ]]&lt;&gt;"Ana C",MID(BD_Bloqueados[[#This Row],[ID]],3,5),MID(BD_Bloqueados[[#This Row],[ID]],4,5))</f>
        <v>19423</v>
      </c>
      <c r="AQ471">
        <v>202</v>
      </c>
      <c r="AR471">
        <v>2023</v>
      </c>
      <c r="AS471" s="72">
        <v>44927</v>
      </c>
      <c r="AT471" s="72">
        <v>45128</v>
      </c>
      <c r="AU471">
        <v>7</v>
      </c>
    </row>
    <row r="472" spans="1:47">
      <c r="A472" t="s">
        <v>2864</v>
      </c>
      <c r="B472">
        <v>2</v>
      </c>
      <c r="C472" s="72">
        <v>45267</v>
      </c>
      <c r="D472">
        <v>29</v>
      </c>
      <c r="E472" s="173">
        <v>4.0972222222222222E-2</v>
      </c>
      <c r="F472" t="s">
        <v>136</v>
      </c>
      <c r="G472" t="s">
        <v>24</v>
      </c>
      <c r="H472" t="s">
        <v>165</v>
      </c>
      <c r="I472" t="s">
        <v>635</v>
      </c>
      <c r="J472" t="s">
        <v>169</v>
      </c>
      <c r="K472" t="s">
        <v>1285</v>
      </c>
      <c r="L472" t="s">
        <v>108</v>
      </c>
      <c r="M472" t="s">
        <v>1029</v>
      </c>
      <c r="N472">
        <v>967555800</v>
      </c>
      <c r="O472" t="s">
        <v>124</v>
      </c>
      <c r="P472" s="154">
        <v>13001004</v>
      </c>
      <c r="Q472" t="s">
        <v>244</v>
      </c>
      <c r="R472" t="s">
        <v>596</v>
      </c>
      <c r="S472" t="s">
        <v>2865</v>
      </c>
      <c r="T472" t="s">
        <v>2866</v>
      </c>
      <c r="U472" t="s">
        <v>2867</v>
      </c>
      <c r="V472" t="s">
        <v>2868</v>
      </c>
      <c r="W472" t="s">
        <v>101</v>
      </c>
      <c r="X472" t="s">
        <v>102</v>
      </c>
      <c r="Y472" s="229">
        <v>900</v>
      </c>
      <c r="Z472" s="176">
        <v>0</v>
      </c>
      <c r="AA472" t="s">
        <v>2869</v>
      </c>
      <c r="AB472" t="s">
        <v>1282</v>
      </c>
      <c r="AC472" t="s">
        <v>1252</v>
      </c>
      <c r="AD472" s="199">
        <v>1</v>
      </c>
      <c r="AE472" s="199" t="s">
        <v>1292</v>
      </c>
      <c r="AF472" s="179">
        <v>0</v>
      </c>
      <c r="AG472" s="179">
        <v>0</v>
      </c>
      <c r="AH472" s="179">
        <v>0</v>
      </c>
      <c r="AI472" s="179">
        <v>0</v>
      </c>
      <c r="AJ472" s="179">
        <v>0</v>
      </c>
      <c r="AK472" s="179">
        <v>0</v>
      </c>
      <c r="AL472">
        <v>7</v>
      </c>
      <c r="AM472">
        <v>2023</v>
      </c>
      <c r="AN472" s="250" t="s">
        <v>1283</v>
      </c>
      <c r="AP472" t="str">
        <f>IF(BD_Bloqueados[[#This Row],[Analista ]]&lt;&gt;"Ana C",MID(BD_Bloqueados[[#This Row],[ID]],3,5),MID(BD_Bloqueados[[#This Row],[ID]],4,5))</f>
        <v>19323</v>
      </c>
      <c r="AQ472">
        <v>201</v>
      </c>
      <c r="AR472">
        <v>2023</v>
      </c>
      <c r="AS472" s="72">
        <v>44927</v>
      </c>
      <c r="AT472" s="72">
        <v>45127</v>
      </c>
      <c r="AU472">
        <v>7</v>
      </c>
    </row>
    <row r="473" spans="1:47">
      <c r="A473" t="s">
        <v>3015</v>
      </c>
      <c r="B473">
        <v>2</v>
      </c>
      <c r="C473" s="72">
        <v>45237</v>
      </c>
      <c r="D473">
        <v>29</v>
      </c>
      <c r="E473" s="173">
        <v>0.1763888888888889</v>
      </c>
      <c r="F473" t="s">
        <v>136</v>
      </c>
      <c r="G473" t="s">
        <v>22</v>
      </c>
      <c r="H473" t="s">
        <v>164</v>
      </c>
      <c r="I473" t="s">
        <v>635</v>
      </c>
      <c r="J473" t="s">
        <v>169</v>
      </c>
      <c r="K473" t="s">
        <v>3016</v>
      </c>
      <c r="L473" t="s">
        <v>108</v>
      </c>
      <c r="M473" t="s">
        <v>1029</v>
      </c>
      <c r="N473">
        <v>967555800</v>
      </c>
      <c r="O473" t="s">
        <v>123</v>
      </c>
      <c r="P473" s="154">
        <v>13030401</v>
      </c>
      <c r="Q473" t="s">
        <v>185</v>
      </c>
      <c r="R473" t="s">
        <v>600</v>
      </c>
      <c r="S473" t="s">
        <v>3017</v>
      </c>
      <c r="T473" t="s">
        <v>3018</v>
      </c>
      <c r="U473" t="s">
        <v>3019</v>
      </c>
      <c r="V473" t="s">
        <v>3020</v>
      </c>
      <c r="W473" t="s">
        <v>101</v>
      </c>
      <c r="X473" t="s">
        <v>156</v>
      </c>
      <c r="Y473" s="229">
        <v>3360</v>
      </c>
      <c r="Z473" s="176">
        <v>143129.28</v>
      </c>
      <c r="AA473">
        <v>191</v>
      </c>
      <c r="AB473" t="s">
        <v>1459</v>
      </c>
      <c r="AC473" t="s">
        <v>1252</v>
      </c>
      <c r="AD473" s="199">
        <v>1</v>
      </c>
      <c r="AE473" s="199" t="s">
        <v>1292</v>
      </c>
      <c r="AF473" s="179">
        <v>0</v>
      </c>
      <c r="AG473" s="179">
        <v>9.2409999999999997</v>
      </c>
      <c r="AH473" s="179">
        <v>0</v>
      </c>
      <c r="AI473" s="179">
        <v>33.356999999999999</v>
      </c>
      <c r="AJ473" s="179">
        <v>0</v>
      </c>
      <c r="AK473" s="179">
        <v>0</v>
      </c>
      <c r="AL473">
        <v>7</v>
      </c>
      <c r="AM473">
        <v>2023</v>
      </c>
      <c r="AN473" s="250" t="s">
        <v>3021</v>
      </c>
      <c r="AP473" t="str">
        <f>IF(BD_Bloqueados[[#This Row],[Analista ]]&lt;&gt;"Ana C",MID(BD_Bloqueados[[#This Row],[ID]],3,5),MID(BD_Bloqueados[[#This Row],[ID]],4,5))</f>
        <v>19223</v>
      </c>
      <c r="AQ473">
        <v>196</v>
      </c>
      <c r="AR473">
        <v>2023</v>
      </c>
      <c r="AS473" s="72">
        <v>44927</v>
      </c>
      <c r="AT473" s="72">
        <v>45122</v>
      </c>
      <c r="AU473">
        <v>7</v>
      </c>
    </row>
    <row r="474" spans="1:47">
      <c r="A474" t="s">
        <v>3141</v>
      </c>
      <c r="B474">
        <v>2</v>
      </c>
      <c r="C474" s="72">
        <v>45206</v>
      </c>
      <c r="D474">
        <v>29</v>
      </c>
      <c r="E474" s="173">
        <v>0.54513888888888895</v>
      </c>
      <c r="F474" t="s">
        <v>78</v>
      </c>
      <c r="G474" t="s">
        <v>26</v>
      </c>
      <c r="H474" t="s">
        <v>139</v>
      </c>
      <c r="I474" t="s">
        <v>248</v>
      </c>
      <c r="J474" t="s">
        <v>567</v>
      </c>
      <c r="K474" t="s">
        <v>3142</v>
      </c>
      <c r="L474" t="s">
        <v>108</v>
      </c>
      <c r="M474" t="s">
        <v>1029</v>
      </c>
      <c r="N474">
        <v>967555800</v>
      </c>
      <c r="O474" s="237" t="s">
        <v>755</v>
      </c>
      <c r="P474">
        <v>13030601</v>
      </c>
      <c r="Q474" t="s">
        <v>138</v>
      </c>
      <c r="R474" t="s">
        <v>3143</v>
      </c>
      <c r="S474" t="s">
        <v>3144</v>
      </c>
      <c r="T474" t="s">
        <v>3145</v>
      </c>
      <c r="U474" t="s">
        <v>3146</v>
      </c>
      <c r="V474" t="s">
        <v>3147</v>
      </c>
      <c r="W474" t="s">
        <v>101</v>
      </c>
      <c r="X474" t="s">
        <v>156</v>
      </c>
      <c r="Y474" s="231">
        <v>493.5</v>
      </c>
      <c r="Z474" s="176">
        <v>0</v>
      </c>
      <c r="AA474">
        <v>191</v>
      </c>
      <c r="AB474" t="s">
        <v>1356</v>
      </c>
      <c r="AC474" t="s">
        <v>3148</v>
      </c>
      <c r="AD474" s="199">
        <v>1</v>
      </c>
      <c r="AE474" s="199" t="s">
        <v>1292</v>
      </c>
      <c r="AF474" s="179">
        <v>0</v>
      </c>
      <c r="AG474" s="179">
        <v>0</v>
      </c>
      <c r="AH474" s="179">
        <v>0</v>
      </c>
      <c r="AI474" s="179">
        <v>0</v>
      </c>
      <c r="AJ474" s="179">
        <v>0</v>
      </c>
      <c r="AK474" s="179">
        <v>0</v>
      </c>
      <c r="AL474">
        <v>7</v>
      </c>
      <c r="AM474">
        <v>2023</v>
      </c>
      <c r="AN474" s="250"/>
      <c r="AP474" t="str">
        <f>IF(BD_Bloqueados[[#This Row],[Analista ]]&lt;&gt;"Ana C",MID(BD_Bloqueados[[#This Row],[ID]],3,5),MID(BD_Bloqueados[[#This Row],[ID]],4,5))</f>
        <v>19123</v>
      </c>
      <c r="AQ474">
        <v>196</v>
      </c>
      <c r="AR474">
        <v>2023</v>
      </c>
      <c r="AS474" s="72">
        <v>44927</v>
      </c>
      <c r="AT474" s="72">
        <v>45122</v>
      </c>
      <c r="AU474">
        <v>7</v>
      </c>
    </row>
    <row r="475" spans="1:47">
      <c r="A475" t="s">
        <v>3374</v>
      </c>
      <c r="B475">
        <v>2</v>
      </c>
      <c r="C475" s="72">
        <v>45145</v>
      </c>
      <c r="D475">
        <v>28</v>
      </c>
      <c r="E475" s="173">
        <v>0.1875</v>
      </c>
      <c r="F475" t="s">
        <v>136</v>
      </c>
      <c r="G475" t="s">
        <v>31</v>
      </c>
      <c r="H475" t="s">
        <v>84</v>
      </c>
      <c r="I475" t="s">
        <v>259</v>
      </c>
      <c r="J475" t="s">
        <v>576</v>
      </c>
      <c r="K475" t="s">
        <v>3178</v>
      </c>
      <c r="L475" t="s">
        <v>77</v>
      </c>
      <c r="M475" t="s">
        <v>724</v>
      </c>
      <c r="N475">
        <v>76085332</v>
      </c>
      <c r="O475" s="39" t="s">
        <v>673</v>
      </c>
      <c r="P475" s="154">
        <v>11001873</v>
      </c>
      <c r="Q475" t="s">
        <v>206</v>
      </c>
      <c r="R475" t="s">
        <v>627</v>
      </c>
      <c r="S475" t="s">
        <v>3375</v>
      </c>
      <c r="T475" t="s">
        <v>3376</v>
      </c>
      <c r="U475" t="s">
        <v>3377</v>
      </c>
      <c r="V475" t="s">
        <v>3378</v>
      </c>
      <c r="W475" t="s">
        <v>101</v>
      </c>
      <c r="Y475" s="229"/>
      <c r="Z475" s="176">
        <v>0</v>
      </c>
      <c r="AA475">
        <v>5017769</v>
      </c>
      <c r="AD475" s="199"/>
      <c r="AE475" s="199"/>
      <c r="AF475" s="179"/>
      <c r="AG475" s="179"/>
      <c r="AH475" s="179"/>
      <c r="AI475" s="179"/>
      <c r="AJ475" s="179"/>
      <c r="AK475" s="179"/>
      <c r="AL475">
        <v>7</v>
      </c>
      <c r="AM475">
        <v>2023</v>
      </c>
      <c r="AN475" s="250"/>
      <c r="AP475" t="str">
        <f>IF(BD_Bloqueados[[#This Row],[Analista ]]&lt;&gt;"Ana C",MID(BD_Bloqueados[[#This Row],[ID]],3,5),MID(BD_Bloqueados[[#This Row],[ID]],4,5))</f>
        <v>18923</v>
      </c>
      <c r="AQ475">
        <v>195</v>
      </c>
      <c r="AR475">
        <v>2023</v>
      </c>
      <c r="AS475" s="72">
        <v>44927</v>
      </c>
      <c r="AT475" s="72">
        <v>45121</v>
      </c>
      <c r="AU475">
        <v>7</v>
      </c>
    </row>
    <row r="476" spans="1:47">
      <c r="A476" t="s">
        <v>3379</v>
      </c>
      <c r="B476">
        <v>2</v>
      </c>
      <c r="C476" s="72">
        <v>45145</v>
      </c>
      <c r="D476">
        <v>28</v>
      </c>
      <c r="E476" s="173">
        <v>0.14930555555555555</v>
      </c>
      <c r="F476" t="s">
        <v>136</v>
      </c>
      <c r="G476" t="s">
        <v>29</v>
      </c>
      <c r="H476" t="s">
        <v>211</v>
      </c>
      <c r="I476" t="s">
        <v>248</v>
      </c>
      <c r="J476" t="s">
        <v>618</v>
      </c>
      <c r="K476" t="s">
        <v>3259</v>
      </c>
      <c r="L476" t="s">
        <v>108</v>
      </c>
      <c r="M476" t="s">
        <v>1029</v>
      </c>
      <c r="N476">
        <v>967555800</v>
      </c>
      <c r="O476" t="s">
        <v>146</v>
      </c>
      <c r="P476" s="154">
        <v>12001436</v>
      </c>
      <c r="Q476" t="s">
        <v>80</v>
      </c>
      <c r="R476" t="s">
        <v>589</v>
      </c>
      <c r="S476" t="s">
        <v>3380</v>
      </c>
      <c r="T476" t="s">
        <v>3381</v>
      </c>
      <c r="U476" t="s">
        <v>3382</v>
      </c>
      <c r="V476" t="s">
        <v>3383</v>
      </c>
      <c r="W476" t="s">
        <v>101</v>
      </c>
      <c r="X476" t="s">
        <v>156</v>
      </c>
      <c r="Y476" s="229">
        <v>309.60000000000002</v>
      </c>
      <c r="Z476" s="176">
        <v>49315.680000000008</v>
      </c>
      <c r="AA476">
        <v>189</v>
      </c>
      <c r="AB476" t="s">
        <v>1669</v>
      </c>
      <c r="AC476" t="s">
        <v>1349</v>
      </c>
      <c r="AD476" s="199">
        <v>0.43</v>
      </c>
      <c r="AE476" s="199" t="s">
        <v>3384</v>
      </c>
      <c r="AF476" s="179">
        <v>0</v>
      </c>
      <c r="AG476" s="179">
        <v>0</v>
      </c>
      <c r="AH476" s="179">
        <v>0</v>
      </c>
      <c r="AI476" s="179">
        <v>68.494</v>
      </c>
      <c r="AJ476" s="179">
        <v>0</v>
      </c>
      <c r="AK476" s="179">
        <v>0</v>
      </c>
      <c r="AL476">
        <v>7</v>
      </c>
      <c r="AM476">
        <v>2023</v>
      </c>
      <c r="AN476" s="250"/>
      <c r="AP476" t="str">
        <f>IF(BD_Bloqueados[[#This Row],[Analista ]]&lt;&gt;"Ana C",MID(BD_Bloqueados[[#This Row],[ID]],3,5),MID(BD_Bloqueados[[#This Row],[ID]],4,5))</f>
        <v>18923</v>
      </c>
      <c r="AQ476">
        <v>194</v>
      </c>
      <c r="AR476">
        <v>2023</v>
      </c>
      <c r="AS476" s="72">
        <v>44927</v>
      </c>
      <c r="AT476" s="72">
        <v>45120</v>
      </c>
      <c r="AU476">
        <v>7</v>
      </c>
    </row>
    <row r="477" spans="1:47">
      <c r="A477" t="s">
        <v>3385</v>
      </c>
      <c r="B477">
        <v>2</v>
      </c>
      <c r="C477" s="72">
        <v>45145</v>
      </c>
      <c r="D477">
        <v>28</v>
      </c>
      <c r="E477" s="173">
        <v>0.64583333333333337</v>
      </c>
      <c r="F477" t="s">
        <v>109</v>
      </c>
      <c r="G477" t="s">
        <v>28</v>
      </c>
      <c r="H477" t="s">
        <v>165</v>
      </c>
      <c r="I477" t="s">
        <v>87</v>
      </c>
      <c r="J477" t="s">
        <v>2681</v>
      </c>
      <c r="K477" t="s">
        <v>3386</v>
      </c>
      <c r="L477" t="s">
        <v>108</v>
      </c>
      <c r="M477" t="s">
        <v>1029</v>
      </c>
      <c r="N477">
        <v>967555800</v>
      </c>
      <c r="O477" t="s">
        <v>120</v>
      </c>
      <c r="P477" s="154">
        <v>13000012</v>
      </c>
      <c r="Q477" t="s">
        <v>138</v>
      </c>
      <c r="R477" t="s">
        <v>589</v>
      </c>
      <c r="S477" t="s">
        <v>3387</v>
      </c>
      <c r="T477" t="s">
        <v>3388</v>
      </c>
      <c r="U477" t="s">
        <v>3389</v>
      </c>
      <c r="V477" t="s">
        <v>3390</v>
      </c>
      <c r="W477" t="s">
        <v>101</v>
      </c>
      <c r="X477" t="s">
        <v>102</v>
      </c>
      <c r="Y477" s="229">
        <v>6840</v>
      </c>
      <c r="Z477" s="176">
        <v>0</v>
      </c>
      <c r="AA477">
        <v>189</v>
      </c>
      <c r="AB477" t="s">
        <v>1356</v>
      </c>
      <c r="AC477" t="s">
        <v>1349</v>
      </c>
      <c r="AD477" s="199">
        <v>1</v>
      </c>
      <c r="AE477" s="199" t="s">
        <v>1292</v>
      </c>
      <c r="AF477" s="179">
        <v>0</v>
      </c>
      <c r="AG477" s="179">
        <v>0</v>
      </c>
      <c r="AH477" s="179">
        <v>0</v>
      </c>
      <c r="AI477" s="179">
        <v>0</v>
      </c>
      <c r="AJ477" s="179">
        <v>0</v>
      </c>
      <c r="AK477" s="179">
        <v>0</v>
      </c>
      <c r="AL477">
        <v>7</v>
      </c>
      <c r="AM477">
        <v>2023</v>
      </c>
      <c r="AN477" s="250"/>
      <c r="AP477" t="str">
        <f>IF(BD_Bloqueados[[#This Row],[Analista ]]&lt;&gt;"Ana C",MID(BD_Bloqueados[[#This Row],[ID]],3,5),MID(BD_Bloqueados[[#This Row],[ID]],4,5))</f>
        <v>18923</v>
      </c>
      <c r="AQ477">
        <v>194</v>
      </c>
      <c r="AR477">
        <v>2023</v>
      </c>
      <c r="AS477" s="72">
        <v>44927</v>
      </c>
      <c r="AT477" s="72">
        <v>45120</v>
      </c>
      <c r="AU477">
        <v>7</v>
      </c>
    </row>
    <row r="478" spans="1:47">
      <c r="A478" t="s">
        <v>3494</v>
      </c>
      <c r="B478">
        <v>2</v>
      </c>
      <c r="C478" s="72">
        <v>45114</v>
      </c>
      <c r="D478">
        <v>28</v>
      </c>
      <c r="E478" s="173">
        <v>0.5</v>
      </c>
      <c r="F478" t="s">
        <v>78</v>
      </c>
      <c r="G478" t="s">
        <v>27</v>
      </c>
      <c r="H478" t="s">
        <v>189</v>
      </c>
      <c r="I478" t="s">
        <v>615</v>
      </c>
      <c r="J478" t="s">
        <v>117</v>
      </c>
      <c r="K478" t="s">
        <v>3463</v>
      </c>
      <c r="L478" t="s">
        <v>108</v>
      </c>
      <c r="M478" t="s">
        <v>1029</v>
      </c>
      <c r="N478">
        <v>967555800</v>
      </c>
      <c r="O478" t="s">
        <v>771</v>
      </c>
      <c r="P478" s="154">
        <v>13030094</v>
      </c>
      <c r="Q478" t="s">
        <v>185</v>
      </c>
      <c r="R478" t="s">
        <v>579</v>
      </c>
      <c r="S478" t="s">
        <v>3495</v>
      </c>
      <c r="T478" t="s">
        <v>3496</v>
      </c>
      <c r="U478" t="s">
        <v>3497</v>
      </c>
      <c r="V478" t="s">
        <v>3498</v>
      </c>
      <c r="W478" t="s">
        <v>101</v>
      </c>
      <c r="X478" t="s">
        <v>156</v>
      </c>
      <c r="Y478" s="232">
        <v>26.6</v>
      </c>
      <c r="Z478" s="176">
        <v>31608.893921568633</v>
      </c>
      <c r="AA478">
        <v>188</v>
      </c>
      <c r="AB478" t="s">
        <v>1400</v>
      </c>
      <c r="AC478" t="s">
        <v>1252</v>
      </c>
      <c r="AD478" s="199">
        <v>0.47499999999999998</v>
      </c>
      <c r="AE478" s="199" t="s">
        <v>1374</v>
      </c>
      <c r="AF478" s="179">
        <v>182.4725343137255</v>
      </c>
      <c r="AG478" s="179">
        <v>272.01799999999997</v>
      </c>
      <c r="AH478" s="179">
        <v>0</v>
      </c>
      <c r="AI478" s="179">
        <v>98.930999999999997</v>
      </c>
      <c r="AJ478" s="179">
        <v>11.023</v>
      </c>
      <c r="AK478" s="179">
        <v>0</v>
      </c>
      <c r="AL478">
        <v>7</v>
      </c>
      <c r="AM478">
        <v>2023</v>
      </c>
      <c r="AN478" s="250" t="s">
        <v>2621</v>
      </c>
      <c r="AP478" t="str">
        <f>IF(BD_Bloqueados[[#This Row],[Analista ]]&lt;&gt;"Ana C",MID(BD_Bloqueados[[#This Row],[ID]],3,5),MID(BD_Bloqueados[[#This Row],[ID]],4,5))</f>
        <v>18823</v>
      </c>
      <c r="AQ478">
        <v>193</v>
      </c>
      <c r="AR478">
        <v>2023</v>
      </c>
      <c r="AS478" s="72">
        <v>44927</v>
      </c>
      <c r="AT478" s="72">
        <v>45119</v>
      </c>
      <c r="AU478">
        <v>7</v>
      </c>
    </row>
    <row r="479" spans="1:47">
      <c r="A479" t="s">
        <v>3499</v>
      </c>
      <c r="B479">
        <v>2</v>
      </c>
      <c r="C479" s="72">
        <v>45114</v>
      </c>
      <c r="D479">
        <v>28</v>
      </c>
      <c r="E479" s="173">
        <v>0.52083333333333337</v>
      </c>
      <c r="F479" t="s">
        <v>78</v>
      </c>
      <c r="G479" t="s">
        <v>32</v>
      </c>
      <c r="H479" t="s">
        <v>114</v>
      </c>
      <c r="I479" t="s">
        <v>87</v>
      </c>
      <c r="J479" t="s">
        <v>169</v>
      </c>
      <c r="K479" t="s">
        <v>2466</v>
      </c>
      <c r="L479" t="s">
        <v>108</v>
      </c>
      <c r="M479" t="s">
        <v>1029</v>
      </c>
      <c r="N479">
        <v>967555800</v>
      </c>
      <c r="O479" t="s">
        <v>200</v>
      </c>
      <c r="P479" s="154">
        <v>13030428</v>
      </c>
      <c r="Q479" t="s">
        <v>80</v>
      </c>
      <c r="R479" t="s">
        <v>589</v>
      </c>
      <c r="S479" t="s">
        <v>3500</v>
      </c>
      <c r="T479" t="s">
        <v>3501</v>
      </c>
      <c r="U479" t="s">
        <v>3502</v>
      </c>
      <c r="V479" t="s">
        <v>3503</v>
      </c>
      <c r="W479" t="s">
        <v>101</v>
      </c>
      <c r="X479" t="s">
        <v>156</v>
      </c>
      <c r="Y479" s="229">
        <v>950.4</v>
      </c>
      <c r="Z479" s="176">
        <v>157388.14079999999</v>
      </c>
      <c r="AA479">
        <v>187</v>
      </c>
      <c r="AB479" t="s">
        <v>1491</v>
      </c>
      <c r="AC479" t="s">
        <v>1252</v>
      </c>
      <c r="AD479" s="199">
        <v>1</v>
      </c>
      <c r="AE479" s="199" t="s">
        <v>3504</v>
      </c>
      <c r="AF479" s="179">
        <v>0</v>
      </c>
      <c r="AG479" s="179">
        <v>0</v>
      </c>
      <c r="AH479" s="179">
        <v>0</v>
      </c>
      <c r="AI479" s="179">
        <v>165.602</v>
      </c>
      <c r="AJ479" s="179">
        <v>0</v>
      </c>
      <c r="AK479" s="179">
        <v>0</v>
      </c>
      <c r="AL479">
        <v>7</v>
      </c>
      <c r="AM479">
        <v>2023</v>
      </c>
      <c r="AN479" s="250" t="s">
        <v>1283</v>
      </c>
      <c r="AP479" t="str">
        <f>IF(BD_Bloqueados[[#This Row],[Analista ]]&lt;&gt;"Ana C",MID(BD_Bloqueados[[#This Row],[ID]],3,5),MID(BD_Bloqueados[[#This Row],[ID]],4,5))</f>
        <v>18823</v>
      </c>
      <c r="AQ479">
        <v>192</v>
      </c>
      <c r="AR479">
        <v>2023</v>
      </c>
      <c r="AS479" s="72">
        <v>44927</v>
      </c>
      <c r="AT479" s="72">
        <v>45118</v>
      </c>
      <c r="AU479">
        <v>7</v>
      </c>
    </row>
    <row r="480" spans="1:47">
      <c r="A480" t="s">
        <v>3592</v>
      </c>
      <c r="B480">
        <v>2</v>
      </c>
      <c r="C480" s="72">
        <v>45053</v>
      </c>
      <c r="D480">
        <v>28</v>
      </c>
      <c r="E480" s="173">
        <v>0.4680555555555555</v>
      </c>
      <c r="F480" t="s">
        <v>78</v>
      </c>
      <c r="G480" t="s">
        <v>27</v>
      </c>
      <c r="H480" t="s">
        <v>209</v>
      </c>
      <c r="I480" t="s">
        <v>635</v>
      </c>
      <c r="J480" t="s">
        <v>117</v>
      </c>
      <c r="K480" t="s">
        <v>3593</v>
      </c>
      <c r="L480" t="s">
        <v>108</v>
      </c>
      <c r="M480" t="s">
        <v>1029</v>
      </c>
      <c r="N480">
        <v>967555800</v>
      </c>
      <c r="O480" t="s">
        <v>99</v>
      </c>
      <c r="P480" s="154">
        <v>13001756</v>
      </c>
      <c r="Q480" t="s">
        <v>138</v>
      </c>
      <c r="R480" t="s">
        <v>589</v>
      </c>
      <c r="S480" t="s">
        <v>3594</v>
      </c>
      <c r="T480" t="s">
        <v>3595</v>
      </c>
      <c r="U480" t="s">
        <v>3596</v>
      </c>
      <c r="V480" t="s">
        <v>3597</v>
      </c>
      <c r="W480" t="s">
        <v>101</v>
      </c>
      <c r="X480" t="s">
        <v>156</v>
      </c>
      <c r="Y480" s="229">
        <v>648</v>
      </c>
      <c r="Z480" s="176">
        <v>221851.22399999999</v>
      </c>
      <c r="AA480">
        <v>184</v>
      </c>
      <c r="AB480" t="s">
        <v>3165</v>
      </c>
      <c r="AC480" t="s">
        <v>1252</v>
      </c>
      <c r="AD480" s="199">
        <v>1</v>
      </c>
      <c r="AE480" s="199" t="s">
        <v>1292</v>
      </c>
      <c r="AF480" s="179">
        <v>2.5649999999999999</v>
      </c>
      <c r="AG480" s="179">
        <v>152.255</v>
      </c>
      <c r="AH480" s="179">
        <v>0</v>
      </c>
      <c r="AI480" s="179">
        <v>185.96199999999999</v>
      </c>
      <c r="AJ480" s="179">
        <v>1.581</v>
      </c>
      <c r="AK480" s="179">
        <v>0</v>
      </c>
      <c r="AL480">
        <v>7</v>
      </c>
      <c r="AM480">
        <v>2023</v>
      </c>
      <c r="AN480" s="250" t="s">
        <v>1283</v>
      </c>
      <c r="AP480" t="str">
        <f>IF(BD_Bloqueados[[#This Row],[Analista ]]&lt;&gt;"Ana C",MID(BD_Bloqueados[[#This Row],[ID]],3,5),MID(BD_Bloqueados[[#This Row],[ID]],4,5))</f>
        <v>18623</v>
      </c>
      <c r="AQ480">
        <v>280</v>
      </c>
      <c r="AR480">
        <v>2023</v>
      </c>
      <c r="AS480" s="72">
        <v>44927</v>
      </c>
      <c r="AT480" s="72">
        <v>45206</v>
      </c>
      <c r="AU480">
        <v>10</v>
      </c>
    </row>
    <row r="481" spans="1:47">
      <c r="A481" t="s">
        <v>3927</v>
      </c>
      <c r="B481">
        <v>2</v>
      </c>
      <c r="C481" s="72">
        <v>44933</v>
      </c>
      <c r="D481">
        <v>27</v>
      </c>
      <c r="E481" s="173">
        <v>0.47916666666666669</v>
      </c>
      <c r="F481" t="s">
        <v>78</v>
      </c>
      <c r="G481" t="s">
        <v>25</v>
      </c>
      <c r="H481" t="s">
        <v>187</v>
      </c>
      <c r="I481" t="s">
        <v>615</v>
      </c>
      <c r="J481" t="s">
        <v>576</v>
      </c>
      <c r="K481" t="s">
        <v>3928</v>
      </c>
      <c r="L481" t="s">
        <v>108</v>
      </c>
      <c r="M481" t="s">
        <v>1029</v>
      </c>
      <c r="N481">
        <v>967555800</v>
      </c>
      <c r="O481" t="s">
        <v>238</v>
      </c>
      <c r="P481" s="154">
        <v>13030210</v>
      </c>
      <c r="Q481" t="s">
        <v>185</v>
      </c>
      <c r="R481" t="s">
        <v>600</v>
      </c>
      <c r="S481" t="s">
        <v>3929</v>
      </c>
      <c r="T481" t="s">
        <v>3930</v>
      </c>
      <c r="U481" t="s">
        <v>3931</v>
      </c>
      <c r="V481" t="s">
        <v>3932</v>
      </c>
      <c r="W481" t="s">
        <v>101</v>
      </c>
      <c r="X481" t="s">
        <v>156</v>
      </c>
      <c r="Y481" s="229">
        <v>14.784000000000001</v>
      </c>
      <c r="Z481" s="176">
        <v>1111.520256</v>
      </c>
      <c r="AA481">
        <v>182</v>
      </c>
      <c r="AB481" t="s">
        <v>1459</v>
      </c>
      <c r="AC481" t="s">
        <v>1349</v>
      </c>
      <c r="AD481" s="199">
        <v>1</v>
      </c>
      <c r="AE481" s="199" t="s">
        <v>1292</v>
      </c>
      <c r="AF481" s="179">
        <v>0</v>
      </c>
      <c r="AG481" s="179">
        <v>43.667999999999999</v>
      </c>
      <c r="AH481" s="179">
        <v>0</v>
      </c>
      <c r="AI481" s="179">
        <v>31.515999999999998</v>
      </c>
      <c r="AJ481" s="179">
        <v>0</v>
      </c>
      <c r="AK481" s="179">
        <v>0</v>
      </c>
      <c r="AL481">
        <v>7</v>
      </c>
      <c r="AM481">
        <v>2023</v>
      </c>
      <c r="AN481" s="250"/>
      <c r="AP481" t="str">
        <f>IF(BD_Bloqueados[[#This Row],[Analista ]]&lt;&gt;"Ana C",MID(BD_Bloqueados[[#This Row],[ID]],3,5),MID(BD_Bloqueados[[#This Row],[ID]],4,5))</f>
        <v>18223</v>
      </c>
      <c r="AQ481">
        <v>191</v>
      </c>
      <c r="AR481">
        <v>2023</v>
      </c>
      <c r="AS481" s="72">
        <v>44927</v>
      </c>
      <c r="AT481" s="72">
        <v>45117</v>
      </c>
      <c r="AU481">
        <v>7</v>
      </c>
    </row>
    <row r="482" spans="1:47">
      <c r="A482" t="s">
        <v>3510</v>
      </c>
      <c r="B482">
        <v>2</v>
      </c>
      <c r="C482" s="72">
        <v>45107</v>
      </c>
      <c r="D482">
        <v>27</v>
      </c>
      <c r="E482" s="173">
        <v>7.2916666666666671E-2</v>
      </c>
      <c r="F482" t="s">
        <v>136</v>
      </c>
      <c r="G482" t="s">
        <v>29</v>
      </c>
      <c r="H482" t="s">
        <v>166</v>
      </c>
      <c r="I482" t="s">
        <v>87</v>
      </c>
      <c r="J482" t="s">
        <v>117</v>
      </c>
      <c r="K482" t="s">
        <v>3511</v>
      </c>
      <c r="L482" t="s">
        <v>108</v>
      </c>
      <c r="M482" t="s">
        <v>1029</v>
      </c>
      <c r="N482">
        <v>967555800</v>
      </c>
      <c r="O482" t="s">
        <v>235</v>
      </c>
      <c r="P482" s="154">
        <v>13030557</v>
      </c>
      <c r="Q482" t="s">
        <v>185</v>
      </c>
      <c r="R482" t="s">
        <v>600</v>
      </c>
      <c r="S482" t="s">
        <v>3512</v>
      </c>
      <c r="T482" t="s">
        <v>3513</v>
      </c>
      <c r="U482" t="s">
        <v>3514</v>
      </c>
      <c r="V482" t="s">
        <v>3515</v>
      </c>
      <c r="W482" t="s">
        <v>101</v>
      </c>
      <c r="X482" t="s">
        <v>156</v>
      </c>
      <c r="Y482" s="229">
        <v>207.36</v>
      </c>
      <c r="Z482" s="176">
        <v>34409.704186046518</v>
      </c>
      <c r="AA482">
        <v>181</v>
      </c>
      <c r="AB482" t="s">
        <v>1459</v>
      </c>
      <c r="AC482" t="s">
        <v>1349</v>
      </c>
      <c r="AD482" s="199">
        <v>0.43</v>
      </c>
      <c r="AE482" s="199" t="s">
        <v>1374</v>
      </c>
      <c r="AF482" s="179">
        <v>0</v>
      </c>
      <c r="AG482" s="179">
        <v>0</v>
      </c>
      <c r="AH482" s="179">
        <v>0</v>
      </c>
      <c r="AI482" s="179">
        <v>71.355000000000004</v>
      </c>
      <c r="AJ482" s="179">
        <v>0</v>
      </c>
      <c r="AK482" s="179">
        <v>0</v>
      </c>
      <c r="AL482">
        <v>6</v>
      </c>
      <c r="AM482">
        <v>2023</v>
      </c>
      <c r="AN482" s="250"/>
      <c r="AP482" t="str">
        <f>IF(BD_Bloqueados[[#This Row],[Analista ]]&lt;&gt;"Ana C",MID(BD_Bloqueados[[#This Row],[ID]],3,5),MID(BD_Bloqueados[[#This Row],[ID]],4,5))</f>
        <v>18123</v>
      </c>
      <c r="AQ482">
        <v>280</v>
      </c>
      <c r="AR482">
        <v>2023</v>
      </c>
      <c r="AS482" s="72">
        <v>44927</v>
      </c>
      <c r="AT482" s="72">
        <v>45206</v>
      </c>
      <c r="AU482">
        <v>10</v>
      </c>
    </row>
    <row r="483" spans="1:47">
      <c r="A483" t="s">
        <v>3516</v>
      </c>
      <c r="B483">
        <v>2</v>
      </c>
      <c r="C483" s="72">
        <v>45097</v>
      </c>
      <c r="D483">
        <v>26</v>
      </c>
      <c r="E483" s="173">
        <v>0.41666666666666669</v>
      </c>
      <c r="F483" t="s">
        <v>78</v>
      </c>
      <c r="G483" t="s">
        <v>23</v>
      </c>
      <c r="H483" t="s">
        <v>164</v>
      </c>
      <c r="I483" t="s">
        <v>615</v>
      </c>
      <c r="J483" t="s">
        <v>567</v>
      </c>
      <c r="K483" t="s">
        <v>3517</v>
      </c>
      <c r="L483" t="s">
        <v>108</v>
      </c>
      <c r="M483" t="s">
        <v>1029</v>
      </c>
      <c r="N483">
        <v>967555800</v>
      </c>
      <c r="O483" t="s">
        <v>265</v>
      </c>
      <c r="P483" s="154">
        <v>13030402</v>
      </c>
      <c r="Q483" t="s">
        <v>80</v>
      </c>
      <c r="R483" t="s">
        <v>3518</v>
      </c>
      <c r="S483" t="s">
        <v>3519</v>
      </c>
      <c r="T483" t="s">
        <v>3520</v>
      </c>
      <c r="U483" t="s">
        <v>3521</v>
      </c>
      <c r="V483" t="s">
        <v>3522</v>
      </c>
      <c r="W483" t="s">
        <v>101</v>
      </c>
      <c r="X483" t="s">
        <v>156</v>
      </c>
      <c r="Y483" s="229">
        <v>4118.3999999999996</v>
      </c>
      <c r="Z483" s="176">
        <v>136113.11999999997</v>
      </c>
      <c r="AA483">
        <v>171</v>
      </c>
      <c r="AB483" t="s">
        <v>3027</v>
      </c>
      <c r="AC483" t="s">
        <v>1252</v>
      </c>
      <c r="AD483" s="199">
        <v>1</v>
      </c>
      <c r="AE483" s="199" t="s">
        <v>1292</v>
      </c>
      <c r="AF483" s="179">
        <v>0</v>
      </c>
      <c r="AG483" s="179">
        <v>0</v>
      </c>
      <c r="AH483" s="179">
        <v>0</v>
      </c>
      <c r="AI483" s="179">
        <v>33.049999999999997</v>
      </c>
      <c r="AJ483" s="179">
        <v>0</v>
      </c>
      <c r="AK483" s="179">
        <v>0</v>
      </c>
      <c r="AL483">
        <v>6</v>
      </c>
      <c r="AM483">
        <v>2023</v>
      </c>
      <c r="AN483" s="250" t="s">
        <v>1283</v>
      </c>
      <c r="AP483" t="str">
        <f>IF(BD_Bloqueados[[#This Row],[Analista ]]&lt;&gt;"Ana C",MID(BD_Bloqueados[[#This Row],[ID]],3,5),MID(BD_Bloqueados[[#This Row],[ID]],4,5))</f>
        <v>17123</v>
      </c>
      <c r="AQ483">
        <v>250</v>
      </c>
      <c r="AR483">
        <v>2023</v>
      </c>
      <c r="AS483" s="72">
        <v>44927</v>
      </c>
      <c r="AT483" s="72">
        <v>45176</v>
      </c>
      <c r="AU483">
        <v>9</v>
      </c>
    </row>
    <row r="484" spans="1:47">
      <c r="A484" t="s">
        <v>3516</v>
      </c>
      <c r="B484">
        <v>2</v>
      </c>
      <c r="C484" s="72">
        <v>45097</v>
      </c>
      <c r="D484">
        <v>26</v>
      </c>
      <c r="E484" s="173">
        <v>0.41666666666666669</v>
      </c>
      <c r="F484" t="s">
        <v>78</v>
      </c>
      <c r="G484" t="s">
        <v>23</v>
      </c>
      <c r="H484" t="s">
        <v>164</v>
      </c>
      <c r="I484" t="s">
        <v>615</v>
      </c>
      <c r="J484" t="s">
        <v>567</v>
      </c>
      <c r="K484" t="s">
        <v>3517</v>
      </c>
      <c r="L484" t="s">
        <v>108</v>
      </c>
      <c r="M484" t="s">
        <v>1029</v>
      </c>
      <c r="N484">
        <v>967555800</v>
      </c>
      <c r="O484" t="s">
        <v>265</v>
      </c>
      <c r="P484" s="154">
        <v>13030402</v>
      </c>
      <c r="Q484" t="s">
        <v>80</v>
      </c>
      <c r="R484" t="s">
        <v>3518</v>
      </c>
      <c r="S484" t="s">
        <v>3519</v>
      </c>
      <c r="T484" t="s">
        <v>3520</v>
      </c>
      <c r="U484" t="s">
        <v>3521</v>
      </c>
      <c r="V484" t="s">
        <v>3522</v>
      </c>
      <c r="W484" t="s">
        <v>101</v>
      </c>
      <c r="X484" t="s">
        <v>156</v>
      </c>
      <c r="Y484" s="229">
        <v>4118.3999999999996</v>
      </c>
      <c r="Z484" s="176"/>
      <c r="AA484">
        <v>171</v>
      </c>
      <c r="AB484" t="s">
        <v>1441</v>
      </c>
      <c r="AC484" t="s">
        <v>1252</v>
      </c>
      <c r="AD484" s="199"/>
      <c r="AE484" s="199"/>
      <c r="AF484" s="179"/>
      <c r="AG484" s="179"/>
      <c r="AH484" s="179"/>
      <c r="AI484" s="179"/>
      <c r="AJ484" s="179"/>
      <c r="AK484" s="179"/>
      <c r="AL484">
        <v>6</v>
      </c>
      <c r="AM484">
        <v>2023</v>
      </c>
      <c r="AN484" s="250"/>
      <c r="AP484" t="str">
        <f>IF(BD_Bloqueados[[#This Row],[Analista ]]&lt;&gt;"Ana C",MID(BD_Bloqueados[[#This Row],[ID]],3,5),MID(BD_Bloqueados[[#This Row],[ID]],4,5))</f>
        <v>17123</v>
      </c>
      <c r="AQ484">
        <v>188</v>
      </c>
      <c r="AR484">
        <v>2023</v>
      </c>
      <c r="AS484" s="72">
        <v>44927</v>
      </c>
      <c r="AT484" s="72">
        <v>45114</v>
      </c>
      <c r="AU484">
        <v>7</v>
      </c>
    </row>
    <row r="485" spans="1:47">
      <c r="A485" t="s">
        <v>3523</v>
      </c>
      <c r="B485">
        <v>2</v>
      </c>
      <c r="C485" s="72">
        <v>45096</v>
      </c>
      <c r="D485">
        <v>26</v>
      </c>
      <c r="E485" s="173">
        <v>0.51388888888888895</v>
      </c>
      <c r="F485" t="s">
        <v>78</v>
      </c>
      <c r="G485" t="s">
        <v>24</v>
      </c>
      <c r="H485" t="s">
        <v>188</v>
      </c>
      <c r="I485" t="s">
        <v>615</v>
      </c>
      <c r="J485" t="s">
        <v>567</v>
      </c>
      <c r="K485" t="s">
        <v>3524</v>
      </c>
      <c r="L485" t="s">
        <v>108</v>
      </c>
      <c r="M485" t="s">
        <v>1029</v>
      </c>
      <c r="N485">
        <v>967555800</v>
      </c>
      <c r="O485" t="s">
        <v>151</v>
      </c>
      <c r="P485" s="154">
        <v>13030199</v>
      </c>
      <c r="Q485" t="s">
        <v>80</v>
      </c>
      <c r="R485" t="s">
        <v>589</v>
      </c>
      <c r="S485" t="s">
        <v>3525</v>
      </c>
      <c r="U485" t="s">
        <v>3526</v>
      </c>
      <c r="V485" t="s">
        <v>3527</v>
      </c>
      <c r="W485" t="s">
        <v>101</v>
      </c>
      <c r="X485" t="s">
        <v>156</v>
      </c>
      <c r="Y485" s="229">
        <v>225</v>
      </c>
      <c r="Z485" s="176">
        <v>20122.875</v>
      </c>
      <c r="AA485">
        <v>170</v>
      </c>
      <c r="AB485" t="s">
        <v>1466</v>
      </c>
      <c r="AC485" t="s">
        <v>1349</v>
      </c>
      <c r="AD485" s="199">
        <v>1</v>
      </c>
      <c r="AE485" s="199" t="s">
        <v>1292</v>
      </c>
      <c r="AF485" s="179">
        <v>0</v>
      </c>
      <c r="AG485" s="179">
        <v>0</v>
      </c>
      <c r="AH485" s="179">
        <v>0</v>
      </c>
      <c r="AI485" s="179">
        <v>89.435000000000002</v>
      </c>
      <c r="AJ485" s="179">
        <v>0</v>
      </c>
      <c r="AK485" s="179">
        <v>0</v>
      </c>
      <c r="AL485">
        <v>6</v>
      </c>
      <c r="AM485">
        <v>2023</v>
      </c>
      <c r="AN485" s="250"/>
      <c r="AP485" t="str">
        <f>IF(BD_Bloqueados[[#This Row],[Analista ]]&lt;&gt;"Ana C",MID(BD_Bloqueados[[#This Row],[ID]],3,5),MID(BD_Bloqueados[[#This Row],[ID]],4,5))</f>
        <v>17023</v>
      </c>
      <c r="AQ485">
        <v>188</v>
      </c>
      <c r="AR485">
        <v>2023</v>
      </c>
      <c r="AS485" s="72">
        <v>44927</v>
      </c>
      <c r="AT485" s="72">
        <v>45114</v>
      </c>
      <c r="AU485">
        <v>7</v>
      </c>
    </row>
    <row r="486" spans="1:47">
      <c r="A486" t="s">
        <v>3528</v>
      </c>
      <c r="B486">
        <v>2</v>
      </c>
      <c r="C486" s="72">
        <v>45093</v>
      </c>
      <c r="D486">
        <v>25</v>
      </c>
      <c r="E486" s="173">
        <v>0.41666666666666669</v>
      </c>
      <c r="F486" t="s">
        <v>78</v>
      </c>
      <c r="G486" t="s">
        <v>32</v>
      </c>
      <c r="H486" t="s">
        <v>85</v>
      </c>
      <c r="I486" t="s">
        <v>143</v>
      </c>
      <c r="J486" t="s">
        <v>591</v>
      </c>
      <c r="K486" t="s">
        <v>3457</v>
      </c>
      <c r="L486" t="s">
        <v>108</v>
      </c>
      <c r="M486" t="s">
        <v>1029</v>
      </c>
      <c r="N486">
        <v>967555800</v>
      </c>
      <c r="O486" t="s">
        <v>200</v>
      </c>
      <c r="P486" s="154">
        <v>13030428</v>
      </c>
      <c r="Q486" t="s">
        <v>138</v>
      </c>
      <c r="R486" t="s">
        <v>589</v>
      </c>
      <c r="S486" t="s">
        <v>3529</v>
      </c>
      <c r="T486" t="s">
        <v>3530</v>
      </c>
      <c r="U486" t="s">
        <v>3531</v>
      </c>
      <c r="V486" t="s">
        <v>3532</v>
      </c>
      <c r="W486" t="s">
        <v>101</v>
      </c>
      <c r="X486" t="s">
        <v>156</v>
      </c>
      <c r="Y486" s="229">
        <v>105.6</v>
      </c>
      <c r="Z486" s="176">
        <v>34057.689599999998</v>
      </c>
      <c r="AA486">
        <v>165</v>
      </c>
      <c r="AB486" t="s">
        <v>1290</v>
      </c>
      <c r="AC486" t="s">
        <v>1349</v>
      </c>
      <c r="AD486" s="199">
        <v>1</v>
      </c>
      <c r="AE486" s="199" t="s">
        <v>1292</v>
      </c>
      <c r="AF486" s="179">
        <v>2.8170000000000002</v>
      </c>
      <c r="AG486" s="179">
        <v>143.22800000000001</v>
      </c>
      <c r="AH486" s="179">
        <v>0</v>
      </c>
      <c r="AI486" s="179">
        <v>175.142</v>
      </c>
      <c r="AJ486" s="179">
        <v>1.329</v>
      </c>
      <c r="AK486" s="179">
        <v>0</v>
      </c>
      <c r="AL486">
        <v>6</v>
      </c>
      <c r="AM486">
        <v>2023</v>
      </c>
      <c r="AN486" s="250"/>
      <c r="AP486" t="str">
        <f>IF(BD_Bloqueados[[#This Row],[Analista ]]&lt;&gt;"Ana C",MID(BD_Bloqueados[[#This Row],[ID]],3,5),MID(BD_Bloqueados[[#This Row],[ID]],4,5))</f>
        <v>16723</v>
      </c>
      <c r="AQ486">
        <v>158</v>
      </c>
      <c r="AR486">
        <v>2023</v>
      </c>
      <c r="AS486" s="72">
        <v>44927</v>
      </c>
      <c r="AT486" s="72">
        <v>45084</v>
      </c>
      <c r="AU486">
        <v>6</v>
      </c>
    </row>
    <row r="487" spans="1:47">
      <c r="A487" t="s">
        <v>2550</v>
      </c>
      <c r="B487">
        <v>2</v>
      </c>
      <c r="C487" s="72">
        <v>45091</v>
      </c>
      <c r="D487">
        <v>25</v>
      </c>
      <c r="E487" s="173">
        <v>0.5625</v>
      </c>
      <c r="F487" t="s">
        <v>109</v>
      </c>
      <c r="G487" t="s">
        <v>25</v>
      </c>
      <c r="H487" t="s">
        <v>81</v>
      </c>
      <c r="I487" t="s">
        <v>190</v>
      </c>
      <c r="J487" t="s">
        <v>567</v>
      </c>
      <c r="K487" t="s">
        <v>2551</v>
      </c>
      <c r="L487" t="s">
        <v>108</v>
      </c>
      <c r="M487" t="s">
        <v>1029</v>
      </c>
      <c r="N487">
        <v>967555800</v>
      </c>
      <c r="O487" t="s">
        <v>332</v>
      </c>
      <c r="P487" s="154">
        <v>12001408</v>
      </c>
      <c r="Q487" t="s">
        <v>80</v>
      </c>
      <c r="R487" t="s">
        <v>608</v>
      </c>
      <c r="S487" t="s">
        <v>2552</v>
      </c>
      <c r="T487" t="s">
        <v>2553</v>
      </c>
      <c r="U487" t="s">
        <v>2554</v>
      </c>
      <c r="V487" t="s">
        <v>2555</v>
      </c>
      <c r="W487" t="s">
        <v>101</v>
      </c>
      <c r="X487" t="s">
        <v>129</v>
      </c>
      <c r="Y487" s="229">
        <v>1980</v>
      </c>
      <c r="Z487" s="176">
        <v>1409350.14</v>
      </c>
      <c r="AA487">
        <v>165</v>
      </c>
      <c r="AB487" t="s">
        <v>1685</v>
      </c>
      <c r="AC487" t="s">
        <v>1686</v>
      </c>
      <c r="AD487" s="199">
        <v>1</v>
      </c>
      <c r="AE487" s="199" t="s">
        <v>1292</v>
      </c>
      <c r="AF487" s="179">
        <v>606.26900000000001</v>
      </c>
      <c r="AG487" s="179">
        <v>7.02</v>
      </c>
      <c r="AH487" s="179">
        <v>0</v>
      </c>
      <c r="AI487" s="179">
        <v>17.026</v>
      </c>
      <c r="AJ487" s="179">
        <v>31.192</v>
      </c>
      <c r="AK487" s="179">
        <v>50.286000000000001</v>
      </c>
      <c r="AL487" s="306">
        <v>6</v>
      </c>
      <c r="AM487" s="306">
        <v>2023</v>
      </c>
      <c r="AN487" s="250"/>
      <c r="AP487" t="str">
        <f>IF(BD_Bloqueados[[#This Row],[Analista ]]&lt;&gt;"Ana C",MID(BD_Bloqueados[[#This Row],[ID]],3,5),MID(BD_Bloqueados[[#This Row],[ID]],4,5))</f>
        <v>16523</v>
      </c>
      <c r="AQ487">
        <v>181</v>
      </c>
      <c r="AR487">
        <v>2023</v>
      </c>
      <c r="AS487" s="72">
        <v>44927</v>
      </c>
      <c r="AT487" s="72">
        <v>45107</v>
      </c>
      <c r="AU487">
        <v>6</v>
      </c>
    </row>
    <row r="488" spans="1:47">
      <c r="A488" t="s">
        <v>3533</v>
      </c>
      <c r="B488">
        <v>2</v>
      </c>
      <c r="C488" s="72">
        <v>45091</v>
      </c>
      <c r="D488">
        <v>25</v>
      </c>
      <c r="E488" s="173">
        <v>0.64583333333333337</v>
      </c>
      <c r="F488" t="s">
        <v>109</v>
      </c>
      <c r="G488" t="s">
        <v>27</v>
      </c>
      <c r="H488" t="s">
        <v>209</v>
      </c>
      <c r="I488" t="s">
        <v>615</v>
      </c>
      <c r="J488" t="s">
        <v>2681</v>
      </c>
      <c r="K488" t="s">
        <v>2234</v>
      </c>
      <c r="L488" t="s">
        <v>77</v>
      </c>
      <c r="M488" t="s">
        <v>708</v>
      </c>
      <c r="N488">
        <v>76188974</v>
      </c>
      <c r="O488" t="s">
        <v>541</v>
      </c>
      <c r="P488" s="154">
        <v>11001858</v>
      </c>
      <c r="Q488" t="s">
        <v>206</v>
      </c>
      <c r="R488" t="s">
        <v>627</v>
      </c>
      <c r="S488" t="s">
        <v>3534</v>
      </c>
      <c r="U488" t="s">
        <v>3535</v>
      </c>
      <c r="W488" t="s">
        <v>101</v>
      </c>
      <c r="X488" t="s">
        <v>1518</v>
      </c>
      <c r="Y488" s="229">
        <v>181.5</v>
      </c>
      <c r="Z488" s="176">
        <v>0</v>
      </c>
      <c r="AD488" s="199"/>
      <c r="AE488" s="199"/>
      <c r="AF488" s="179"/>
      <c r="AG488" s="179"/>
      <c r="AH488" s="179"/>
      <c r="AI488" s="179"/>
      <c r="AJ488" s="179"/>
      <c r="AK488" s="179"/>
      <c r="AL488">
        <v>6</v>
      </c>
      <c r="AM488">
        <v>2023</v>
      </c>
      <c r="AN488" s="250"/>
      <c r="AP488" t="str">
        <f>IF(BD_Bloqueados[[#This Row],[Analista ]]&lt;&gt;"Ana C",MID(BD_Bloqueados[[#This Row],[ID]],3,5),MID(BD_Bloqueados[[#This Row],[ID]],4,5))</f>
        <v>16523</v>
      </c>
      <c r="AQ488">
        <v>171</v>
      </c>
      <c r="AR488">
        <v>2023</v>
      </c>
      <c r="AS488" s="72">
        <v>44927</v>
      </c>
      <c r="AT488" s="72">
        <v>45097</v>
      </c>
      <c r="AU488">
        <v>6</v>
      </c>
    </row>
    <row r="489" spans="1:47">
      <c r="A489" t="s">
        <v>2605</v>
      </c>
      <c r="B489">
        <v>2</v>
      </c>
      <c r="C489" s="72">
        <v>45175</v>
      </c>
      <c r="D489">
        <v>37</v>
      </c>
      <c r="E489" s="173">
        <v>0.45833333333333331</v>
      </c>
      <c r="F489" t="s">
        <v>78</v>
      </c>
      <c r="G489" t="s">
        <v>23</v>
      </c>
      <c r="H489" t="s">
        <v>164</v>
      </c>
      <c r="I489" t="s">
        <v>143</v>
      </c>
      <c r="J489" t="s">
        <v>169</v>
      </c>
      <c r="K489" t="s">
        <v>2606</v>
      </c>
      <c r="L489" t="s">
        <v>108</v>
      </c>
      <c r="M489" t="s">
        <v>1029</v>
      </c>
      <c r="N489">
        <v>967555800</v>
      </c>
      <c r="O489" t="s">
        <v>285</v>
      </c>
      <c r="P489" s="154">
        <v>13030597</v>
      </c>
      <c r="Q489" t="s">
        <v>206</v>
      </c>
      <c r="R489" t="s">
        <v>578</v>
      </c>
      <c r="S489" t="s">
        <v>2607</v>
      </c>
      <c r="T489" t="s">
        <v>2608</v>
      </c>
      <c r="U489" t="s">
        <v>2609</v>
      </c>
      <c r="V489" t="s">
        <v>2610</v>
      </c>
      <c r="W489" t="s">
        <v>101</v>
      </c>
      <c r="X489" t="s">
        <v>129</v>
      </c>
      <c r="Y489" s="229">
        <v>1900</v>
      </c>
      <c r="Z489" s="176"/>
      <c r="AA489">
        <v>249</v>
      </c>
      <c r="AB489" t="s">
        <v>1291</v>
      </c>
      <c r="AC489" t="s">
        <v>1291</v>
      </c>
      <c r="AD489" s="199"/>
      <c r="AE489" s="199"/>
      <c r="AF489" s="179"/>
      <c r="AG489" s="179"/>
      <c r="AH489" s="179"/>
      <c r="AI489" s="179"/>
      <c r="AJ489" s="179"/>
      <c r="AK489" s="179"/>
      <c r="AL489" s="306">
        <v>9</v>
      </c>
      <c r="AM489" s="306">
        <v>2023</v>
      </c>
      <c r="AN489" s="250"/>
      <c r="AP489" t="str">
        <f>IF(BD_Bloqueados[[#This Row],[Analista ]]&lt;&gt;"Ana C",MID(BD_Bloqueados[[#This Row],[ID]],3,5),MID(BD_Bloqueados[[#This Row],[ID]],4,5))</f>
        <v>24923</v>
      </c>
      <c r="AQ489">
        <v>171</v>
      </c>
      <c r="AR489">
        <v>2023</v>
      </c>
      <c r="AS489" s="72">
        <v>44927</v>
      </c>
      <c r="AT489" s="72">
        <v>45097</v>
      </c>
      <c r="AU489">
        <v>6</v>
      </c>
    </row>
    <row r="490" spans="1:47">
      <c r="A490" s="191" t="s">
        <v>3251</v>
      </c>
      <c r="B490" s="191">
        <v>2</v>
      </c>
      <c r="C490" s="72">
        <v>45175</v>
      </c>
      <c r="D490" s="191">
        <v>24</v>
      </c>
      <c r="E490" s="212">
        <v>9.0972222222222218E-2</v>
      </c>
      <c r="F490" s="191" t="s">
        <v>136</v>
      </c>
      <c r="G490" s="191" t="s">
        <v>28</v>
      </c>
      <c r="H490" s="191" t="s">
        <v>165</v>
      </c>
      <c r="I490" s="191" t="s">
        <v>635</v>
      </c>
      <c r="J490" s="191" t="s">
        <v>618</v>
      </c>
      <c r="K490" s="191" t="s">
        <v>3252</v>
      </c>
      <c r="L490" s="191" t="s">
        <v>108</v>
      </c>
      <c r="M490" s="191" t="s">
        <v>1029</v>
      </c>
      <c r="N490" s="191">
        <v>967555800</v>
      </c>
      <c r="O490" s="191" t="s">
        <v>324</v>
      </c>
      <c r="P490" s="213">
        <v>13000469</v>
      </c>
      <c r="Q490" s="191" t="s">
        <v>138</v>
      </c>
      <c r="R490" s="191" t="s">
        <v>585</v>
      </c>
      <c r="S490" s="191" t="s">
        <v>3253</v>
      </c>
      <c r="T490" s="191" t="s">
        <v>3254</v>
      </c>
      <c r="U490" s="191" t="s">
        <v>3255</v>
      </c>
      <c r="V490" s="191" t="s">
        <v>3256</v>
      </c>
      <c r="W490" s="191" t="s">
        <v>101</v>
      </c>
      <c r="X490" s="191" t="s">
        <v>129</v>
      </c>
      <c r="Y490" s="231">
        <v>183.75</v>
      </c>
      <c r="Z490" s="191">
        <v>690037.95000000007</v>
      </c>
      <c r="AA490" s="191">
        <v>17</v>
      </c>
      <c r="AB490" s="191" t="s">
        <v>2140</v>
      </c>
      <c r="AC490" s="191" t="s">
        <v>1252</v>
      </c>
      <c r="AD490" s="243">
        <v>0.35</v>
      </c>
      <c r="AE490" s="243" t="s">
        <v>1374</v>
      </c>
      <c r="AF490" s="216">
        <v>0</v>
      </c>
      <c r="AG490" s="216">
        <v>96.549000000000007</v>
      </c>
      <c r="AH490" s="216">
        <v>1068.1199999999999</v>
      </c>
      <c r="AI490" s="216">
        <v>138.607</v>
      </c>
      <c r="AJ490" s="216">
        <v>11.082000000000001</v>
      </c>
      <c r="AK490" s="216">
        <v>0</v>
      </c>
      <c r="AL490">
        <v>6</v>
      </c>
      <c r="AM490">
        <v>2023</v>
      </c>
      <c r="AN490" s="251" t="s">
        <v>3257</v>
      </c>
      <c r="AP490" t="str">
        <f>IF(BD_Bloqueados[[#This Row],[Analista ]]&lt;&gt;"Ana C",MID(BD_Bloqueados[[#This Row],[ID]],3,5),MID(BD_Bloqueados[[#This Row],[ID]],4,5))</f>
        <v>16023</v>
      </c>
      <c r="AQ490">
        <v>170</v>
      </c>
      <c r="AR490">
        <v>2023</v>
      </c>
      <c r="AS490" s="72">
        <v>44927</v>
      </c>
      <c r="AT490" s="72">
        <v>45096</v>
      </c>
      <c r="AU490">
        <v>6</v>
      </c>
    </row>
    <row r="491" spans="1:47">
      <c r="A491" t="s">
        <v>3258</v>
      </c>
      <c r="B491">
        <v>2</v>
      </c>
      <c r="C491" s="72">
        <v>45175</v>
      </c>
      <c r="D491">
        <v>24</v>
      </c>
      <c r="E491" s="173">
        <v>0.16666666666666666</v>
      </c>
      <c r="F491" t="s">
        <v>136</v>
      </c>
      <c r="G491" t="s">
        <v>29</v>
      </c>
      <c r="H491" t="s">
        <v>165</v>
      </c>
      <c r="I491" t="s">
        <v>615</v>
      </c>
      <c r="J491" t="s">
        <v>2681</v>
      </c>
      <c r="K491" t="s">
        <v>3259</v>
      </c>
      <c r="L491" t="s">
        <v>108</v>
      </c>
      <c r="M491" t="s">
        <v>1029</v>
      </c>
      <c r="N491">
        <v>967555800</v>
      </c>
      <c r="O491" t="s">
        <v>251</v>
      </c>
      <c r="P491" s="154">
        <v>13030559</v>
      </c>
      <c r="Q491" t="s">
        <v>206</v>
      </c>
      <c r="R491" t="s">
        <v>613</v>
      </c>
      <c r="S491" t="s">
        <v>3260</v>
      </c>
      <c r="T491" t="s">
        <v>3261</v>
      </c>
      <c r="U491" t="s">
        <v>3262</v>
      </c>
      <c r="W491" t="s">
        <v>101</v>
      </c>
      <c r="X491" t="s">
        <v>156</v>
      </c>
      <c r="Y491" s="229">
        <v>481</v>
      </c>
      <c r="Z491" s="176">
        <v>253972.47441860466</v>
      </c>
      <c r="AA491">
        <v>160</v>
      </c>
      <c r="AB491" t="s">
        <v>3263</v>
      </c>
      <c r="AC491" t="s">
        <v>1349</v>
      </c>
      <c r="AD491" s="199">
        <v>0.43</v>
      </c>
      <c r="AE491" s="199" t="s">
        <v>1374</v>
      </c>
      <c r="AF491" s="179">
        <v>0</v>
      </c>
      <c r="AG491" s="179">
        <v>45.689</v>
      </c>
      <c r="AH491" s="179">
        <v>0</v>
      </c>
      <c r="AI491" s="179">
        <v>71.355000000000004</v>
      </c>
      <c r="AJ491" s="179">
        <v>110</v>
      </c>
      <c r="AK491" s="179">
        <v>0</v>
      </c>
      <c r="AL491">
        <v>6</v>
      </c>
      <c r="AM491">
        <v>2023</v>
      </c>
      <c r="AN491" s="250"/>
      <c r="AP491" t="str">
        <f>IF(BD_Bloqueados[[#This Row],[Analista ]]&lt;&gt;"Ana C",MID(BD_Bloqueados[[#This Row],[ID]],3,5),MID(BD_Bloqueados[[#This Row],[ID]],4,5))</f>
        <v>16023</v>
      </c>
      <c r="AQ491">
        <v>167</v>
      </c>
      <c r="AR491">
        <v>2023</v>
      </c>
      <c r="AS491" s="72">
        <v>44927</v>
      </c>
      <c r="AT491" s="72">
        <v>45093</v>
      </c>
      <c r="AU491">
        <v>6</v>
      </c>
    </row>
    <row r="492" spans="1:47">
      <c r="A492" t="s">
        <v>3391</v>
      </c>
      <c r="B492">
        <v>2</v>
      </c>
      <c r="C492" s="72">
        <v>45144</v>
      </c>
      <c r="D492">
        <v>24</v>
      </c>
      <c r="E492" s="173">
        <v>3.4027777777777775E-2</v>
      </c>
      <c r="F492" t="s">
        <v>136</v>
      </c>
      <c r="G492" t="s">
        <v>28</v>
      </c>
      <c r="H492" t="s">
        <v>81</v>
      </c>
      <c r="I492" t="s">
        <v>635</v>
      </c>
      <c r="J492" t="s">
        <v>618</v>
      </c>
      <c r="K492" t="s">
        <v>3392</v>
      </c>
      <c r="L492" t="s">
        <v>108</v>
      </c>
      <c r="M492" t="s">
        <v>1029</v>
      </c>
      <c r="N492">
        <v>967555800</v>
      </c>
      <c r="O492" t="s">
        <v>291</v>
      </c>
      <c r="P492" s="154">
        <v>13030336</v>
      </c>
      <c r="Q492" t="s">
        <v>138</v>
      </c>
      <c r="R492" t="s">
        <v>589</v>
      </c>
      <c r="S492" t="s">
        <v>3393</v>
      </c>
      <c r="T492" t="s">
        <v>3394</v>
      </c>
      <c r="U492" t="s">
        <v>3395</v>
      </c>
      <c r="V492" t="s">
        <v>3396</v>
      </c>
      <c r="W492" t="s">
        <v>101</v>
      </c>
      <c r="X492" t="s">
        <v>102</v>
      </c>
      <c r="Y492" s="229">
        <v>178.5</v>
      </c>
      <c r="Z492" s="176">
        <v>0</v>
      </c>
      <c r="AA492">
        <v>158</v>
      </c>
      <c r="AB492" t="s">
        <v>3397</v>
      </c>
      <c r="AC492" t="s">
        <v>1252</v>
      </c>
      <c r="AD492" s="199">
        <v>0.34</v>
      </c>
      <c r="AE492" s="199" t="s">
        <v>1374</v>
      </c>
      <c r="AF492" s="179">
        <v>0</v>
      </c>
      <c r="AG492" s="179">
        <v>0</v>
      </c>
      <c r="AH492" s="179">
        <v>0</v>
      </c>
      <c r="AI492" s="179">
        <v>0</v>
      </c>
      <c r="AJ492" s="179">
        <v>0</v>
      </c>
      <c r="AK492" s="179">
        <v>0</v>
      </c>
      <c r="AL492">
        <v>6</v>
      </c>
      <c r="AM492">
        <v>2023</v>
      </c>
      <c r="AN492" s="250" t="s">
        <v>1283</v>
      </c>
      <c r="AP492" t="str">
        <f>IF(BD_Bloqueados[[#This Row],[Analista ]]&lt;&gt;"Ana C",MID(BD_Bloqueados[[#This Row],[ID]],3,5),MID(BD_Bloqueados[[#This Row],[ID]],4,5))</f>
        <v>15923</v>
      </c>
      <c r="AQ492">
        <v>165</v>
      </c>
      <c r="AR492">
        <v>2023</v>
      </c>
      <c r="AS492" s="72">
        <v>44927</v>
      </c>
      <c r="AT492" s="72">
        <v>45091</v>
      </c>
      <c r="AU492">
        <v>6</v>
      </c>
    </row>
    <row r="493" spans="1:47">
      <c r="A493" t="s">
        <v>3398</v>
      </c>
      <c r="B493">
        <v>2</v>
      </c>
      <c r="C493" s="72">
        <v>45144</v>
      </c>
      <c r="D493">
        <v>24</v>
      </c>
      <c r="E493" s="173">
        <v>0.84027777777777779</v>
      </c>
      <c r="F493" t="s">
        <v>136</v>
      </c>
      <c r="G493" t="s">
        <v>23</v>
      </c>
      <c r="H493" t="s">
        <v>139</v>
      </c>
      <c r="I493" t="s">
        <v>615</v>
      </c>
      <c r="J493" t="s">
        <v>567</v>
      </c>
      <c r="K493" t="s">
        <v>3399</v>
      </c>
      <c r="L493" t="s">
        <v>108</v>
      </c>
      <c r="M493" t="s">
        <v>1029</v>
      </c>
      <c r="N493">
        <v>967555800</v>
      </c>
      <c r="O493" t="s">
        <v>94</v>
      </c>
      <c r="P493" s="154">
        <v>12001397</v>
      </c>
      <c r="Q493" t="s">
        <v>138</v>
      </c>
      <c r="R493" t="s">
        <v>589</v>
      </c>
      <c r="S493" t="s">
        <v>3400</v>
      </c>
      <c r="T493" t="s">
        <v>3401</v>
      </c>
      <c r="U493" t="s">
        <v>3402</v>
      </c>
      <c r="V493" t="s">
        <v>3403</v>
      </c>
      <c r="W493" t="s">
        <v>101</v>
      </c>
      <c r="X493" t="s">
        <v>102</v>
      </c>
      <c r="Y493" s="229">
        <v>950.4</v>
      </c>
      <c r="Z493" s="176">
        <v>0</v>
      </c>
      <c r="AA493">
        <v>158</v>
      </c>
      <c r="AB493" t="s">
        <v>1356</v>
      </c>
      <c r="AC493" t="s">
        <v>1349</v>
      </c>
      <c r="AD493" s="199">
        <v>1</v>
      </c>
      <c r="AE493" s="199" t="s">
        <v>1292</v>
      </c>
      <c r="AF493" s="179">
        <v>0</v>
      </c>
      <c r="AG493" s="179">
        <v>0</v>
      </c>
      <c r="AH493" s="179">
        <v>0</v>
      </c>
      <c r="AI493" s="179">
        <v>0</v>
      </c>
      <c r="AJ493" s="179">
        <v>0</v>
      </c>
      <c r="AK493" s="179">
        <v>0</v>
      </c>
      <c r="AL493">
        <v>6</v>
      </c>
      <c r="AM493">
        <v>2023</v>
      </c>
      <c r="AN493" s="250"/>
      <c r="AP493" t="str">
        <f>IF(BD_Bloqueados[[#This Row],[Analista ]]&lt;&gt;"Ana C",MID(BD_Bloqueados[[#This Row],[ID]],3,5),MID(BD_Bloqueados[[#This Row],[ID]],4,5))</f>
        <v>15923</v>
      </c>
      <c r="AQ493">
        <v>279</v>
      </c>
      <c r="AR493">
        <v>2023</v>
      </c>
      <c r="AS493" s="72">
        <v>44927</v>
      </c>
      <c r="AT493" s="72">
        <v>45205</v>
      </c>
      <c r="AU493">
        <v>10</v>
      </c>
    </row>
    <row r="494" spans="1:47">
      <c r="A494" t="s">
        <v>3404</v>
      </c>
      <c r="B494">
        <v>2</v>
      </c>
      <c r="C494" s="72">
        <v>45144</v>
      </c>
      <c r="D494">
        <v>24</v>
      </c>
      <c r="E494" s="173">
        <v>0.85416666666666663</v>
      </c>
      <c r="F494" t="s">
        <v>136</v>
      </c>
      <c r="G494" t="s">
        <v>22</v>
      </c>
      <c r="H494" t="s">
        <v>139</v>
      </c>
      <c r="I494" t="s">
        <v>615</v>
      </c>
      <c r="J494" t="s">
        <v>567</v>
      </c>
      <c r="K494" t="s">
        <v>3405</v>
      </c>
      <c r="L494" t="s">
        <v>108</v>
      </c>
      <c r="M494" t="s">
        <v>1029</v>
      </c>
      <c r="N494">
        <v>967555800</v>
      </c>
      <c r="O494" t="s">
        <v>149</v>
      </c>
      <c r="P494" s="154">
        <v>12001406</v>
      </c>
      <c r="Q494" t="s">
        <v>138</v>
      </c>
      <c r="R494" t="s">
        <v>589</v>
      </c>
      <c r="S494" t="s">
        <v>3406</v>
      </c>
      <c r="T494" t="s">
        <v>3407</v>
      </c>
      <c r="U494" t="s">
        <v>3402</v>
      </c>
      <c r="V494" t="s">
        <v>3408</v>
      </c>
      <c r="W494" t="s">
        <v>101</v>
      </c>
      <c r="X494" t="s">
        <v>102</v>
      </c>
      <c r="Y494" s="229">
        <v>1260</v>
      </c>
      <c r="Z494" s="176">
        <v>0</v>
      </c>
      <c r="AA494">
        <v>158</v>
      </c>
      <c r="AB494" t="s">
        <v>1356</v>
      </c>
      <c r="AC494" t="s">
        <v>1349</v>
      </c>
      <c r="AD494" s="199">
        <v>1</v>
      </c>
      <c r="AE494" s="199" t="s">
        <v>1292</v>
      </c>
      <c r="AF494" s="179">
        <v>0</v>
      </c>
      <c r="AG494" s="179">
        <v>0</v>
      </c>
      <c r="AH494" s="179">
        <v>0</v>
      </c>
      <c r="AI494" s="179">
        <v>0</v>
      </c>
      <c r="AJ494" s="179">
        <v>0</v>
      </c>
      <c r="AK494" s="179">
        <v>0</v>
      </c>
      <c r="AL494">
        <v>6</v>
      </c>
      <c r="AM494">
        <v>2023</v>
      </c>
      <c r="AN494" s="250"/>
      <c r="AP494" t="str">
        <f>IF(BD_Bloqueados[[#This Row],[Analista ]]&lt;&gt;"Ana C",MID(BD_Bloqueados[[#This Row],[ID]],3,5),MID(BD_Bloqueados[[#This Row],[ID]],4,5))</f>
        <v>15923</v>
      </c>
      <c r="AQ494">
        <v>160</v>
      </c>
      <c r="AR494">
        <v>2023</v>
      </c>
      <c r="AS494" s="72">
        <v>44927</v>
      </c>
      <c r="AT494" s="72">
        <v>45086</v>
      </c>
      <c r="AU494">
        <v>6</v>
      </c>
    </row>
    <row r="495" spans="1:47">
      <c r="A495" t="s">
        <v>3505</v>
      </c>
      <c r="B495">
        <v>2</v>
      </c>
      <c r="C495" s="72">
        <v>45113</v>
      </c>
      <c r="D495">
        <v>24</v>
      </c>
      <c r="E495" s="173">
        <v>4.1666666666666664E-2</v>
      </c>
      <c r="F495" t="s">
        <v>136</v>
      </c>
      <c r="G495" t="s">
        <v>24</v>
      </c>
      <c r="H495" t="s">
        <v>165</v>
      </c>
      <c r="I495" t="s">
        <v>615</v>
      </c>
      <c r="J495" t="s">
        <v>567</v>
      </c>
      <c r="K495" t="s">
        <v>3506</v>
      </c>
      <c r="L495" t="s">
        <v>108</v>
      </c>
      <c r="M495" t="s">
        <v>1029</v>
      </c>
      <c r="N495">
        <v>967555800</v>
      </c>
      <c r="O495" t="s">
        <v>124</v>
      </c>
      <c r="P495" s="154">
        <v>13001004</v>
      </c>
      <c r="Q495" t="s">
        <v>80</v>
      </c>
      <c r="R495" t="s">
        <v>589</v>
      </c>
      <c r="S495" t="s">
        <v>3507</v>
      </c>
      <c r="T495" t="s">
        <v>1318</v>
      </c>
      <c r="U495" t="s">
        <v>3508</v>
      </c>
      <c r="V495" t="s">
        <v>3509</v>
      </c>
      <c r="W495" t="s">
        <v>101</v>
      </c>
      <c r="X495" t="s">
        <v>156</v>
      </c>
      <c r="Y495" s="229">
        <v>180</v>
      </c>
      <c r="Z495" s="176">
        <v>0</v>
      </c>
      <c r="AA495">
        <v>158</v>
      </c>
      <c r="AB495" t="s">
        <v>1669</v>
      </c>
      <c r="AC495" t="s">
        <v>1349</v>
      </c>
      <c r="AD495" s="199">
        <v>1</v>
      </c>
      <c r="AE495" s="199" t="s">
        <v>1292</v>
      </c>
      <c r="AF495" s="179">
        <v>0</v>
      </c>
      <c r="AG495" s="179">
        <v>0</v>
      </c>
      <c r="AH495" s="179">
        <v>0</v>
      </c>
      <c r="AI495" s="179">
        <v>0</v>
      </c>
      <c r="AJ495" s="179">
        <v>0</v>
      </c>
      <c r="AK495" s="179">
        <v>0</v>
      </c>
      <c r="AL495">
        <v>6</v>
      </c>
      <c r="AM495">
        <v>2023</v>
      </c>
      <c r="AN495" s="250"/>
      <c r="AP495" t="str">
        <f>IF(BD_Bloqueados[[#This Row],[Analista ]]&lt;&gt;"Ana C",MID(BD_Bloqueados[[#This Row],[ID]],3,5),MID(BD_Bloqueados[[#This Row],[ID]],4,5))</f>
        <v>15823</v>
      </c>
      <c r="AQ495">
        <v>160</v>
      </c>
      <c r="AR495">
        <v>2023</v>
      </c>
      <c r="AS495" s="72">
        <v>44927</v>
      </c>
      <c r="AT495" s="72">
        <v>45086</v>
      </c>
      <c r="AU495">
        <v>6</v>
      </c>
    </row>
    <row r="496" spans="1:47">
      <c r="A496" s="191" t="s">
        <v>3536</v>
      </c>
      <c r="B496" s="191">
        <v>2</v>
      </c>
      <c r="C496" s="72">
        <v>45083</v>
      </c>
      <c r="D496" s="191">
        <v>24</v>
      </c>
      <c r="E496" s="212">
        <v>0.72916666666666663</v>
      </c>
      <c r="F496" s="191" t="s">
        <v>109</v>
      </c>
      <c r="G496" s="191" t="s">
        <v>32</v>
      </c>
      <c r="H496" s="191" t="s">
        <v>85</v>
      </c>
      <c r="I496" s="191" t="s">
        <v>143</v>
      </c>
      <c r="J496" s="191" t="s">
        <v>591</v>
      </c>
      <c r="K496" s="191" t="s">
        <v>1524</v>
      </c>
      <c r="L496" s="191" t="s">
        <v>108</v>
      </c>
      <c r="M496" s="191" t="s">
        <v>1029</v>
      </c>
      <c r="N496" s="191">
        <v>967555800</v>
      </c>
      <c r="O496" s="191" t="s">
        <v>98</v>
      </c>
      <c r="P496" s="213">
        <v>13030538</v>
      </c>
      <c r="Q496" s="191" t="s">
        <v>138</v>
      </c>
      <c r="R496" s="191" t="s">
        <v>589</v>
      </c>
      <c r="S496" s="191" t="s">
        <v>3537</v>
      </c>
      <c r="T496" s="191" t="s">
        <v>3538</v>
      </c>
      <c r="U496" s="191" t="s">
        <v>3539</v>
      </c>
      <c r="V496" s="191" t="s">
        <v>3540</v>
      </c>
      <c r="W496" s="191" t="s">
        <v>101</v>
      </c>
      <c r="X496" s="191" t="s">
        <v>156</v>
      </c>
      <c r="Y496" s="231">
        <v>142.5</v>
      </c>
      <c r="Z496" s="214">
        <v>65582.775000000009</v>
      </c>
      <c r="AA496" s="191">
        <v>156</v>
      </c>
      <c r="AB496" s="191" t="s">
        <v>1290</v>
      </c>
      <c r="AC496" s="191" t="s">
        <v>1252</v>
      </c>
      <c r="AD496" s="243">
        <v>1</v>
      </c>
      <c r="AE496" s="243" t="s">
        <v>1292</v>
      </c>
      <c r="AF496" s="216">
        <v>11.006</v>
      </c>
      <c r="AG496" s="216">
        <v>113.717</v>
      </c>
      <c r="AH496" s="216">
        <v>0</v>
      </c>
      <c r="AI496" s="216">
        <v>333.41399999999999</v>
      </c>
      <c r="AJ496" s="216">
        <v>2.093</v>
      </c>
      <c r="AK496" s="216">
        <v>0</v>
      </c>
      <c r="AL496">
        <v>6</v>
      </c>
      <c r="AM496">
        <v>2023</v>
      </c>
      <c r="AN496" s="251" t="s">
        <v>3541</v>
      </c>
      <c r="AP496" t="str">
        <f>IF(BD_Bloqueados[[#This Row],[Analista ]]&lt;&gt;"Ana C",MID(BD_Bloqueados[[#This Row],[ID]],3,5),MID(BD_Bloqueados[[#This Row],[ID]],4,5))</f>
        <v>15723</v>
      </c>
      <c r="AQ496">
        <v>157</v>
      </c>
      <c r="AR496">
        <v>2023</v>
      </c>
      <c r="AS496" s="72">
        <v>44927</v>
      </c>
      <c r="AT496" s="72">
        <v>45083</v>
      </c>
      <c r="AU496">
        <v>6</v>
      </c>
    </row>
    <row r="497" spans="1:47" s="191" customFormat="1">
      <c r="A497" t="s">
        <v>3542</v>
      </c>
      <c r="B497">
        <v>2</v>
      </c>
      <c r="C497" s="72">
        <v>45083</v>
      </c>
      <c r="D497">
        <v>24</v>
      </c>
      <c r="E497" s="173">
        <v>3.4027777777777775E-2</v>
      </c>
      <c r="F497" t="s">
        <v>136</v>
      </c>
      <c r="G497" t="s">
        <v>24</v>
      </c>
      <c r="H497" t="s">
        <v>165</v>
      </c>
      <c r="I497" t="s">
        <v>615</v>
      </c>
      <c r="J497" t="s">
        <v>567</v>
      </c>
      <c r="K497" t="s">
        <v>3506</v>
      </c>
      <c r="L497" t="s">
        <v>108</v>
      </c>
      <c r="M497" t="s">
        <v>1029</v>
      </c>
      <c r="N497">
        <v>967555800</v>
      </c>
      <c r="O497" t="s">
        <v>95</v>
      </c>
      <c r="P497" s="154">
        <v>12001398</v>
      </c>
      <c r="Q497" t="s">
        <v>80</v>
      </c>
      <c r="R497" t="s">
        <v>589</v>
      </c>
      <c r="S497" t="s">
        <v>3543</v>
      </c>
      <c r="T497" t="s">
        <v>1318</v>
      </c>
      <c r="U497" t="s">
        <v>3544</v>
      </c>
      <c r="V497" t="s">
        <v>3545</v>
      </c>
      <c r="W497" t="s">
        <v>101</v>
      </c>
      <c r="X497" t="s">
        <v>156</v>
      </c>
      <c r="Y497" s="229">
        <v>450</v>
      </c>
      <c r="Z497" s="176">
        <v>51606.45</v>
      </c>
      <c r="AA497">
        <v>157</v>
      </c>
      <c r="AB497" t="s">
        <v>1669</v>
      </c>
      <c r="AC497" t="s">
        <v>1349</v>
      </c>
      <c r="AD497" s="199">
        <v>1</v>
      </c>
      <c r="AE497" s="199" t="s">
        <v>1292</v>
      </c>
      <c r="AF497" s="179">
        <v>0</v>
      </c>
      <c r="AG497" s="179">
        <v>0</v>
      </c>
      <c r="AH497" s="179">
        <v>0</v>
      </c>
      <c r="AI497" s="179">
        <v>89.435000000000002</v>
      </c>
      <c r="AJ497" s="179">
        <v>25.245999999999999</v>
      </c>
      <c r="AK497" s="179">
        <v>0</v>
      </c>
      <c r="AL497">
        <v>6</v>
      </c>
      <c r="AM497">
        <v>2023</v>
      </c>
      <c r="AN497" s="250"/>
      <c r="AP497" t="str">
        <f>IF(BD_Bloqueados[[#This Row],[Analista ]]&lt;&gt;"Ana C",MID(BD_Bloqueados[[#This Row],[ID]],3,5),MID(BD_Bloqueados[[#This Row],[ID]],4,5))</f>
        <v>15723</v>
      </c>
      <c r="AQ497">
        <v>157</v>
      </c>
      <c r="AR497">
        <v>2023</v>
      </c>
      <c r="AS497" s="72">
        <v>44927</v>
      </c>
      <c r="AT497" s="72">
        <v>45083</v>
      </c>
      <c r="AU497">
        <v>6</v>
      </c>
    </row>
    <row r="498" spans="1:47">
      <c r="A498" s="191" t="s">
        <v>3762</v>
      </c>
      <c r="B498" s="191">
        <v>2</v>
      </c>
      <c r="C498" s="72">
        <v>44991</v>
      </c>
      <c r="D498" s="191">
        <v>23</v>
      </c>
      <c r="E498" s="212">
        <v>6.9444444444444441E-3</v>
      </c>
      <c r="F498" s="191" t="s">
        <v>136</v>
      </c>
      <c r="G498" s="191" t="s">
        <v>24</v>
      </c>
      <c r="H498" s="191" t="s">
        <v>188</v>
      </c>
      <c r="I498" s="191" t="s">
        <v>143</v>
      </c>
      <c r="J498" s="191" t="s">
        <v>169</v>
      </c>
      <c r="K498" s="191" t="s">
        <v>3457</v>
      </c>
      <c r="L498" s="191" t="s">
        <v>108</v>
      </c>
      <c r="M498" s="191" t="s">
        <v>1029</v>
      </c>
      <c r="N498" s="191">
        <v>967555800</v>
      </c>
      <c r="O498" s="191" t="s">
        <v>95</v>
      </c>
      <c r="P498" s="213">
        <v>12001398</v>
      </c>
      <c r="Q498" s="191" t="s">
        <v>80</v>
      </c>
      <c r="R498" s="191" t="s">
        <v>589</v>
      </c>
      <c r="S498" s="191" t="s">
        <v>3763</v>
      </c>
      <c r="T498" s="191" t="s">
        <v>3764</v>
      </c>
      <c r="U498" s="191" t="s">
        <v>3765</v>
      </c>
      <c r="V498" s="191" t="s">
        <v>3766</v>
      </c>
      <c r="W498" s="191" t="s">
        <v>101</v>
      </c>
      <c r="X498" s="191" t="s">
        <v>156</v>
      </c>
      <c r="Y498" s="231">
        <v>2250</v>
      </c>
      <c r="Z498" s="214">
        <v>0</v>
      </c>
      <c r="AA498" s="191">
        <v>153</v>
      </c>
      <c r="AB498" s="191" t="s">
        <v>1669</v>
      </c>
      <c r="AC498" s="191" t="s">
        <v>1349</v>
      </c>
      <c r="AD498" s="243">
        <v>1</v>
      </c>
      <c r="AE498" s="243" t="s">
        <v>1292</v>
      </c>
      <c r="AF498" s="215">
        <v>0</v>
      </c>
      <c r="AG498" s="215">
        <v>0</v>
      </c>
      <c r="AH498" s="215">
        <v>0</v>
      </c>
      <c r="AI498" s="215">
        <v>89.435000000000002</v>
      </c>
      <c r="AJ498" s="215">
        <v>0</v>
      </c>
      <c r="AK498" s="215">
        <v>0</v>
      </c>
      <c r="AL498">
        <v>6</v>
      </c>
      <c r="AM498">
        <v>2023</v>
      </c>
      <c r="AN498" s="314"/>
      <c r="AP498" t="str">
        <f>IF(BD_Bloqueados[[#This Row],[Analista ]]&lt;&gt;"Ana C",MID(BD_Bloqueados[[#This Row],[ID]],3,5),MID(BD_Bloqueados[[#This Row],[ID]],4,5))</f>
        <v>15423</v>
      </c>
      <c r="AQ498">
        <v>96</v>
      </c>
      <c r="AR498">
        <v>2023</v>
      </c>
      <c r="AS498" s="72">
        <v>44927</v>
      </c>
      <c r="AT498" s="72">
        <v>45022</v>
      </c>
      <c r="AU498">
        <v>4</v>
      </c>
    </row>
    <row r="499" spans="1:47">
      <c r="A499" s="191" t="s">
        <v>3876</v>
      </c>
      <c r="B499" s="191">
        <v>2</v>
      </c>
      <c r="C499" s="72">
        <v>44963</v>
      </c>
      <c r="D499" s="191">
        <v>23</v>
      </c>
      <c r="E499" s="212">
        <v>0.20138888888888887</v>
      </c>
      <c r="F499" s="191" t="s">
        <v>136</v>
      </c>
      <c r="G499" s="191" t="s">
        <v>28</v>
      </c>
      <c r="H499" s="191" t="s">
        <v>165</v>
      </c>
      <c r="I499" s="191" t="s">
        <v>635</v>
      </c>
      <c r="J499" s="191" t="s">
        <v>618</v>
      </c>
      <c r="K499" s="191" t="s">
        <v>3877</v>
      </c>
      <c r="L499" s="191" t="s">
        <v>108</v>
      </c>
      <c r="M499" s="191" t="s">
        <v>1029</v>
      </c>
      <c r="N499" s="191">
        <v>967555800</v>
      </c>
      <c r="O499" s="191" t="s">
        <v>120</v>
      </c>
      <c r="P499" s="213">
        <v>13000012</v>
      </c>
      <c r="Q499" s="191" t="s">
        <v>80</v>
      </c>
      <c r="R499" s="191" t="s">
        <v>589</v>
      </c>
      <c r="S499" s="191" t="s">
        <v>3878</v>
      </c>
      <c r="T499" s="191" t="s">
        <v>3689</v>
      </c>
      <c r="U499" s="191" t="s">
        <v>3879</v>
      </c>
      <c r="V499" s="191" t="s">
        <v>3880</v>
      </c>
      <c r="W499" s="191" t="s">
        <v>101</v>
      </c>
      <c r="X499" s="191" t="s">
        <v>102</v>
      </c>
      <c r="Y499" s="231"/>
      <c r="Z499" s="191">
        <v>0</v>
      </c>
      <c r="AA499" s="191">
        <v>153</v>
      </c>
      <c r="AB499" s="191" t="s">
        <v>1491</v>
      </c>
      <c r="AC499" s="191" t="s">
        <v>1252</v>
      </c>
      <c r="AD499" s="243">
        <v>1</v>
      </c>
      <c r="AE499" s="243" t="s">
        <v>1292</v>
      </c>
      <c r="AF499" s="215">
        <v>0</v>
      </c>
      <c r="AG499" s="215">
        <v>0</v>
      </c>
      <c r="AH499" s="215">
        <v>0</v>
      </c>
      <c r="AI499" s="215">
        <v>138.607</v>
      </c>
      <c r="AJ499" s="215">
        <v>11.802</v>
      </c>
      <c r="AK499" s="215">
        <v>0</v>
      </c>
      <c r="AL499">
        <v>6</v>
      </c>
      <c r="AM499">
        <v>2023</v>
      </c>
      <c r="AN499" s="314" t="s">
        <v>1283</v>
      </c>
      <c r="AP499" t="str">
        <f>IF(BD_Bloqueados[[#This Row],[Analista ]]&lt;&gt;"Ana C",MID(BD_Bloqueados[[#This Row],[ID]],3,5),MID(BD_Bloqueados[[#This Row],[ID]],4,5))</f>
        <v>15323</v>
      </c>
      <c r="AQ499">
        <v>65</v>
      </c>
      <c r="AR499">
        <v>2023</v>
      </c>
      <c r="AS499" s="72">
        <v>44927</v>
      </c>
      <c r="AT499" s="72">
        <v>44991</v>
      </c>
      <c r="AU499">
        <v>3</v>
      </c>
    </row>
    <row r="500" spans="1:47">
      <c r="A500" t="s">
        <v>3933</v>
      </c>
      <c r="B500">
        <v>2</v>
      </c>
      <c r="C500" s="72">
        <v>44932</v>
      </c>
      <c r="D500">
        <v>23</v>
      </c>
      <c r="E500" s="173">
        <v>0.6875</v>
      </c>
      <c r="F500" t="s">
        <v>109</v>
      </c>
      <c r="G500" t="s">
        <v>27</v>
      </c>
      <c r="H500" t="s">
        <v>189</v>
      </c>
      <c r="I500" t="s">
        <v>259</v>
      </c>
      <c r="J500" t="s">
        <v>2681</v>
      </c>
      <c r="K500" t="s">
        <v>1136</v>
      </c>
      <c r="L500" t="s">
        <v>108</v>
      </c>
      <c r="M500" t="s">
        <v>1029</v>
      </c>
      <c r="N500">
        <v>967555800</v>
      </c>
      <c r="O500" t="s">
        <v>771</v>
      </c>
      <c r="P500" s="154">
        <v>13030094</v>
      </c>
      <c r="Q500" t="s">
        <v>185</v>
      </c>
      <c r="R500" t="s">
        <v>600</v>
      </c>
      <c r="S500" t="s">
        <v>3934</v>
      </c>
      <c r="T500" t="s">
        <v>3695</v>
      </c>
      <c r="U500" t="s">
        <v>3696</v>
      </c>
      <c r="V500" t="s">
        <v>3935</v>
      </c>
      <c r="W500" t="s">
        <v>101</v>
      </c>
      <c r="X500" t="s">
        <v>156</v>
      </c>
      <c r="Y500" s="229">
        <v>6300</v>
      </c>
      <c r="Z500" s="176">
        <v>783510</v>
      </c>
      <c r="AA500">
        <v>152</v>
      </c>
      <c r="AB500" t="s">
        <v>1459</v>
      </c>
      <c r="AC500" t="s">
        <v>1252</v>
      </c>
      <c r="AD500" s="199">
        <v>0.45</v>
      </c>
      <c r="AE500" s="199" t="s">
        <v>1374</v>
      </c>
      <c r="AF500" s="180">
        <v>0</v>
      </c>
      <c r="AG500" s="180">
        <v>0</v>
      </c>
      <c r="AH500" s="180">
        <v>0</v>
      </c>
      <c r="AI500" s="180">
        <v>55.965000000000003</v>
      </c>
      <c r="AJ500" s="180">
        <v>0</v>
      </c>
      <c r="AK500" s="180">
        <v>0</v>
      </c>
      <c r="AL500">
        <v>6</v>
      </c>
      <c r="AM500">
        <v>2023</v>
      </c>
      <c r="AN500" s="200" t="s">
        <v>1505</v>
      </c>
      <c r="AP500" t="str">
        <f>IF(BD_Bloqueados[[#This Row],[Analista ]]&lt;&gt;"Ana C",MID(BD_Bloqueados[[#This Row],[ID]],3,5),MID(BD_Bloqueados[[#This Row],[ID]],4,5))</f>
        <v>15223</v>
      </c>
      <c r="AQ500">
        <v>6</v>
      </c>
      <c r="AR500">
        <v>2023</v>
      </c>
      <c r="AS500" s="72">
        <v>44927</v>
      </c>
      <c r="AT500" s="72">
        <v>44932</v>
      </c>
      <c r="AU500">
        <v>1</v>
      </c>
    </row>
    <row r="501" spans="1:47">
      <c r="A501" t="s">
        <v>3562</v>
      </c>
      <c r="B501">
        <v>2</v>
      </c>
      <c r="C501" s="72">
        <v>45077</v>
      </c>
      <c r="D501">
        <v>23</v>
      </c>
      <c r="E501" s="173">
        <v>0.4375</v>
      </c>
      <c r="F501" t="s">
        <v>78</v>
      </c>
      <c r="G501" t="s">
        <v>28</v>
      </c>
      <c r="H501" t="s">
        <v>165</v>
      </c>
      <c r="I501" t="s">
        <v>615</v>
      </c>
      <c r="J501" t="s">
        <v>618</v>
      </c>
      <c r="K501" t="s">
        <v>3563</v>
      </c>
      <c r="L501" t="s">
        <v>108</v>
      </c>
      <c r="M501" t="s">
        <v>1029</v>
      </c>
      <c r="N501">
        <v>967555800</v>
      </c>
      <c r="O501" t="s">
        <v>344</v>
      </c>
      <c r="P501" s="154">
        <v>12000407</v>
      </c>
      <c r="Q501" t="s">
        <v>138</v>
      </c>
      <c r="R501" t="s">
        <v>79</v>
      </c>
      <c r="S501" t="s">
        <v>3564</v>
      </c>
      <c r="T501" t="s">
        <v>3565</v>
      </c>
      <c r="U501" t="s">
        <v>3566</v>
      </c>
      <c r="V501" t="s">
        <v>3567</v>
      </c>
      <c r="W501" t="s">
        <v>101</v>
      </c>
      <c r="X501" t="s">
        <v>102</v>
      </c>
      <c r="Y501" s="229">
        <v>170</v>
      </c>
      <c r="Z501" s="176">
        <v>0</v>
      </c>
      <c r="AA501">
        <v>6</v>
      </c>
      <c r="AB501" t="s">
        <v>2140</v>
      </c>
      <c r="AC501" t="s">
        <v>1252</v>
      </c>
      <c r="AD501" s="199"/>
      <c r="AE501" s="199" t="s">
        <v>1374</v>
      </c>
      <c r="AF501" s="180">
        <v>0</v>
      </c>
      <c r="AG501" s="180">
        <v>0</v>
      </c>
      <c r="AH501" s="180">
        <v>0</v>
      </c>
      <c r="AI501" s="180">
        <v>0</v>
      </c>
      <c r="AJ501" s="180">
        <v>0</v>
      </c>
      <c r="AK501" s="180">
        <v>0</v>
      </c>
      <c r="AL501">
        <v>5</v>
      </c>
      <c r="AM501">
        <v>2023</v>
      </c>
      <c r="AN501" s="200" t="s">
        <v>3257</v>
      </c>
      <c r="AP501" t="str">
        <f>IF(BD_Bloqueados[[#This Row],[Analista ]]&lt;&gt;"Ana C",MID(BD_Bloqueados[[#This Row],[ID]],3,5),MID(BD_Bloqueados[[#This Row],[ID]],4,5))</f>
        <v>15123</v>
      </c>
      <c r="AQ501">
        <v>151</v>
      </c>
      <c r="AR501">
        <v>2023</v>
      </c>
      <c r="AS501" s="72">
        <v>44927</v>
      </c>
      <c r="AT501" s="72">
        <v>45077</v>
      </c>
      <c r="AU501">
        <v>5</v>
      </c>
    </row>
    <row r="502" spans="1:47" s="191" customFormat="1">
      <c r="A502" t="s">
        <v>3568</v>
      </c>
      <c r="B502">
        <v>2</v>
      </c>
      <c r="C502" s="72">
        <v>45077</v>
      </c>
      <c r="D502">
        <v>23</v>
      </c>
      <c r="E502" s="173">
        <v>0.40972222222222227</v>
      </c>
      <c r="F502" t="s">
        <v>78</v>
      </c>
      <c r="G502" t="s">
        <v>28</v>
      </c>
      <c r="H502" t="s">
        <v>165</v>
      </c>
      <c r="I502" t="s">
        <v>615</v>
      </c>
      <c r="J502" t="s">
        <v>618</v>
      </c>
      <c r="K502" t="s">
        <v>3569</v>
      </c>
      <c r="L502" t="s">
        <v>108</v>
      </c>
      <c r="M502" t="s">
        <v>1029</v>
      </c>
      <c r="N502">
        <v>967555800</v>
      </c>
      <c r="O502" t="s">
        <v>302</v>
      </c>
      <c r="P502" s="154">
        <v>12000408</v>
      </c>
      <c r="Q502" t="s">
        <v>138</v>
      </c>
      <c r="R502" t="s">
        <v>79</v>
      </c>
      <c r="S502" t="s">
        <v>3570</v>
      </c>
      <c r="T502" t="s">
        <v>3571</v>
      </c>
      <c r="U502" t="s">
        <v>3572</v>
      </c>
      <c r="V502" t="s">
        <v>3573</v>
      </c>
      <c r="W502" t="s">
        <v>101</v>
      </c>
      <c r="X502" t="s">
        <v>102</v>
      </c>
      <c r="Y502" s="229">
        <v>204</v>
      </c>
      <c r="Z502" s="176">
        <v>0</v>
      </c>
      <c r="AA502">
        <v>136</v>
      </c>
      <c r="AB502" t="s">
        <v>2140</v>
      </c>
      <c r="AC502" t="s">
        <v>1252</v>
      </c>
      <c r="AD502" s="199"/>
      <c r="AE502" s="199" t="s">
        <v>1374</v>
      </c>
      <c r="AF502" s="180">
        <v>0</v>
      </c>
      <c r="AG502" s="180">
        <v>0</v>
      </c>
      <c r="AH502" s="180">
        <v>0</v>
      </c>
      <c r="AI502" s="180">
        <v>0</v>
      </c>
      <c r="AJ502" s="180">
        <v>0</v>
      </c>
      <c r="AK502" s="180">
        <v>0</v>
      </c>
      <c r="AL502">
        <v>5</v>
      </c>
      <c r="AM502">
        <v>2023</v>
      </c>
      <c r="AN502" s="200" t="s">
        <v>2812</v>
      </c>
      <c r="AP502" t="str">
        <f>IF(BD_Bloqueados[[#This Row],[Analista ]]&lt;&gt;"Ana C",MID(BD_Bloqueados[[#This Row],[ID]],3,5),MID(BD_Bloqueados[[#This Row],[ID]],4,5))</f>
        <v>15123</v>
      </c>
      <c r="AQ502">
        <v>151</v>
      </c>
      <c r="AR502">
        <v>2023</v>
      </c>
      <c r="AS502" s="72">
        <v>44927</v>
      </c>
      <c r="AT502" s="72">
        <v>45077</v>
      </c>
      <c r="AU502">
        <v>5</v>
      </c>
    </row>
    <row r="503" spans="1:47">
      <c r="A503" t="s">
        <v>3574</v>
      </c>
      <c r="B503">
        <v>2</v>
      </c>
      <c r="C503" s="72">
        <v>45075</v>
      </c>
      <c r="D503">
        <v>23</v>
      </c>
      <c r="E503" s="173">
        <v>0.95833333333333337</v>
      </c>
      <c r="F503" t="s">
        <v>136</v>
      </c>
      <c r="G503" t="s">
        <v>32</v>
      </c>
      <c r="H503" t="s">
        <v>85</v>
      </c>
      <c r="I503" t="s">
        <v>143</v>
      </c>
      <c r="J503" t="s">
        <v>169</v>
      </c>
      <c r="K503" t="s">
        <v>3575</v>
      </c>
      <c r="L503" t="s">
        <v>108</v>
      </c>
      <c r="M503" t="s">
        <v>1029</v>
      </c>
      <c r="N503">
        <v>967555800</v>
      </c>
      <c r="O503" t="s">
        <v>98</v>
      </c>
      <c r="P503" s="154">
        <v>13030538</v>
      </c>
      <c r="Q503" t="s">
        <v>138</v>
      </c>
      <c r="R503" t="s">
        <v>589</v>
      </c>
      <c r="S503" t="s">
        <v>3576</v>
      </c>
      <c r="T503" t="s">
        <v>3577</v>
      </c>
      <c r="U503" t="s">
        <v>1245</v>
      </c>
      <c r="V503" t="s">
        <v>3578</v>
      </c>
      <c r="W503" t="s">
        <v>101</v>
      </c>
      <c r="X503" t="s">
        <v>156</v>
      </c>
      <c r="Y503" s="229">
        <v>298.2</v>
      </c>
      <c r="Z503" s="176">
        <v>139732.04699999999</v>
      </c>
      <c r="AA503">
        <v>149</v>
      </c>
      <c r="AB503" t="s">
        <v>1290</v>
      </c>
      <c r="AC503" t="s">
        <v>1252</v>
      </c>
      <c r="AD503" s="199">
        <v>1</v>
      </c>
      <c r="AE503" s="199">
        <v>1</v>
      </c>
      <c r="AF503" s="180">
        <v>11.006</v>
      </c>
      <c r="AG503" s="180">
        <v>113.779</v>
      </c>
      <c r="AH503" s="180">
        <v>0</v>
      </c>
      <c r="AI503" s="180">
        <v>341.95</v>
      </c>
      <c r="AJ503" s="180">
        <v>1.85</v>
      </c>
      <c r="AK503" s="180">
        <v>0</v>
      </c>
      <c r="AL503">
        <v>5</v>
      </c>
      <c r="AM503">
        <v>2023</v>
      </c>
      <c r="AN503" s="200" t="s">
        <v>3450</v>
      </c>
      <c r="AP503" t="str">
        <f>IF(BD_Bloqueados[[#This Row],[Analista ]]&lt;&gt;"Ana C",MID(BD_Bloqueados[[#This Row],[ID]],3,5),MID(BD_Bloqueados[[#This Row],[ID]],4,5))</f>
        <v>14923</v>
      </c>
      <c r="AQ503">
        <v>149</v>
      </c>
      <c r="AR503">
        <v>2023</v>
      </c>
      <c r="AS503" s="72">
        <v>44927</v>
      </c>
      <c r="AT503" s="72">
        <v>45075</v>
      </c>
      <c r="AU503">
        <v>5</v>
      </c>
    </row>
    <row r="504" spans="1:47" s="191" customFormat="1">
      <c r="A504" t="s">
        <v>3579</v>
      </c>
      <c r="B504">
        <v>2</v>
      </c>
      <c r="C504" s="72">
        <v>45064</v>
      </c>
      <c r="D504">
        <v>21</v>
      </c>
      <c r="E504" s="173">
        <v>6.9444444444444441E-3</v>
      </c>
      <c r="F504" t="s">
        <v>136</v>
      </c>
      <c r="G504" t="s">
        <v>22</v>
      </c>
      <c r="H504" t="s">
        <v>186</v>
      </c>
      <c r="I504" t="s">
        <v>248</v>
      </c>
      <c r="J504" t="s">
        <v>567</v>
      </c>
      <c r="K504" t="s">
        <v>3580</v>
      </c>
      <c r="L504" t="s">
        <v>108</v>
      </c>
      <c r="M504" t="s">
        <v>1029</v>
      </c>
      <c r="N504">
        <v>967555800</v>
      </c>
      <c r="O504" t="s">
        <v>332</v>
      </c>
      <c r="P504" s="154">
        <v>12001408</v>
      </c>
      <c r="Q504" t="s">
        <v>80</v>
      </c>
      <c r="R504" t="s">
        <v>619</v>
      </c>
      <c r="S504" t="s">
        <v>3581</v>
      </c>
      <c r="T504" t="s">
        <v>3582</v>
      </c>
      <c r="U504" t="s">
        <v>3583</v>
      </c>
      <c r="V504" t="s">
        <v>3584</v>
      </c>
      <c r="W504" t="s">
        <v>101</v>
      </c>
      <c r="X504" t="s">
        <v>156</v>
      </c>
      <c r="Y504" s="229">
        <v>1449</v>
      </c>
      <c r="Z504" s="176">
        <v>24115.707000000002</v>
      </c>
      <c r="AA504">
        <v>138</v>
      </c>
      <c r="AB504" t="s">
        <v>2802</v>
      </c>
      <c r="AC504" t="s">
        <v>2696</v>
      </c>
      <c r="AD504" s="179">
        <v>1</v>
      </c>
      <c r="AE504" s="179">
        <v>1</v>
      </c>
      <c r="AF504" s="179">
        <v>0</v>
      </c>
      <c r="AG504" s="179">
        <v>0</v>
      </c>
      <c r="AH504" s="179">
        <v>0</v>
      </c>
      <c r="AI504" s="179">
        <v>16.643000000000001</v>
      </c>
      <c r="AJ504" s="179">
        <v>0</v>
      </c>
      <c r="AK504" s="179">
        <v>0</v>
      </c>
      <c r="AL504">
        <v>5</v>
      </c>
      <c r="AM504">
        <v>2023</v>
      </c>
      <c r="AN504" s="180" t="s">
        <v>3585</v>
      </c>
      <c r="AP504" t="str">
        <f>IF(BD_Bloqueados[[#This Row],[Analista ]]&lt;&gt;"Ana C",MID(BD_Bloqueados[[#This Row],[ID]],3,5),MID(BD_Bloqueados[[#This Row],[ID]],4,5))</f>
        <v>13823</v>
      </c>
      <c r="AQ504">
        <v>138</v>
      </c>
      <c r="AR504">
        <v>2023</v>
      </c>
      <c r="AS504" s="72">
        <v>44927</v>
      </c>
      <c r="AT504" s="72">
        <v>45064</v>
      </c>
      <c r="AU504">
        <v>5</v>
      </c>
    </row>
    <row r="505" spans="1:47" s="191" customFormat="1">
      <c r="A505" t="s">
        <v>2870</v>
      </c>
      <c r="B505">
        <v>2</v>
      </c>
      <c r="C505" s="72">
        <v>45265</v>
      </c>
      <c r="D505">
        <v>20</v>
      </c>
      <c r="E505" s="173">
        <v>0</v>
      </c>
      <c r="F505" t="s">
        <v>136</v>
      </c>
      <c r="G505" t="s">
        <v>23</v>
      </c>
      <c r="H505" t="s">
        <v>139</v>
      </c>
      <c r="I505" t="s">
        <v>635</v>
      </c>
      <c r="J505" t="s">
        <v>169</v>
      </c>
      <c r="K505" t="s">
        <v>2871</v>
      </c>
      <c r="L505" t="s">
        <v>108</v>
      </c>
      <c r="M505" t="s">
        <v>1029</v>
      </c>
      <c r="N505">
        <v>967555800</v>
      </c>
      <c r="O505" t="s">
        <v>265</v>
      </c>
      <c r="P505" s="154">
        <v>13030402</v>
      </c>
      <c r="Q505" t="s">
        <v>138</v>
      </c>
      <c r="R505" t="s">
        <v>589</v>
      </c>
      <c r="S505" t="s">
        <v>2872</v>
      </c>
      <c r="T505" t="s">
        <v>2873</v>
      </c>
      <c r="U505" t="s">
        <v>2874</v>
      </c>
      <c r="V505" t="s">
        <v>2875</v>
      </c>
      <c r="W505" t="s">
        <v>101</v>
      </c>
      <c r="X505" t="s">
        <v>102</v>
      </c>
      <c r="Y505" s="229">
        <v>1320</v>
      </c>
      <c r="Z505" s="176">
        <v>0</v>
      </c>
      <c r="AA505">
        <v>132</v>
      </c>
      <c r="AB505" t="s">
        <v>1356</v>
      </c>
      <c r="AC505" t="s">
        <v>1349</v>
      </c>
      <c r="AD505" s="179">
        <v>1</v>
      </c>
      <c r="AE505" s="179">
        <v>1</v>
      </c>
      <c r="AF505" s="179">
        <v>0</v>
      </c>
      <c r="AG505" s="179">
        <v>0</v>
      </c>
      <c r="AH505" s="179">
        <v>0</v>
      </c>
      <c r="AI505" s="179">
        <v>0</v>
      </c>
      <c r="AJ505" s="179">
        <v>0</v>
      </c>
      <c r="AK505" s="179">
        <v>0</v>
      </c>
      <c r="AL505">
        <v>5</v>
      </c>
      <c r="AM505">
        <v>2023</v>
      </c>
      <c r="AN505" s="180"/>
      <c r="AP505" t="str">
        <f>IF(BD_Bloqueados[[#This Row],[Analista ]]&lt;&gt;"Ana C",MID(BD_Bloqueados[[#This Row],[ID]],3,5),MID(BD_Bloqueados[[#This Row],[ID]],4,5))</f>
        <v>13223</v>
      </c>
      <c r="AQ505">
        <v>132</v>
      </c>
      <c r="AR505">
        <v>2023</v>
      </c>
      <c r="AS505" s="72">
        <v>44927</v>
      </c>
      <c r="AT505" s="72">
        <v>45058</v>
      </c>
      <c r="AU505">
        <v>5</v>
      </c>
    </row>
    <row r="506" spans="1:47">
      <c r="A506" t="s">
        <v>3022</v>
      </c>
      <c r="B506">
        <v>2</v>
      </c>
      <c r="C506" s="72">
        <v>45235</v>
      </c>
      <c r="D506">
        <v>20</v>
      </c>
      <c r="E506" s="173">
        <v>0.6875</v>
      </c>
      <c r="F506" t="s">
        <v>109</v>
      </c>
      <c r="G506" t="s">
        <v>29</v>
      </c>
      <c r="H506" t="s">
        <v>211</v>
      </c>
      <c r="I506" t="s">
        <v>143</v>
      </c>
      <c r="J506" t="s">
        <v>117</v>
      </c>
      <c r="K506" t="s">
        <v>1619</v>
      </c>
      <c r="L506" t="s">
        <v>108</v>
      </c>
      <c r="M506" t="s">
        <v>1029</v>
      </c>
      <c r="N506">
        <v>967555800</v>
      </c>
      <c r="O506" t="s">
        <v>146</v>
      </c>
      <c r="P506" s="154">
        <v>12001436</v>
      </c>
      <c r="Q506" t="s">
        <v>206</v>
      </c>
      <c r="R506" t="s">
        <v>596</v>
      </c>
      <c r="S506" t="s">
        <v>3023</v>
      </c>
      <c r="T506" t="s">
        <v>3024</v>
      </c>
      <c r="U506" t="s">
        <v>3025</v>
      </c>
      <c r="V506" t="s">
        <v>3026</v>
      </c>
      <c r="W506" t="s">
        <v>101</v>
      </c>
      <c r="X506" t="s">
        <v>156</v>
      </c>
      <c r="Y506" s="229">
        <v>206.4</v>
      </c>
      <c r="Z506" s="176">
        <v>33543.344444444447</v>
      </c>
      <c r="AA506">
        <v>131</v>
      </c>
      <c r="AB506" t="s">
        <v>3027</v>
      </c>
      <c r="AC506" t="s">
        <v>1252</v>
      </c>
      <c r="AD506" s="179">
        <v>0.432</v>
      </c>
      <c r="AE506" s="179">
        <v>0.432</v>
      </c>
      <c r="AF506" s="179">
        <v>0</v>
      </c>
      <c r="AG506" s="179">
        <v>0</v>
      </c>
      <c r="AH506" s="179">
        <v>0</v>
      </c>
      <c r="AI506" s="179">
        <v>70.206999999999994</v>
      </c>
      <c r="AJ506" s="179">
        <v>0</v>
      </c>
      <c r="AK506" s="179">
        <v>0</v>
      </c>
      <c r="AL506">
        <v>5</v>
      </c>
      <c r="AM506">
        <v>2023</v>
      </c>
      <c r="AN506" s="180" t="s">
        <v>1283</v>
      </c>
      <c r="AP506" t="str">
        <f>IF(BD_Bloqueados[[#This Row],[Analista ]]&lt;&gt;"Ana C",MID(BD_Bloqueados[[#This Row],[ID]],3,5),MID(BD_Bloqueados[[#This Row],[ID]],4,5))</f>
        <v>13123</v>
      </c>
      <c r="AQ506">
        <v>339</v>
      </c>
      <c r="AR506">
        <v>2023</v>
      </c>
      <c r="AS506" s="72">
        <v>44927</v>
      </c>
      <c r="AT506" s="72">
        <v>45265</v>
      </c>
      <c r="AU506">
        <v>12</v>
      </c>
    </row>
    <row r="507" spans="1:47">
      <c r="A507" t="s">
        <v>3028</v>
      </c>
      <c r="B507">
        <v>2</v>
      </c>
      <c r="C507" s="72">
        <v>45235</v>
      </c>
      <c r="D507">
        <v>20</v>
      </c>
      <c r="E507" s="173">
        <v>0.88541666666666663</v>
      </c>
      <c r="F507" t="s">
        <v>136</v>
      </c>
      <c r="G507" t="s">
        <v>23</v>
      </c>
      <c r="H507" t="s">
        <v>164</v>
      </c>
      <c r="I507" t="s">
        <v>190</v>
      </c>
      <c r="J507" t="s">
        <v>169</v>
      </c>
      <c r="K507" t="s">
        <v>3029</v>
      </c>
      <c r="L507" t="s">
        <v>108</v>
      </c>
      <c r="M507" t="s">
        <v>1029</v>
      </c>
      <c r="N507">
        <v>967555800</v>
      </c>
      <c r="O507" t="s">
        <v>265</v>
      </c>
      <c r="P507" s="154">
        <v>13030402</v>
      </c>
      <c r="Q507" t="s">
        <v>138</v>
      </c>
      <c r="R507" t="s">
        <v>589</v>
      </c>
      <c r="S507" t="s">
        <v>3030</v>
      </c>
      <c r="T507" t="s">
        <v>3031</v>
      </c>
      <c r="U507" t="s">
        <v>3032</v>
      </c>
      <c r="V507" t="s">
        <v>3033</v>
      </c>
      <c r="W507" t="s">
        <v>101</v>
      </c>
      <c r="X507" t="s">
        <v>102</v>
      </c>
      <c r="Y507" s="229">
        <v>1584</v>
      </c>
      <c r="Z507" s="176">
        <v>0</v>
      </c>
      <c r="AA507">
        <v>131</v>
      </c>
      <c r="AB507" t="s">
        <v>1356</v>
      </c>
      <c r="AC507" t="s">
        <v>1349</v>
      </c>
      <c r="AD507" s="179">
        <v>1</v>
      </c>
      <c r="AE507" s="179">
        <v>1</v>
      </c>
      <c r="AF507" s="179">
        <v>0</v>
      </c>
      <c r="AG507" s="179">
        <v>0</v>
      </c>
      <c r="AH507" s="179">
        <v>0</v>
      </c>
      <c r="AI507" s="179">
        <v>0</v>
      </c>
      <c r="AJ507" s="179">
        <v>0</v>
      </c>
      <c r="AK507" s="179">
        <v>0</v>
      </c>
      <c r="AL507">
        <v>5</v>
      </c>
      <c r="AM507">
        <v>2023</v>
      </c>
      <c r="AN507" s="180"/>
      <c r="AP507" t="str">
        <f>IF(BD_Bloqueados[[#This Row],[Analista ]]&lt;&gt;"Ana C",MID(BD_Bloqueados[[#This Row],[ID]],3,5),MID(BD_Bloqueados[[#This Row],[ID]],4,5))</f>
        <v>13123</v>
      </c>
      <c r="AQ507">
        <v>131</v>
      </c>
      <c r="AR507">
        <v>2023</v>
      </c>
      <c r="AS507" s="72">
        <v>44927</v>
      </c>
      <c r="AT507" s="72">
        <v>45057</v>
      </c>
      <c r="AU507">
        <v>5</v>
      </c>
    </row>
    <row r="508" spans="1:47">
      <c r="A508" t="s">
        <v>3272</v>
      </c>
      <c r="B508">
        <v>2</v>
      </c>
      <c r="C508" s="72">
        <v>45174</v>
      </c>
      <c r="D508">
        <v>20</v>
      </c>
      <c r="E508" s="173">
        <v>0.43055555555555558</v>
      </c>
      <c r="F508" t="s">
        <v>78</v>
      </c>
      <c r="G508" t="s">
        <v>27</v>
      </c>
      <c r="H508" t="s">
        <v>189</v>
      </c>
      <c r="I508" t="s">
        <v>248</v>
      </c>
      <c r="J508" t="s">
        <v>618</v>
      </c>
      <c r="K508" t="s">
        <v>2234</v>
      </c>
      <c r="L508" t="s">
        <v>108</v>
      </c>
      <c r="M508" t="s">
        <v>1029</v>
      </c>
      <c r="N508">
        <v>967555800</v>
      </c>
      <c r="O508" t="s">
        <v>92</v>
      </c>
      <c r="P508" s="154">
        <v>13030409</v>
      </c>
      <c r="Q508" t="s">
        <v>138</v>
      </c>
      <c r="R508" t="s">
        <v>589</v>
      </c>
      <c r="S508" t="s">
        <v>3273</v>
      </c>
      <c r="T508" t="s">
        <v>3274</v>
      </c>
      <c r="U508" t="s">
        <v>3275</v>
      </c>
      <c r="V508" t="s">
        <v>3276</v>
      </c>
      <c r="W508" t="s">
        <v>101</v>
      </c>
      <c r="X508" t="s">
        <v>156</v>
      </c>
      <c r="Y508" s="229">
        <v>651</v>
      </c>
      <c r="Z508" s="176">
        <v>503623.8404494382</v>
      </c>
      <c r="AA508">
        <v>129</v>
      </c>
      <c r="AB508" t="s">
        <v>1290</v>
      </c>
      <c r="AC508" t="s">
        <v>1252</v>
      </c>
      <c r="AD508" s="179">
        <v>0.44500000000000001</v>
      </c>
      <c r="AE508" s="179">
        <v>0.44500000000000001</v>
      </c>
      <c r="AF508" s="179">
        <v>18.606999999999999</v>
      </c>
      <c r="AG508" s="179">
        <v>218.15700000000001</v>
      </c>
      <c r="AH508" s="179">
        <v>0</v>
      </c>
      <c r="AI508" s="179">
        <v>92.061999999999998</v>
      </c>
      <c r="AJ508" s="179">
        <v>15.433</v>
      </c>
      <c r="AK508" s="179">
        <v>0</v>
      </c>
      <c r="AL508">
        <v>5</v>
      </c>
      <c r="AM508">
        <v>2023</v>
      </c>
      <c r="AN508" s="180" t="s">
        <v>3277</v>
      </c>
      <c r="AP508" t="str">
        <f>IF(BD_Bloqueados[[#This Row],[Analista ]]&lt;&gt;"Ana C",MID(BD_Bloqueados[[#This Row],[ID]],3,5),MID(BD_Bloqueados[[#This Row],[ID]],4,5))</f>
        <v>12923</v>
      </c>
      <c r="AQ508">
        <v>131</v>
      </c>
      <c r="AR508">
        <v>2023</v>
      </c>
      <c r="AS508" s="72">
        <v>44927</v>
      </c>
      <c r="AT508" s="72">
        <v>45057</v>
      </c>
      <c r="AU508">
        <v>5</v>
      </c>
    </row>
    <row r="509" spans="1:47">
      <c r="A509" t="s">
        <v>3598</v>
      </c>
      <c r="B509">
        <v>2</v>
      </c>
      <c r="C509" s="72">
        <v>45021</v>
      </c>
      <c r="D509">
        <v>19</v>
      </c>
      <c r="E509" s="173">
        <v>0.4069444444444445</v>
      </c>
      <c r="F509" t="s">
        <v>78</v>
      </c>
      <c r="G509" t="s">
        <v>24</v>
      </c>
      <c r="H509" t="s">
        <v>165</v>
      </c>
      <c r="I509" t="s">
        <v>635</v>
      </c>
      <c r="J509" t="s">
        <v>595</v>
      </c>
      <c r="K509" t="s">
        <v>3599</v>
      </c>
      <c r="L509" t="s">
        <v>108</v>
      </c>
      <c r="M509" t="s">
        <v>1029</v>
      </c>
      <c r="N509">
        <v>967555800</v>
      </c>
      <c r="O509" t="s">
        <v>124</v>
      </c>
      <c r="P509" s="154">
        <v>13001004</v>
      </c>
      <c r="Q509" t="s">
        <v>138</v>
      </c>
      <c r="R509" t="s">
        <v>640</v>
      </c>
      <c r="S509" t="s">
        <v>3600</v>
      </c>
      <c r="T509" t="s">
        <v>3601</v>
      </c>
      <c r="U509" t="s">
        <v>3602</v>
      </c>
      <c r="V509" t="s">
        <v>3603</v>
      </c>
      <c r="W509" t="s">
        <v>101</v>
      </c>
      <c r="X509" t="s">
        <v>129</v>
      </c>
      <c r="Y509" s="229">
        <v>165</v>
      </c>
      <c r="Z509" s="176"/>
      <c r="AA509">
        <v>124</v>
      </c>
      <c r="AD509" s="179"/>
      <c r="AE509" s="179"/>
      <c r="AF509" s="179"/>
      <c r="AG509" s="179"/>
      <c r="AH509" s="179"/>
      <c r="AI509" s="179"/>
      <c r="AJ509" s="179"/>
      <c r="AK509" s="179"/>
      <c r="AL509">
        <v>5</v>
      </c>
      <c r="AM509">
        <v>2023</v>
      </c>
      <c r="AN509" s="180"/>
      <c r="AP509" t="str">
        <f>IF(BD_Bloqueados[[#This Row],[Analista ]]&lt;&gt;"Ana C",MID(BD_Bloqueados[[#This Row],[ID]],3,5),MID(BD_Bloqueados[[#This Row],[ID]],4,5))</f>
        <v>12423</v>
      </c>
      <c r="AQ509">
        <v>248</v>
      </c>
      <c r="AR509">
        <v>2023</v>
      </c>
      <c r="AS509" s="72">
        <v>44927</v>
      </c>
      <c r="AT509" s="72">
        <v>45174</v>
      </c>
      <c r="AU509">
        <v>9</v>
      </c>
    </row>
    <row r="510" spans="1:47">
      <c r="A510" t="s">
        <v>3604</v>
      </c>
      <c r="B510">
        <v>2</v>
      </c>
      <c r="C510" s="72">
        <v>45021</v>
      </c>
      <c r="D510">
        <v>19</v>
      </c>
      <c r="E510" s="173">
        <v>0.41180555555555554</v>
      </c>
      <c r="F510" t="s">
        <v>78</v>
      </c>
      <c r="G510" t="s">
        <v>31</v>
      </c>
      <c r="H510" t="s">
        <v>84</v>
      </c>
      <c r="I510" t="s">
        <v>635</v>
      </c>
      <c r="J510" t="s">
        <v>595</v>
      </c>
      <c r="K510" t="s">
        <v>1285</v>
      </c>
      <c r="L510" t="s">
        <v>108</v>
      </c>
      <c r="M510" t="s">
        <v>1029</v>
      </c>
      <c r="N510">
        <v>967555800</v>
      </c>
      <c r="O510" t="s">
        <v>200</v>
      </c>
      <c r="P510" s="154">
        <v>13030428</v>
      </c>
      <c r="Q510" t="s">
        <v>185</v>
      </c>
      <c r="R510" t="s">
        <v>600</v>
      </c>
      <c r="S510" t="s">
        <v>3605</v>
      </c>
      <c r="T510" t="s">
        <v>3606</v>
      </c>
      <c r="U510" t="s">
        <v>3607</v>
      </c>
      <c r="V510" t="s">
        <v>3608</v>
      </c>
      <c r="W510" t="s">
        <v>101</v>
      </c>
      <c r="X510" t="s">
        <v>102</v>
      </c>
      <c r="Y510" s="229">
        <v>316.8</v>
      </c>
      <c r="Z510" s="176">
        <v>0</v>
      </c>
      <c r="AA510">
        <v>123</v>
      </c>
      <c r="AD510" s="179"/>
      <c r="AE510" s="179"/>
      <c r="AF510" s="179"/>
      <c r="AG510" s="179"/>
      <c r="AH510" s="179"/>
      <c r="AI510" s="179"/>
      <c r="AJ510" s="179"/>
      <c r="AK510" s="179"/>
      <c r="AL510">
        <v>5</v>
      </c>
      <c r="AM510">
        <v>2023</v>
      </c>
      <c r="AN510" s="180"/>
      <c r="AP510" t="str">
        <f>IF(BD_Bloqueados[[#This Row],[Analista ]]&lt;&gt;"Ana C",MID(BD_Bloqueados[[#This Row],[ID]],3,5),MID(BD_Bloqueados[[#This Row],[ID]],4,5))</f>
        <v>12423</v>
      </c>
      <c r="AQ510">
        <v>129</v>
      </c>
      <c r="AR510">
        <v>2023</v>
      </c>
      <c r="AS510" s="72">
        <v>44927</v>
      </c>
      <c r="AT510" s="72">
        <v>45055</v>
      </c>
      <c r="AU510">
        <v>5</v>
      </c>
    </row>
    <row r="511" spans="1:47">
      <c r="A511" t="s">
        <v>3609</v>
      </c>
      <c r="B511">
        <v>2</v>
      </c>
      <c r="C511" s="72">
        <v>45021</v>
      </c>
      <c r="D511">
        <v>19</v>
      </c>
      <c r="E511" s="173">
        <v>0.4861111111111111</v>
      </c>
      <c r="F511" t="s">
        <v>78</v>
      </c>
      <c r="G511" t="s">
        <v>24</v>
      </c>
      <c r="H511" t="s">
        <v>82</v>
      </c>
      <c r="I511" t="s">
        <v>635</v>
      </c>
      <c r="J511" t="s">
        <v>595</v>
      </c>
      <c r="K511" t="s">
        <v>3610</v>
      </c>
      <c r="L511" t="s">
        <v>108</v>
      </c>
      <c r="M511" t="s">
        <v>1029</v>
      </c>
      <c r="N511">
        <v>967555800</v>
      </c>
      <c r="O511" t="s">
        <v>124</v>
      </c>
      <c r="P511" s="154">
        <v>13001004</v>
      </c>
      <c r="Q511" t="s">
        <v>138</v>
      </c>
      <c r="R511" t="s">
        <v>585</v>
      </c>
      <c r="S511" t="s">
        <v>3611</v>
      </c>
      <c r="T511" t="s">
        <v>3612</v>
      </c>
      <c r="U511" t="s">
        <v>3613</v>
      </c>
      <c r="V511" t="s">
        <v>3614</v>
      </c>
      <c r="W511" t="s">
        <v>101</v>
      </c>
      <c r="X511" t="s">
        <v>102</v>
      </c>
      <c r="Y511" s="229">
        <v>3225</v>
      </c>
      <c r="Z511" s="176">
        <v>0</v>
      </c>
      <c r="AA511">
        <v>124</v>
      </c>
      <c r="AB511" t="s">
        <v>2197</v>
      </c>
      <c r="AC511" t="s">
        <v>2879</v>
      </c>
      <c r="AD511" s="179"/>
      <c r="AE511" s="179" t="s">
        <v>1374</v>
      </c>
      <c r="AF511" s="179">
        <v>0</v>
      </c>
      <c r="AG511" s="179">
        <v>0</v>
      </c>
      <c r="AH511" s="179">
        <v>0</v>
      </c>
      <c r="AI511" s="179">
        <v>0</v>
      </c>
      <c r="AJ511" s="179">
        <v>0</v>
      </c>
      <c r="AK511" s="179">
        <v>0</v>
      </c>
      <c r="AL511">
        <v>5</v>
      </c>
      <c r="AM511">
        <v>2023</v>
      </c>
      <c r="AN511" s="180" t="s">
        <v>1283</v>
      </c>
      <c r="AP511" t="str">
        <f>IF(BD_Bloqueados[[#This Row],[Analista ]]&lt;&gt;"Ana C",MID(BD_Bloqueados[[#This Row],[ID]],3,5),MID(BD_Bloqueados[[#This Row],[ID]],4,5))</f>
        <v>12423</v>
      </c>
      <c r="AQ511">
        <v>248</v>
      </c>
      <c r="AR511">
        <v>2023</v>
      </c>
      <c r="AS511" s="72">
        <v>44927</v>
      </c>
      <c r="AT511" s="72">
        <v>45174</v>
      </c>
      <c r="AU511">
        <v>9</v>
      </c>
    </row>
    <row r="512" spans="1:47">
      <c r="A512" t="s">
        <v>3621</v>
      </c>
      <c r="B512">
        <v>2</v>
      </c>
      <c r="C512" s="72">
        <v>45042</v>
      </c>
      <c r="D512">
        <v>18</v>
      </c>
      <c r="E512" s="173">
        <v>5.2083333333333336E-2</v>
      </c>
      <c r="F512" t="s">
        <v>136</v>
      </c>
      <c r="G512" t="s">
        <v>27</v>
      </c>
      <c r="H512" t="s">
        <v>140</v>
      </c>
      <c r="I512" t="s">
        <v>248</v>
      </c>
      <c r="J512" t="s">
        <v>618</v>
      </c>
      <c r="K512" t="s">
        <v>3622</v>
      </c>
      <c r="L512" t="s">
        <v>77</v>
      </c>
      <c r="M512" t="s">
        <v>742</v>
      </c>
      <c r="N512">
        <v>76006727</v>
      </c>
      <c r="O512" t="s">
        <v>509</v>
      </c>
      <c r="P512" s="154">
        <v>10003596</v>
      </c>
      <c r="Q512" t="s">
        <v>80</v>
      </c>
      <c r="R512" t="s">
        <v>608</v>
      </c>
      <c r="S512" t="s">
        <v>3623</v>
      </c>
      <c r="T512" t="s">
        <v>3624</v>
      </c>
      <c r="U512" t="s">
        <v>3625</v>
      </c>
      <c r="V512" t="s">
        <v>3626</v>
      </c>
      <c r="W512" t="s">
        <v>101</v>
      </c>
      <c r="X512" t="s">
        <v>1518</v>
      </c>
      <c r="Y512" s="229">
        <v>3.94</v>
      </c>
      <c r="Z512" s="176">
        <v>0</v>
      </c>
      <c r="AA512">
        <v>23121101</v>
      </c>
      <c r="AB512" t="s">
        <v>2727</v>
      </c>
      <c r="AC512" t="s">
        <v>39</v>
      </c>
      <c r="AD512" s="179">
        <v>1</v>
      </c>
      <c r="AE512" s="179" t="s">
        <v>1292</v>
      </c>
      <c r="AF512" s="179">
        <v>0</v>
      </c>
      <c r="AG512" s="179">
        <v>0</v>
      </c>
      <c r="AH512" s="179">
        <v>0</v>
      </c>
      <c r="AI512" s="179">
        <v>0</v>
      </c>
      <c r="AJ512" s="179">
        <v>0</v>
      </c>
      <c r="AK512" s="179">
        <v>0</v>
      </c>
      <c r="AL512">
        <v>4</v>
      </c>
      <c r="AM512">
        <v>2023</v>
      </c>
      <c r="AN512" s="180"/>
      <c r="AP512" t="str">
        <f>IF(BD_Bloqueados[[#This Row],[Analista ]]&lt;&gt;"Ana C",MID(BD_Bloqueados[[#This Row],[ID]],3,5),MID(BD_Bloqueados[[#This Row],[ID]],4,5))</f>
        <v>11623</v>
      </c>
      <c r="AQ512">
        <v>186</v>
      </c>
      <c r="AR512">
        <v>2023</v>
      </c>
      <c r="AS512" s="72">
        <v>44927</v>
      </c>
      <c r="AT512" s="72">
        <v>45112</v>
      </c>
      <c r="AU512">
        <v>7</v>
      </c>
    </row>
    <row r="513" spans="1:47">
      <c r="A513" t="s">
        <v>3627</v>
      </c>
      <c r="B513">
        <v>2</v>
      </c>
      <c r="C513" s="72">
        <v>45042</v>
      </c>
      <c r="D513">
        <v>18</v>
      </c>
      <c r="E513" s="173">
        <v>7.6388888888888895E-2</v>
      </c>
      <c r="F513" t="s">
        <v>136</v>
      </c>
      <c r="G513" t="s">
        <v>29</v>
      </c>
      <c r="H513" t="s">
        <v>211</v>
      </c>
      <c r="I513" t="s">
        <v>87</v>
      </c>
      <c r="J513" t="s">
        <v>117</v>
      </c>
      <c r="K513" t="s">
        <v>3628</v>
      </c>
      <c r="L513" t="s">
        <v>108</v>
      </c>
      <c r="M513" t="s">
        <v>1029</v>
      </c>
      <c r="N513">
        <v>967555800</v>
      </c>
      <c r="O513" t="s">
        <v>215</v>
      </c>
      <c r="P513" s="154">
        <v>13030560</v>
      </c>
      <c r="Q513" t="s">
        <v>185</v>
      </c>
      <c r="R513" t="s">
        <v>619</v>
      </c>
      <c r="S513" t="s">
        <v>3629</v>
      </c>
      <c r="T513" t="s">
        <v>3630</v>
      </c>
      <c r="U513" t="s">
        <v>3631</v>
      </c>
      <c r="V513" t="s">
        <v>3632</v>
      </c>
      <c r="W513" t="s">
        <v>101</v>
      </c>
      <c r="X513" t="s">
        <v>156</v>
      </c>
      <c r="Y513" s="229">
        <v>158.4</v>
      </c>
      <c r="Z513" s="176">
        <v>34766.687999999995</v>
      </c>
      <c r="AA513">
        <v>116</v>
      </c>
      <c r="AB513" t="s">
        <v>2769</v>
      </c>
      <c r="AC513" t="s">
        <v>1252</v>
      </c>
      <c r="AD513" s="179">
        <f>0.05*6</f>
        <v>0.30000000000000004</v>
      </c>
      <c r="AE513" s="179" t="s">
        <v>1374</v>
      </c>
      <c r="AF513" s="179">
        <v>0</v>
      </c>
      <c r="AG513" s="179">
        <v>0</v>
      </c>
      <c r="AH513" s="179">
        <v>0</v>
      </c>
      <c r="AI513" s="179">
        <v>65.846000000000004</v>
      </c>
      <c r="AJ513" s="179">
        <v>0</v>
      </c>
      <c r="AK513" s="179">
        <v>0</v>
      </c>
      <c r="AL513">
        <v>4</v>
      </c>
      <c r="AM513">
        <v>2023</v>
      </c>
      <c r="AN513" s="180" t="s">
        <v>3633</v>
      </c>
      <c r="AP513" t="str">
        <f>IF(BD_Bloqueados[[#This Row],[Analista ]]&lt;&gt;"Ana C",MID(BD_Bloqueados[[#This Row],[ID]],3,5),MID(BD_Bloqueados[[#This Row],[ID]],4,5))</f>
        <v>11623</v>
      </c>
      <c r="AQ513">
        <v>124</v>
      </c>
      <c r="AR513">
        <v>2023</v>
      </c>
      <c r="AS513" s="72">
        <v>44927</v>
      </c>
      <c r="AT513" s="72">
        <v>45050</v>
      </c>
      <c r="AU513">
        <v>5</v>
      </c>
    </row>
    <row r="514" spans="1:47">
      <c r="A514" t="s">
        <v>3634</v>
      </c>
      <c r="B514">
        <v>2</v>
      </c>
      <c r="C514" s="72">
        <v>45042</v>
      </c>
      <c r="D514">
        <v>18</v>
      </c>
      <c r="E514" s="173">
        <v>0.40277777777777773</v>
      </c>
      <c r="F514" t="s">
        <v>78</v>
      </c>
      <c r="G514" t="s">
        <v>27</v>
      </c>
      <c r="H514" t="s">
        <v>209</v>
      </c>
      <c r="I514" t="s">
        <v>143</v>
      </c>
      <c r="J514" t="s">
        <v>618</v>
      </c>
      <c r="K514" t="s">
        <v>3635</v>
      </c>
      <c r="L514" t="s">
        <v>108</v>
      </c>
      <c r="M514" t="s">
        <v>1029</v>
      </c>
      <c r="N514">
        <v>967555800</v>
      </c>
      <c r="O514" t="s">
        <v>154</v>
      </c>
      <c r="P514" s="154">
        <v>13030471</v>
      </c>
      <c r="Q514" t="s">
        <v>206</v>
      </c>
      <c r="R514" t="s">
        <v>596</v>
      </c>
      <c r="S514" t="s">
        <v>3636</v>
      </c>
      <c r="T514" t="s">
        <v>3637</v>
      </c>
      <c r="U514" t="s">
        <v>3638</v>
      </c>
      <c r="V514" t="s">
        <v>3639</v>
      </c>
      <c r="W514" t="s">
        <v>101</v>
      </c>
      <c r="X514" t="s">
        <v>156</v>
      </c>
      <c r="Y514" s="229">
        <v>2693</v>
      </c>
      <c r="Z514" s="176">
        <v>37930.904999999999</v>
      </c>
      <c r="AA514">
        <v>116</v>
      </c>
      <c r="AB514" t="s">
        <v>1491</v>
      </c>
      <c r="AC514" t="s">
        <v>1252</v>
      </c>
      <c r="AD514" s="179">
        <v>1</v>
      </c>
      <c r="AE514" s="179" t="s">
        <v>1292</v>
      </c>
      <c r="AF514" s="179">
        <v>0</v>
      </c>
      <c r="AG514" s="179">
        <v>0</v>
      </c>
      <c r="AH514" s="179">
        <v>0</v>
      </c>
      <c r="AI514" s="179">
        <v>14.085000000000001</v>
      </c>
      <c r="AJ514" s="179">
        <v>0</v>
      </c>
      <c r="AK514" s="179">
        <v>0</v>
      </c>
      <c r="AL514">
        <v>4</v>
      </c>
      <c r="AM514">
        <v>2023</v>
      </c>
      <c r="AN514" s="180" t="s">
        <v>1283</v>
      </c>
      <c r="AP514" t="str">
        <f>IF(BD_Bloqueados[[#This Row],[Analista ]]&lt;&gt;"Ana C",MID(BD_Bloqueados[[#This Row],[ID]],3,5),MID(BD_Bloqueados[[#This Row],[ID]],4,5))</f>
        <v>11623</v>
      </c>
      <c r="AQ514">
        <v>124</v>
      </c>
      <c r="AR514">
        <v>2023</v>
      </c>
      <c r="AS514" s="72">
        <v>44927</v>
      </c>
      <c r="AT514" s="72">
        <v>45050</v>
      </c>
      <c r="AU514">
        <v>5</v>
      </c>
    </row>
    <row r="515" spans="1:47">
      <c r="A515" t="s">
        <v>3640</v>
      </c>
      <c r="B515">
        <v>2</v>
      </c>
      <c r="C515" s="72">
        <v>45035</v>
      </c>
      <c r="D515">
        <v>17</v>
      </c>
      <c r="E515" s="173">
        <v>0.53472222222222221</v>
      </c>
      <c r="F515" t="s">
        <v>78</v>
      </c>
      <c r="G515" t="s">
        <v>27</v>
      </c>
      <c r="H515" t="s">
        <v>209</v>
      </c>
      <c r="I515" t="s">
        <v>87</v>
      </c>
      <c r="J515" t="s">
        <v>117</v>
      </c>
      <c r="K515" t="s">
        <v>2234</v>
      </c>
      <c r="L515" t="s">
        <v>108</v>
      </c>
      <c r="M515" t="s">
        <v>1029</v>
      </c>
      <c r="N515">
        <v>967555800</v>
      </c>
      <c r="O515" t="s">
        <v>99</v>
      </c>
      <c r="P515" s="154">
        <v>13001756</v>
      </c>
      <c r="Q515" t="s">
        <v>138</v>
      </c>
      <c r="R515" t="s">
        <v>589</v>
      </c>
      <c r="S515" t="s">
        <v>3641</v>
      </c>
      <c r="T515" t="s">
        <v>3642</v>
      </c>
      <c r="U515" t="s">
        <v>3643</v>
      </c>
      <c r="V515" t="s">
        <v>3644</v>
      </c>
      <c r="W515" t="s">
        <v>101</v>
      </c>
      <c r="X515" t="s">
        <v>156</v>
      </c>
      <c r="Y515" s="229">
        <v>324</v>
      </c>
      <c r="Z515" s="176">
        <v>109761.156</v>
      </c>
      <c r="AA515">
        <v>107</v>
      </c>
      <c r="AB515" t="s">
        <v>3165</v>
      </c>
      <c r="AC515" t="s">
        <v>1252</v>
      </c>
      <c r="AD515" s="179">
        <v>1</v>
      </c>
      <c r="AE515" s="179" t="s">
        <v>1292</v>
      </c>
      <c r="AF515" s="179">
        <v>2.5190000000000001</v>
      </c>
      <c r="AG515" s="179">
        <v>149.767</v>
      </c>
      <c r="AH515" s="179">
        <v>0</v>
      </c>
      <c r="AI515" s="179">
        <v>184.762</v>
      </c>
      <c r="AJ515" s="179">
        <v>1.7210000000000001</v>
      </c>
      <c r="AK515" s="179">
        <v>0</v>
      </c>
      <c r="AL515">
        <v>4</v>
      </c>
      <c r="AM515">
        <v>2023</v>
      </c>
      <c r="AN515" s="180"/>
      <c r="AP515" t="str">
        <f>IF(BD_Bloqueados[[#This Row],[Analista ]]&lt;&gt;"Ana C",MID(BD_Bloqueados[[#This Row],[ID]],3,5),MID(BD_Bloqueados[[#This Row],[ID]],4,5))</f>
        <v>10923</v>
      </c>
      <c r="AQ515">
        <v>124</v>
      </c>
      <c r="AR515">
        <v>2023</v>
      </c>
      <c r="AS515" s="72">
        <v>44927</v>
      </c>
      <c r="AT515" s="72">
        <v>45050</v>
      </c>
      <c r="AU515">
        <v>5</v>
      </c>
    </row>
    <row r="516" spans="1:47">
      <c r="A516" t="s">
        <v>3645</v>
      </c>
      <c r="B516">
        <v>2</v>
      </c>
      <c r="C516" s="72">
        <v>45034</v>
      </c>
      <c r="D516">
        <v>17</v>
      </c>
      <c r="E516" s="173">
        <v>0.91666666666666663</v>
      </c>
      <c r="F516" t="s">
        <v>136</v>
      </c>
      <c r="G516" t="s">
        <v>27</v>
      </c>
      <c r="H516" t="s">
        <v>189</v>
      </c>
      <c r="I516" t="s">
        <v>615</v>
      </c>
      <c r="J516" t="s">
        <v>2681</v>
      </c>
      <c r="K516" t="s">
        <v>2334</v>
      </c>
      <c r="L516" t="s">
        <v>77</v>
      </c>
      <c r="M516" t="s">
        <v>666</v>
      </c>
      <c r="N516">
        <v>76005927</v>
      </c>
      <c r="O516" t="s">
        <v>840</v>
      </c>
      <c r="P516" s="154">
        <v>11001705</v>
      </c>
      <c r="Q516" t="s">
        <v>185</v>
      </c>
      <c r="R516" t="s">
        <v>613</v>
      </c>
      <c r="S516" t="s">
        <v>3646</v>
      </c>
      <c r="T516" t="s">
        <v>3647</v>
      </c>
      <c r="U516" t="s">
        <v>3648</v>
      </c>
      <c r="V516" t="s">
        <v>3649</v>
      </c>
      <c r="W516" t="s">
        <v>101</v>
      </c>
      <c r="X516" t="s">
        <v>1518</v>
      </c>
      <c r="Y516" s="229">
        <v>90.9</v>
      </c>
      <c r="Z516" s="176">
        <v>0</v>
      </c>
      <c r="AA516">
        <v>107582</v>
      </c>
      <c r="AB516" t="s">
        <v>2727</v>
      </c>
      <c r="AC516" t="s">
        <v>39</v>
      </c>
      <c r="AD516" s="179">
        <v>1</v>
      </c>
      <c r="AE516" s="179" t="s">
        <v>1292</v>
      </c>
      <c r="AF516" s="179">
        <v>0</v>
      </c>
      <c r="AG516" s="179">
        <v>0</v>
      </c>
      <c r="AH516" s="179">
        <v>0</v>
      </c>
      <c r="AI516" s="179">
        <v>0</v>
      </c>
      <c r="AJ516" s="179">
        <v>0</v>
      </c>
      <c r="AK516" s="179">
        <v>0</v>
      </c>
      <c r="AL516">
        <v>4</v>
      </c>
      <c r="AM516">
        <v>2023</v>
      </c>
      <c r="AN516" s="180"/>
      <c r="AP516" t="str">
        <f>IF(BD_Bloqueados[[#This Row],[Analista ]]&lt;&gt;"Ana C",MID(BD_Bloqueados[[#This Row],[ID]],3,5),MID(BD_Bloqueados[[#This Row],[ID]],4,5))</f>
        <v>10823</v>
      </c>
      <c r="AQ516">
        <v>5</v>
      </c>
      <c r="AR516">
        <v>2023</v>
      </c>
      <c r="AS516" s="72">
        <v>44927</v>
      </c>
      <c r="AT516" s="72">
        <v>44931</v>
      </c>
      <c r="AU516">
        <v>1</v>
      </c>
    </row>
    <row r="517" spans="1:47">
      <c r="A517" t="s">
        <v>3650</v>
      </c>
      <c r="B517">
        <v>2</v>
      </c>
      <c r="C517" s="72">
        <v>45033</v>
      </c>
      <c r="D517">
        <v>17</v>
      </c>
      <c r="E517" s="173">
        <v>0.51041666666666663</v>
      </c>
      <c r="F517" t="s">
        <v>78</v>
      </c>
      <c r="G517" t="s">
        <v>35</v>
      </c>
      <c r="H517" t="s">
        <v>3651</v>
      </c>
      <c r="I517" t="s">
        <v>87</v>
      </c>
      <c r="J517" t="s">
        <v>3652</v>
      </c>
      <c r="K517" t="s">
        <v>2234</v>
      </c>
      <c r="L517" t="s">
        <v>108</v>
      </c>
      <c r="M517" t="s">
        <v>1029</v>
      </c>
      <c r="N517">
        <v>967555800</v>
      </c>
      <c r="O517" t="s">
        <v>99</v>
      </c>
      <c r="P517" s="154">
        <v>13001756</v>
      </c>
      <c r="Q517" t="s">
        <v>185</v>
      </c>
      <c r="R517" t="s">
        <v>589</v>
      </c>
      <c r="S517" t="s">
        <v>3653</v>
      </c>
      <c r="T517" t="s">
        <v>3654</v>
      </c>
      <c r="U517" t="s">
        <v>3655</v>
      </c>
      <c r="V517" t="s">
        <v>3656</v>
      </c>
      <c r="W517" t="s">
        <v>101</v>
      </c>
      <c r="X517" t="s">
        <v>156</v>
      </c>
      <c r="Y517" s="229">
        <v>343.8</v>
      </c>
      <c r="Z517" s="176">
        <v>116468.7822</v>
      </c>
      <c r="AA517">
        <v>107</v>
      </c>
      <c r="AB517" t="s">
        <v>3165</v>
      </c>
      <c r="AC517" t="s">
        <v>1252</v>
      </c>
      <c r="AD517" s="179">
        <v>1</v>
      </c>
      <c r="AE517" s="179" t="s">
        <v>1292</v>
      </c>
      <c r="AF517" s="179">
        <v>2.5190000000000001</v>
      </c>
      <c r="AG517" s="179">
        <v>149.767</v>
      </c>
      <c r="AH517" s="179">
        <v>0</v>
      </c>
      <c r="AI517" s="179">
        <v>184.762</v>
      </c>
      <c r="AJ517" s="179">
        <v>1.7210000000000001</v>
      </c>
      <c r="AK517" s="179">
        <v>0</v>
      </c>
      <c r="AL517">
        <v>4</v>
      </c>
      <c r="AM517">
        <v>2023</v>
      </c>
      <c r="AN517" s="180" t="s">
        <v>1283</v>
      </c>
      <c r="AP517" t="str">
        <f>IF(BD_Bloqueados[[#This Row],[Analista ]]&lt;&gt;"Ana C",MID(BD_Bloqueados[[#This Row],[ID]],3,5),MID(BD_Bloqueados[[#This Row],[ID]],4,5))</f>
        <v>10723</v>
      </c>
      <c r="AQ517">
        <v>116</v>
      </c>
      <c r="AR517">
        <v>2023</v>
      </c>
      <c r="AS517" s="72">
        <v>44927</v>
      </c>
      <c r="AT517" s="72">
        <v>45042</v>
      </c>
      <c r="AU517">
        <v>4</v>
      </c>
    </row>
    <row r="518" spans="1:47">
      <c r="A518" t="s">
        <v>3657</v>
      </c>
      <c r="B518">
        <v>2</v>
      </c>
      <c r="C518" s="72">
        <v>45033</v>
      </c>
      <c r="D518">
        <v>17</v>
      </c>
      <c r="E518" s="173">
        <v>0.52083333333333337</v>
      </c>
      <c r="F518" t="s">
        <v>78</v>
      </c>
      <c r="G518" t="s">
        <v>27</v>
      </c>
      <c r="H518" t="s">
        <v>189</v>
      </c>
      <c r="I518" t="s">
        <v>87</v>
      </c>
      <c r="J518" t="s">
        <v>117</v>
      </c>
      <c r="K518" t="s">
        <v>3658</v>
      </c>
      <c r="L518" t="s">
        <v>108</v>
      </c>
      <c r="M518" t="s">
        <v>1029</v>
      </c>
      <c r="N518">
        <v>967555800</v>
      </c>
      <c r="O518" t="s">
        <v>217</v>
      </c>
      <c r="P518" s="154">
        <v>13030104</v>
      </c>
      <c r="Q518" t="s">
        <v>138</v>
      </c>
      <c r="R518" t="s">
        <v>589</v>
      </c>
      <c r="S518" t="s">
        <v>3659</v>
      </c>
      <c r="T518" t="s">
        <v>3660</v>
      </c>
      <c r="U518" t="s">
        <v>3661</v>
      </c>
      <c r="V518" t="s">
        <v>3662</v>
      </c>
      <c r="W518" t="s">
        <v>101</v>
      </c>
      <c r="X518" t="s">
        <v>156</v>
      </c>
      <c r="Y518" s="229">
        <v>478.4</v>
      </c>
      <c r="Z518" s="176">
        <v>360851.91999999993</v>
      </c>
      <c r="AA518">
        <v>107</v>
      </c>
      <c r="AB518" t="s">
        <v>1290</v>
      </c>
      <c r="AC518" t="s">
        <v>1252</v>
      </c>
      <c r="AD518" s="179">
        <v>0.46</v>
      </c>
      <c r="AE518" s="179" t="s">
        <v>1374</v>
      </c>
      <c r="AF518" s="180">
        <v>18.451000000000001</v>
      </c>
      <c r="AG518" s="180">
        <v>207.39</v>
      </c>
      <c r="AH518" s="180">
        <v>0</v>
      </c>
      <c r="AI518" s="180">
        <v>110.358</v>
      </c>
      <c r="AJ518" s="180">
        <v>10.773999999999999</v>
      </c>
      <c r="AK518" s="180">
        <v>0</v>
      </c>
      <c r="AL518">
        <v>4</v>
      </c>
      <c r="AM518">
        <v>2023</v>
      </c>
      <c r="AN518" s="180" t="s">
        <v>3277</v>
      </c>
      <c r="AP518" t="str">
        <f>IF(BD_Bloqueados[[#This Row],[Analista ]]&lt;&gt;"Ana C",MID(BD_Bloqueados[[#This Row],[ID]],3,5),MID(BD_Bloqueados[[#This Row],[ID]],4,5))</f>
        <v>10723</v>
      </c>
      <c r="AQ518">
        <v>116</v>
      </c>
      <c r="AR518">
        <v>2023</v>
      </c>
      <c r="AS518" s="72">
        <v>44927</v>
      </c>
      <c r="AT518" s="72">
        <v>45042</v>
      </c>
      <c r="AU518">
        <v>4</v>
      </c>
    </row>
    <row r="519" spans="1:47">
      <c r="A519" t="s">
        <v>3663</v>
      </c>
      <c r="B519">
        <v>2</v>
      </c>
      <c r="C519" s="72">
        <v>45031</v>
      </c>
      <c r="D519">
        <v>16</v>
      </c>
      <c r="E519" s="173">
        <v>0.24236111111111111</v>
      </c>
      <c r="F519" t="s">
        <v>136</v>
      </c>
      <c r="G519" t="s">
        <v>29</v>
      </c>
      <c r="H519" t="s">
        <v>165</v>
      </c>
      <c r="I519" t="s">
        <v>635</v>
      </c>
      <c r="J519" t="s">
        <v>2681</v>
      </c>
      <c r="K519" t="s">
        <v>3664</v>
      </c>
      <c r="L519" t="s">
        <v>108</v>
      </c>
      <c r="M519" t="s">
        <v>1029</v>
      </c>
      <c r="N519">
        <v>967555800</v>
      </c>
      <c r="O519" t="s">
        <v>193</v>
      </c>
      <c r="P519" s="154">
        <v>13030558</v>
      </c>
      <c r="Q519" t="s">
        <v>185</v>
      </c>
      <c r="R519" t="s">
        <v>600</v>
      </c>
      <c r="S519" t="s">
        <v>3665</v>
      </c>
      <c r="T519" t="s">
        <v>3666</v>
      </c>
      <c r="U519" t="s">
        <v>3667</v>
      </c>
      <c r="V519" t="s">
        <v>3668</v>
      </c>
      <c r="W519" t="s">
        <v>101</v>
      </c>
      <c r="X519" t="s">
        <v>156</v>
      </c>
      <c r="Y519" s="231">
        <v>464.4</v>
      </c>
      <c r="Z519" s="176">
        <v>86968.575000000012</v>
      </c>
      <c r="AA519">
        <v>105</v>
      </c>
      <c r="AB519" t="s">
        <v>3669</v>
      </c>
      <c r="AC519" t="s">
        <v>1252</v>
      </c>
      <c r="AD519" s="179">
        <f>0.048*9</f>
        <v>0.432</v>
      </c>
      <c r="AE519" s="179" t="s">
        <v>1374</v>
      </c>
      <c r="AF519" s="179">
        <v>0</v>
      </c>
      <c r="AG519" s="179">
        <v>15.055</v>
      </c>
      <c r="AH519" s="179">
        <v>0</v>
      </c>
      <c r="AI519" s="179">
        <v>65.846000000000004</v>
      </c>
      <c r="AJ519" s="179">
        <v>0</v>
      </c>
      <c r="AK519" s="179">
        <v>0</v>
      </c>
      <c r="AL519">
        <v>4</v>
      </c>
      <c r="AM519">
        <v>2023</v>
      </c>
      <c r="AN519" s="180"/>
      <c r="AP519" t="str">
        <f>IF(BD_Bloqueados[[#This Row],[Analista ]]&lt;&gt;"Ana C",MID(BD_Bloqueados[[#This Row],[ID]],3,5),MID(BD_Bloqueados[[#This Row],[ID]],4,5))</f>
        <v>10523</v>
      </c>
      <c r="AQ519">
        <v>116</v>
      </c>
      <c r="AR519">
        <v>2023</v>
      </c>
      <c r="AS519" s="72">
        <v>44927</v>
      </c>
      <c r="AT519" s="72">
        <v>45042</v>
      </c>
      <c r="AU519">
        <v>4</v>
      </c>
    </row>
    <row r="520" spans="1:47">
      <c r="A520" t="s">
        <v>3670</v>
      </c>
      <c r="B520">
        <v>2</v>
      </c>
      <c r="C520" s="72">
        <v>45031</v>
      </c>
      <c r="D520">
        <v>16</v>
      </c>
      <c r="E520" s="173">
        <v>0.4236111111111111</v>
      </c>
      <c r="F520" t="s">
        <v>78</v>
      </c>
      <c r="G520" t="s">
        <v>31</v>
      </c>
      <c r="H520" t="s">
        <v>84</v>
      </c>
      <c r="I520" t="s">
        <v>87</v>
      </c>
      <c r="J520" t="s">
        <v>169</v>
      </c>
      <c r="K520" t="s">
        <v>3671</v>
      </c>
      <c r="L520" t="s">
        <v>108</v>
      </c>
      <c r="M520" t="s">
        <v>1029</v>
      </c>
      <c r="N520">
        <v>967555800</v>
      </c>
      <c r="O520" t="s">
        <v>200</v>
      </c>
      <c r="P520" s="154">
        <v>13030428</v>
      </c>
      <c r="Q520" t="s">
        <v>185</v>
      </c>
      <c r="R520" t="s">
        <v>589</v>
      </c>
      <c r="S520" t="s">
        <v>3672</v>
      </c>
      <c r="T520" t="s">
        <v>3673</v>
      </c>
      <c r="U520" t="s">
        <v>3674</v>
      </c>
      <c r="V520" t="s">
        <v>3675</v>
      </c>
      <c r="W520" t="s">
        <v>101</v>
      </c>
      <c r="X520" t="s">
        <v>156</v>
      </c>
      <c r="Y520" s="229">
        <v>475.2</v>
      </c>
      <c r="Z520" s="176">
        <v>147316.27679999996</v>
      </c>
      <c r="AA520">
        <v>103</v>
      </c>
      <c r="AB520" t="s">
        <v>3165</v>
      </c>
      <c r="AC520" t="s">
        <v>1252</v>
      </c>
      <c r="AD520" s="179">
        <v>1</v>
      </c>
      <c r="AE520" s="179" t="s">
        <v>1292</v>
      </c>
      <c r="AF520" s="179">
        <v>2.766</v>
      </c>
      <c r="AG520" s="179">
        <v>141.50299999999999</v>
      </c>
      <c r="AH520" s="179">
        <v>0</v>
      </c>
      <c r="AI520" s="179">
        <v>164.53299999999999</v>
      </c>
      <c r="AJ520" s="179">
        <v>1.2070000000000001</v>
      </c>
      <c r="AK520" s="179">
        <v>0</v>
      </c>
      <c r="AL520">
        <v>4</v>
      </c>
      <c r="AM520">
        <v>2023</v>
      </c>
      <c r="AN520" s="180" t="s">
        <v>1283</v>
      </c>
      <c r="AP520" t="str">
        <f>IF(BD_Bloqueados[[#This Row],[Analista ]]&lt;&gt;"Ana C",MID(BD_Bloqueados[[#This Row],[ID]],3,5),MID(BD_Bloqueados[[#This Row],[ID]],4,5))</f>
        <v>10523</v>
      </c>
      <c r="AQ520">
        <v>109</v>
      </c>
      <c r="AR520">
        <v>2023</v>
      </c>
      <c r="AS520" s="72">
        <v>44927</v>
      </c>
      <c r="AT520" s="72">
        <v>45035</v>
      </c>
      <c r="AU520">
        <v>4</v>
      </c>
    </row>
    <row r="521" spans="1:47">
      <c r="A521" t="s">
        <v>3676</v>
      </c>
      <c r="B521">
        <v>2</v>
      </c>
      <c r="C521" s="72">
        <v>45030</v>
      </c>
      <c r="D521">
        <v>16</v>
      </c>
      <c r="E521" s="173">
        <v>0.40347222222222223</v>
      </c>
      <c r="F521" t="s">
        <v>78</v>
      </c>
      <c r="G521" t="s">
        <v>31</v>
      </c>
      <c r="H521" t="s">
        <v>84</v>
      </c>
      <c r="I521" t="s">
        <v>621</v>
      </c>
      <c r="J521" t="s">
        <v>591</v>
      </c>
      <c r="K521" t="s">
        <v>1285</v>
      </c>
      <c r="L521" t="s">
        <v>108</v>
      </c>
      <c r="M521" t="s">
        <v>1029</v>
      </c>
      <c r="N521">
        <v>967555800</v>
      </c>
      <c r="O521" t="s">
        <v>200</v>
      </c>
      <c r="P521" s="154">
        <v>13030428</v>
      </c>
      <c r="Q521" t="s">
        <v>138</v>
      </c>
      <c r="R521" t="s">
        <v>589</v>
      </c>
      <c r="S521" t="s">
        <v>3677</v>
      </c>
      <c r="T521" t="s">
        <v>3678</v>
      </c>
      <c r="U521" t="s">
        <v>3679</v>
      </c>
      <c r="V521" t="s">
        <v>3680</v>
      </c>
      <c r="W521" t="s">
        <v>101</v>
      </c>
      <c r="X521" t="s">
        <v>156</v>
      </c>
      <c r="Y521" s="229">
        <v>316.8</v>
      </c>
      <c r="Z521" s="176">
        <v>98210.85119999999</v>
      </c>
      <c r="AA521" t="s">
        <v>3681</v>
      </c>
      <c r="AB521" t="s">
        <v>1290</v>
      </c>
      <c r="AC521" t="s">
        <v>1252</v>
      </c>
      <c r="AD521" s="179">
        <v>1</v>
      </c>
      <c r="AE521" s="179" t="s">
        <v>1292</v>
      </c>
      <c r="AF521" s="179">
        <v>2.766</v>
      </c>
      <c r="AG521" s="179">
        <v>141.50299999999999</v>
      </c>
      <c r="AH521" s="179">
        <v>0</v>
      </c>
      <c r="AI521" s="179">
        <v>164.53299999999999</v>
      </c>
      <c r="AJ521" s="179">
        <v>1.2070000000000001</v>
      </c>
      <c r="AK521" s="179">
        <v>0</v>
      </c>
      <c r="AL521">
        <v>4</v>
      </c>
      <c r="AM521">
        <v>2023</v>
      </c>
      <c r="AN521" s="180" t="s">
        <v>2158</v>
      </c>
      <c r="AP521" t="str">
        <f>IF(BD_Bloqueados[[#This Row],[Analista ]]&lt;&gt;"Ana C",MID(BD_Bloqueados[[#This Row],[ID]],3,5),MID(BD_Bloqueados[[#This Row],[ID]],4,5))</f>
        <v>10423</v>
      </c>
      <c r="AQ521">
        <v>108</v>
      </c>
      <c r="AR521">
        <v>2023</v>
      </c>
      <c r="AS521" s="72">
        <v>44927</v>
      </c>
      <c r="AT521" s="72">
        <v>45034</v>
      </c>
      <c r="AU521">
        <v>4</v>
      </c>
    </row>
    <row r="522" spans="1:47">
      <c r="A522" t="s">
        <v>3682</v>
      </c>
      <c r="B522">
        <v>2</v>
      </c>
      <c r="C522" s="72">
        <v>45030</v>
      </c>
      <c r="D522">
        <v>16</v>
      </c>
      <c r="E522" s="173">
        <v>0.39583333333333331</v>
      </c>
      <c r="F522" t="s">
        <v>78</v>
      </c>
      <c r="G522" t="s">
        <v>23</v>
      </c>
      <c r="H522" t="s">
        <v>164</v>
      </c>
      <c r="I522" t="s">
        <v>615</v>
      </c>
      <c r="J522" t="s">
        <v>169</v>
      </c>
      <c r="K522" t="s">
        <v>3123</v>
      </c>
      <c r="L522" t="s">
        <v>108</v>
      </c>
      <c r="M522" t="s">
        <v>1029</v>
      </c>
      <c r="N522">
        <v>967555800</v>
      </c>
      <c r="O522" t="s">
        <v>122</v>
      </c>
      <c r="P522" s="154">
        <v>12001446</v>
      </c>
      <c r="Q522" t="s">
        <v>185</v>
      </c>
      <c r="R522" t="s">
        <v>596</v>
      </c>
      <c r="S522" t="s">
        <v>3683</v>
      </c>
      <c r="T522" t="s">
        <v>3684</v>
      </c>
      <c r="U522" t="s">
        <v>3685</v>
      </c>
      <c r="V522" t="s">
        <v>3686</v>
      </c>
      <c r="W522" t="s">
        <v>101</v>
      </c>
      <c r="X522" t="s">
        <v>102</v>
      </c>
      <c r="Y522" s="229">
        <v>422.4</v>
      </c>
      <c r="Z522" s="176">
        <v>0</v>
      </c>
      <c r="AA522">
        <v>104</v>
      </c>
      <c r="AB522" t="s">
        <v>3027</v>
      </c>
      <c r="AC522" t="s">
        <v>1252</v>
      </c>
      <c r="AD522" s="179">
        <v>1</v>
      </c>
      <c r="AE522" s="179" t="s">
        <v>1292</v>
      </c>
      <c r="AF522" s="179">
        <v>0</v>
      </c>
      <c r="AG522" s="179">
        <v>0</v>
      </c>
      <c r="AH522" s="179">
        <v>0</v>
      </c>
      <c r="AI522" s="179">
        <v>0</v>
      </c>
      <c r="AJ522" s="179">
        <v>0</v>
      </c>
      <c r="AK522" s="179">
        <v>0</v>
      </c>
      <c r="AL522">
        <v>4</v>
      </c>
      <c r="AM522">
        <v>2023</v>
      </c>
      <c r="AN522" s="180" t="s">
        <v>1283</v>
      </c>
      <c r="AP522" t="str">
        <f>IF(BD_Bloqueados[[#This Row],[Analista ]]&lt;&gt;"Ana C",MID(BD_Bloqueados[[#This Row],[ID]],3,5),MID(BD_Bloqueados[[#This Row],[ID]],4,5))</f>
        <v>10423</v>
      </c>
      <c r="AQ522">
        <v>107</v>
      </c>
      <c r="AR522">
        <v>2023</v>
      </c>
      <c r="AS522" s="72">
        <v>44927</v>
      </c>
      <c r="AT522" s="72">
        <v>45033</v>
      </c>
      <c r="AU522">
        <v>4</v>
      </c>
    </row>
    <row r="523" spans="1:47">
      <c r="A523" t="s">
        <v>3687</v>
      </c>
      <c r="B523">
        <v>2</v>
      </c>
      <c r="C523" s="72">
        <v>45029</v>
      </c>
      <c r="D523">
        <v>16</v>
      </c>
      <c r="E523" s="173">
        <v>0.25</v>
      </c>
      <c r="F523" t="s">
        <v>136</v>
      </c>
      <c r="G523" t="s">
        <v>31</v>
      </c>
      <c r="H523" t="s">
        <v>114</v>
      </c>
      <c r="I523" t="s">
        <v>635</v>
      </c>
      <c r="J523" t="s">
        <v>1783</v>
      </c>
      <c r="K523" t="s">
        <v>2124</v>
      </c>
      <c r="L523" t="s">
        <v>108</v>
      </c>
      <c r="M523" t="s">
        <v>1029</v>
      </c>
      <c r="N523">
        <v>967555800</v>
      </c>
      <c r="O523" t="s">
        <v>97</v>
      </c>
      <c r="P523" s="154">
        <v>13030492</v>
      </c>
      <c r="Q523" t="s">
        <v>80</v>
      </c>
      <c r="R523" t="s">
        <v>589</v>
      </c>
      <c r="S523" t="s">
        <v>3688</v>
      </c>
      <c r="T523" t="s">
        <v>3689</v>
      </c>
      <c r="U523" t="s">
        <v>3690</v>
      </c>
      <c r="V523" t="s">
        <v>3691</v>
      </c>
      <c r="W523" t="s">
        <v>101</v>
      </c>
      <c r="X523" t="s">
        <v>156</v>
      </c>
      <c r="Y523" s="229">
        <v>1584</v>
      </c>
      <c r="Z523" s="176">
        <v>417160.65600000008</v>
      </c>
      <c r="AA523">
        <v>102</v>
      </c>
      <c r="AB523" t="s">
        <v>1491</v>
      </c>
      <c r="AC523" t="s">
        <v>1252</v>
      </c>
      <c r="AD523" s="179">
        <v>1</v>
      </c>
      <c r="AE523" s="179" t="s">
        <v>1292</v>
      </c>
      <c r="AF523" s="179">
        <v>0</v>
      </c>
      <c r="AG523" s="179">
        <v>4.3120000000000003</v>
      </c>
      <c r="AH523" s="179">
        <v>0</v>
      </c>
      <c r="AI523" s="179">
        <v>259.04700000000003</v>
      </c>
      <c r="AJ523" s="179">
        <v>0</v>
      </c>
      <c r="AK523" s="179">
        <v>0</v>
      </c>
      <c r="AL523">
        <v>4</v>
      </c>
      <c r="AM523">
        <v>2023</v>
      </c>
      <c r="AN523" s="180" t="s">
        <v>1283</v>
      </c>
      <c r="AP523" t="str">
        <f>IF(BD_Bloqueados[[#This Row],[Analista ]]&lt;&gt;"Ana C",MID(BD_Bloqueados[[#This Row],[ID]],3,5),MID(BD_Bloqueados[[#This Row],[ID]],4,5))</f>
        <v>10323</v>
      </c>
      <c r="AQ523">
        <v>107</v>
      </c>
      <c r="AR523">
        <v>2023</v>
      </c>
      <c r="AS523" s="72">
        <v>44927</v>
      </c>
      <c r="AT523" s="72">
        <v>45033</v>
      </c>
      <c r="AU523">
        <v>4</v>
      </c>
    </row>
    <row r="524" spans="1:47" s="152" customFormat="1">
      <c r="A524" t="s">
        <v>2876</v>
      </c>
      <c r="B524">
        <v>2</v>
      </c>
      <c r="C524" s="72">
        <v>45264</v>
      </c>
      <c r="D524">
        <v>16</v>
      </c>
      <c r="E524" s="173">
        <v>0.23958333333333334</v>
      </c>
      <c r="F524" t="s">
        <v>136</v>
      </c>
      <c r="G524" t="s">
        <v>25</v>
      </c>
      <c r="H524" t="s">
        <v>112</v>
      </c>
      <c r="I524" t="s">
        <v>635</v>
      </c>
      <c r="J524" t="s">
        <v>1783</v>
      </c>
      <c r="K524" t="s">
        <v>2877</v>
      </c>
      <c r="L524" t="s">
        <v>108</v>
      </c>
      <c r="M524" t="s">
        <v>1029</v>
      </c>
      <c r="N524">
        <v>967555800</v>
      </c>
      <c r="O524" t="s">
        <v>332</v>
      </c>
      <c r="P524" s="154">
        <v>12001408</v>
      </c>
      <c r="Q524" t="s">
        <v>138</v>
      </c>
      <c r="R524" t="s">
        <v>589</v>
      </c>
      <c r="S524" t="s">
        <v>2878</v>
      </c>
      <c r="T524" t="s">
        <v>2879</v>
      </c>
      <c r="U524" t="s">
        <v>2880</v>
      </c>
      <c r="V524" t="s">
        <v>2881</v>
      </c>
      <c r="W524" t="s">
        <v>101</v>
      </c>
      <c r="X524" t="s">
        <v>102</v>
      </c>
      <c r="Y524" s="229">
        <v>9450</v>
      </c>
      <c r="Z524" s="176">
        <v>0</v>
      </c>
      <c r="AA524">
        <v>102</v>
      </c>
      <c r="AB524" s="182" t="s">
        <v>1512</v>
      </c>
      <c r="AC524" s="183" t="s">
        <v>1252</v>
      </c>
      <c r="AD524" s="180">
        <v>1</v>
      </c>
      <c r="AE524" s="180" t="s">
        <v>1292</v>
      </c>
      <c r="AF524" s="180">
        <v>0</v>
      </c>
      <c r="AG524" s="180">
        <v>0</v>
      </c>
      <c r="AH524" s="180">
        <v>0</v>
      </c>
      <c r="AI524" s="180">
        <v>0</v>
      </c>
      <c r="AJ524" s="180">
        <v>0</v>
      </c>
      <c r="AK524" s="180">
        <v>0</v>
      </c>
      <c r="AL524">
        <v>4</v>
      </c>
      <c r="AM524">
        <v>2023</v>
      </c>
      <c r="AN524" s="180" t="s">
        <v>1283</v>
      </c>
      <c r="AP524" t="str">
        <f>IF(BD_Bloqueados[[#This Row],[Analista ]]&lt;&gt;"Ana C",MID(BD_Bloqueados[[#This Row],[ID]],3,5),MID(BD_Bloqueados[[#This Row],[ID]],4,5))</f>
        <v>10223</v>
      </c>
      <c r="AQ524">
        <v>105</v>
      </c>
      <c r="AR524">
        <v>2023</v>
      </c>
      <c r="AS524" s="72">
        <v>44927</v>
      </c>
      <c r="AT524" s="72">
        <v>45031</v>
      </c>
      <c r="AU524">
        <v>4</v>
      </c>
    </row>
    <row r="525" spans="1:47">
      <c r="A525" t="s">
        <v>2882</v>
      </c>
      <c r="B525">
        <v>2</v>
      </c>
      <c r="C525" s="72">
        <v>45264</v>
      </c>
      <c r="D525">
        <v>16</v>
      </c>
      <c r="E525" s="173">
        <v>0.70833333333333337</v>
      </c>
      <c r="F525" t="s">
        <v>109</v>
      </c>
      <c r="G525" t="s">
        <v>23</v>
      </c>
      <c r="H525" t="s">
        <v>164</v>
      </c>
      <c r="I525" t="s">
        <v>143</v>
      </c>
      <c r="J525" t="s">
        <v>595</v>
      </c>
      <c r="K525" t="s">
        <v>1306</v>
      </c>
      <c r="L525" t="s">
        <v>108</v>
      </c>
      <c r="M525" t="s">
        <v>1029</v>
      </c>
      <c r="N525">
        <v>967555800</v>
      </c>
      <c r="O525" s="39" t="s">
        <v>94</v>
      </c>
      <c r="P525" s="154">
        <v>12001397</v>
      </c>
      <c r="Q525" t="s">
        <v>138</v>
      </c>
      <c r="R525" t="s">
        <v>589</v>
      </c>
      <c r="S525" t="s">
        <v>2883</v>
      </c>
      <c r="T525" t="s">
        <v>2884</v>
      </c>
      <c r="U525" t="s">
        <v>2885</v>
      </c>
      <c r="V525" t="s">
        <v>2886</v>
      </c>
      <c r="W525" t="s">
        <v>101</v>
      </c>
      <c r="X525" t="s">
        <v>102</v>
      </c>
      <c r="Y525" s="231"/>
      <c r="Z525" s="176">
        <v>0</v>
      </c>
      <c r="AA525">
        <v>102</v>
      </c>
      <c r="AB525" t="s">
        <v>1356</v>
      </c>
      <c r="AC525" t="s">
        <v>1349</v>
      </c>
      <c r="AD525" s="179">
        <v>1</v>
      </c>
      <c r="AE525" s="179" t="s">
        <v>1292</v>
      </c>
      <c r="AF525" s="179">
        <v>0</v>
      </c>
      <c r="AG525" s="179">
        <v>0</v>
      </c>
      <c r="AH525" s="179">
        <v>0</v>
      </c>
      <c r="AI525" s="179">
        <v>0</v>
      </c>
      <c r="AJ525" s="179">
        <v>0</v>
      </c>
      <c r="AK525" s="179">
        <v>0</v>
      </c>
      <c r="AL525">
        <v>4</v>
      </c>
      <c r="AM525">
        <v>2023</v>
      </c>
      <c r="AN525" s="180"/>
      <c r="AP525" t="str">
        <f>IF(BD_Bloqueados[[#This Row],[Analista ]]&lt;&gt;"Ana C",MID(BD_Bloqueados[[#This Row],[ID]],3,5),MID(BD_Bloqueados[[#This Row],[ID]],4,5))</f>
        <v>10223</v>
      </c>
      <c r="AQ525">
        <v>105</v>
      </c>
      <c r="AR525">
        <v>2023</v>
      </c>
      <c r="AS525" s="72">
        <v>44927</v>
      </c>
      <c r="AT525" s="72">
        <v>45031</v>
      </c>
      <c r="AU525">
        <v>4</v>
      </c>
    </row>
    <row r="526" spans="1:47">
      <c r="A526" t="s">
        <v>3034</v>
      </c>
      <c r="B526">
        <v>2</v>
      </c>
      <c r="C526" s="72">
        <v>45234</v>
      </c>
      <c r="D526">
        <v>16</v>
      </c>
      <c r="E526" s="173">
        <v>3.4722222222222224E-2</v>
      </c>
      <c r="F526" t="s">
        <v>136</v>
      </c>
      <c r="G526" t="s">
        <v>634</v>
      </c>
      <c r="H526" t="s">
        <v>713</v>
      </c>
      <c r="I526" t="s">
        <v>635</v>
      </c>
      <c r="J526" t="s">
        <v>268</v>
      </c>
      <c r="K526" t="s">
        <v>1569</v>
      </c>
      <c r="L526" t="s">
        <v>77</v>
      </c>
      <c r="M526" t="s">
        <v>661</v>
      </c>
      <c r="N526">
        <v>76097645</v>
      </c>
      <c r="O526" t="s">
        <v>494</v>
      </c>
      <c r="P526" s="154">
        <v>10000294</v>
      </c>
      <c r="Q526" t="s">
        <v>138</v>
      </c>
      <c r="R526" t="s">
        <v>79</v>
      </c>
      <c r="S526" t="s">
        <v>3035</v>
      </c>
      <c r="T526" t="s">
        <v>3036</v>
      </c>
      <c r="U526" t="s">
        <v>3037</v>
      </c>
      <c r="V526" t="s">
        <v>3038</v>
      </c>
      <c r="W526" t="s">
        <v>101</v>
      </c>
      <c r="X526" t="s">
        <v>1518</v>
      </c>
      <c r="Y526" s="229">
        <v>62</v>
      </c>
      <c r="Z526" s="176">
        <v>0</v>
      </c>
      <c r="AA526">
        <v>93051423</v>
      </c>
      <c r="AB526" t="s">
        <v>2727</v>
      </c>
      <c r="AC526" t="s">
        <v>39</v>
      </c>
      <c r="AD526" s="180">
        <v>1</v>
      </c>
      <c r="AE526" s="180" t="s">
        <v>1292</v>
      </c>
      <c r="AF526" s="180">
        <v>0</v>
      </c>
      <c r="AG526" s="180">
        <v>0</v>
      </c>
      <c r="AH526" s="180">
        <v>0</v>
      </c>
      <c r="AI526" s="180">
        <v>0</v>
      </c>
      <c r="AJ526" s="180">
        <v>0</v>
      </c>
      <c r="AK526" s="180">
        <v>0</v>
      </c>
      <c r="AL526">
        <v>4</v>
      </c>
      <c r="AM526">
        <v>2023</v>
      </c>
      <c r="AN526" s="180"/>
      <c r="AP526" t="str">
        <f>IF(BD_Bloqueados[[#This Row],[Analista ]]&lt;&gt;"Ana C",MID(BD_Bloqueados[[#This Row],[ID]],3,5),MID(BD_Bloqueados[[#This Row],[ID]],4,5))</f>
        <v>10123</v>
      </c>
      <c r="AQ526">
        <v>104</v>
      </c>
      <c r="AR526">
        <v>2023</v>
      </c>
      <c r="AS526" s="72">
        <v>44927</v>
      </c>
      <c r="AT526" s="72">
        <v>45030</v>
      </c>
      <c r="AU526">
        <v>4</v>
      </c>
    </row>
    <row r="527" spans="1:47">
      <c r="A527" t="s">
        <v>3039</v>
      </c>
      <c r="B527">
        <v>2</v>
      </c>
      <c r="C527" s="72">
        <v>45234</v>
      </c>
      <c r="D527">
        <v>16</v>
      </c>
      <c r="E527" s="173">
        <v>0.97916666666666663</v>
      </c>
      <c r="F527" t="s">
        <v>136</v>
      </c>
      <c r="G527" t="s">
        <v>27</v>
      </c>
      <c r="H527" t="s">
        <v>189</v>
      </c>
      <c r="I527" t="s">
        <v>635</v>
      </c>
      <c r="J527" t="s">
        <v>2681</v>
      </c>
      <c r="K527" t="s">
        <v>3040</v>
      </c>
      <c r="L527" t="s">
        <v>108</v>
      </c>
      <c r="M527" t="s">
        <v>1029</v>
      </c>
      <c r="N527">
        <v>967555800</v>
      </c>
      <c r="O527" t="s">
        <v>771</v>
      </c>
      <c r="P527" s="154">
        <v>13030094</v>
      </c>
      <c r="Q527" t="s">
        <v>138</v>
      </c>
      <c r="R527" t="s">
        <v>589</v>
      </c>
      <c r="S527" t="s">
        <v>3041</v>
      </c>
      <c r="T527" t="s">
        <v>3042</v>
      </c>
      <c r="U527" t="s">
        <v>3043</v>
      </c>
      <c r="V527" t="s">
        <v>3044</v>
      </c>
      <c r="W527" t="s">
        <v>101</v>
      </c>
      <c r="X527" t="s">
        <v>156</v>
      </c>
      <c r="Y527" s="229">
        <v>52.25</v>
      </c>
      <c r="Z527" s="176">
        <v>34587.189999999995</v>
      </c>
      <c r="AA527">
        <v>100</v>
      </c>
      <c r="AB527" t="s">
        <v>1290</v>
      </c>
      <c r="AC527" t="s">
        <v>1252</v>
      </c>
      <c r="AD527" s="180">
        <v>0.47499999999999998</v>
      </c>
      <c r="AE527" s="180" t="s">
        <v>1374</v>
      </c>
      <c r="AF527" s="180">
        <v>29.268999999999998</v>
      </c>
      <c r="AG527" s="180">
        <v>221.14099999999999</v>
      </c>
      <c r="AH527" s="180">
        <v>0</v>
      </c>
      <c r="AI527" s="180">
        <v>59.389000000000003</v>
      </c>
      <c r="AJ527" s="180">
        <v>4.63</v>
      </c>
      <c r="AK527" s="180">
        <v>0</v>
      </c>
      <c r="AL527">
        <v>4</v>
      </c>
      <c r="AM527">
        <v>2023</v>
      </c>
      <c r="AN527" s="180" t="s">
        <v>1611</v>
      </c>
      <c r="AP527" t="str">
        <f>IF(BD_Bloqueados[[#This Row],[Analista ]]&lt;&gt;"Ana C",MID(BD_Bloqueados[[#This Row],[ID]],3,5),MID(BD_Bloqueados[[#This Row],[ID]],4,5))</f>
        <v>10123</v>
      </c>
      <c r="AQ527">
        <v>104</v>
      </c>
      <c r="AR527">
        <v>2023</v>
      </c>
      <c r="AS527" s="72">
        <v>44927</v>
      </c>
      <c r="AT527" s="72">
        <v>45030</v>
      </c>
      <c r="AU527">
        <v>4</v>
      </c>
    </row>
    <row r="528" spans="1:47">
      <c r="A528" t="s">
        <v>3160</v>
      </c>
      <c r="B528">
        <v>2</v>
      </c>
      <c r="C528" s="72">
        <v>45203</v>
      </c>
      <c r="D528">
        <v>16</v>
      </c>
      <c r="E528" s="173">
        <v>0.47013888888888888</v>
      </c>
      <c r="F528" t="s">
        <v>78</v>
      </c>
      <c r="G528" t="s">
        <v>27</v>
      </c>
      <c r="H528" t="s">
        <v>189</v>
      </c>
      <c r="I528" t="s">
        <v>87</v>
      </c>
      <c r="J528" t="s">
        <v>2681</v>
      </c>
      <c r="K528" t="s">
        <v>2334</v>
      </c>
      <c r="L528" t="s">
        <v>108</v>
      </c>
      <c r="M528" t="s">
        <v>1029</v>
      </c>
      <c r="N528">
        <v>967555800</v>
      </c>
      <c r="O528" t="s">
        <v>217</v>
      </c>
      <c r="P528" s="154">
        <v>13030104</v>
      </c>
      <c r="Q528" t="s">
        <v>138</v>
      </c>
      <c r="R528" t="s">
        <v>589</v>
      </c>
      <c r="S528" t="s">
        <v>3161</v>
      </c>
      <c r="T528" t="s">
        <v>3162</v>
      </c>
      <c r="U528" t="s">
        <v>3163</v>
      </c>
      <c r="V528" t="s">
        <v>3164</v>
      </c>
      <c r="W528" t="s">
        <v>101</v>
      </c>
      <c r="X528" t="s">
        <v>156</v>
      </c>
      <c r="Y528" s="229">
        <v>322</v>
      </c>
      <c r="Z528" s="176">
        <v>242881.09999999998</v>
      </c>
      <c r="AA528">
        <v>100</v>
      </c>
      <c r="AB528" t="s">
        <v>3165</v>
      </c>
      <c r="AC528" t="s">
        <v>1252</v>
      </c>
      <c r="AD528" s="180">
        <v>0.46</v>
      </c>
      <c r="AE528" s="180" t="s">
        <v>1374</v>
      </c>
      <c r="AF528" s="180">
        <v>18.451000000000001</v>
      </c>
      <c r="AG528" s="180">
        <v>207.39</v>
      </c>
      <c r="AH528" s="180">
        <v>0</v>
      </c>
      <c r="AI528" s="180">
        <v>110.358</v>
      </c>
      <c r="AJ528" s="180">
        <v>10.773999999999999</v>
      </c>
      <c r="AK528" s="180">
        <v>0</v>
      </c>
      <c r="AL528">
        <v>4</v>
      </c>
      <c r="AM528">
        <v>2023</v>
      </c>
      <c r="AN528" s="180" t="s">
        <v>1283</v>
      </c>
      <c r="AP528" t="str">
        <f>IF(BD_Bloqueados[[#This Row],[Analista ]]&lt;&gt;"Ana C",MID(BD_Bloqueados[[#This Row],[ID]],3,5),MID(BD_Bloqueados[[#This Row],[ID]],4,5))</f>
        <v>10023</v>
      </c>
      <c r="AQ528">
        <v>103</v>
      </c>
      <c r="AR528">
        <v>2023</v>
      </c>
      <c r="AS528" s="72">
        <v>44927</v>
      </c>
      <c r="AT528" s="72">
        <v>45029</v>
      </c>
      <c r="AU528">
        <v>4</v>
      </c>
    </row>
    <row r="529" spans="1:47">
      <c r="A529" t="s">
        <v>3546</v>
      </c>
      <c r="B529">
        <v>2</v>
      </c>
      <c r="C529" s="72">
        <v>45081</v>
      </c>
      <c r="D529">
        <v>15</v>
      </c>
      <c r="E529" s="173">
        <v>0.38611111111111113</v>
      </c>
      <c r="F529" t="s">
        <v>78</v>
      </c>
      <c r="G529" t="s">
        <v>32</v>
      </c>
      <c r="H529" t="s">
        <v>85</v>
      </c>
      <c r="I529" t="s">
        <v>621</v>
      </c>
      <c r="J529" t="s">
        <v>576</v>
      </c>
      <c r="K529" t="s">
        <v>1344</v>
      </c>
      <c r="L529" t="s">
        <v>108</v>
      </c>
      <c r="M529" t="s">
        <v>1029</v>
      </c>
      <c r="N529">
        <v>967555800</v>
      </c>
      <c r="O529" t="s">
        <v>98</v>
      </c>
      <c r="P529" s="154">
        <v>13030538</v>
      </c>
      <c r="Q529" t="s">
        <v>138</v>
      </c>
      <c r="R529" t="s">
        <v>79</v>
      </c>
      <c r="S529" t="s">
        <v>3547</v>
      </c>
      <c r="T529" t="s">
        <v>3548</v>
      </c>
      <c r="U529" t="s">
        <v>3549</v>
      </c>
      <c r="V529" t="s">
        <v>3550</v>
      </c>
      <c r="W529" t="s">
        <v>101</v>
      </c>
      <c r="X529" t="s">
        <v>156</v>
      </c>
      <c r="Y529" s="229">
        <v>641.25</v>
      </c>
      <c r="Z529" s="176">
        <v>136103.38874999998</v>
      </c>
      <c r="AA529">
        <v>95</v>
      </c>
      <c r="AB529" t="s">
        <v>1290</v>
      </c>
      <c r="AC529" t="s">
        <v>1252</v>
      </c>
      <c r="AD529" s="180">
        <v>1</v>
      </c>
      <c r="AE529" s="180" t="s">
        <v>1292</v>
      </c>
      <c r="AF529" s="180">
        <v>10.808999999999999</v>
      </c>
      <c r="AG529" s="180">
        <v>114.01</v>
      </c>
      <c r="AH529" s="180">
        <v>0</v>
      </c>
      <c r="AI529" s="180">
        <v>85.525999999999996</v>
      </c>
      <c r="AJ529" s="180">
        <v>1.9019999999999999</v>
      </c>
      <c r="AK529" s="180">
        <v>0</v>
      </c>
      <c r="AL529">
        <v>4</v>
      </c>
      <c r="AM529">
        <v>2023</v>
      </c>
      <c r="AN529" s="180" t="s">
        <v>1611</v>
      </c>
      <c r="AP529" t="str">
        <f>IF(BD_Bloqueados[[#This Row],[Analista ]]&lt;&gt;"Ana C",MID(BD_Bloqueados[[#This Row],[ID]],3,5),MID(BD_Bloqueados[[#This Row],[ID]],4,5))</f>
        <v>09623</v>
      </c>
      <c r="AQ529">
        <v>102</v>
      </c>
      <c r="AR529">
        <v>2023</v>
      </c>
      <c r="AS529" s="72">
        <v>44927</v>
      </c>
      <c r="AT529" s="72">
        <v>45028</v>
      </c>
      <c r="AU529">
        <v>4</v>
      </c>
    </row>
    <row r="530" spans="1:47">
      <c r="A530" s="182" t="s">
        <v>2301</v>
      </c>
      <c r="B530" s="182">
        <v>2</v>
      </c>
      <c r="C530" s="72">
        <v>44930</v>
      </c>
      <c r="D530" s="182">
        <v>2</v>
      </c>
      <c r="E530" s="184">
        <v>0.45833333333333331</v>
      </c>
      <c r="F530" s="182" t="s">
        <v>78</v>
      </c>
      <c r="G530" s="182" t="s">
        <v>23</v>
      </c>
      <c r="H530" s="182" t="s">
        <v>164</v>
      </c>
      <c r="I530" s="182" t="s">
        <v>591</v>
      </c>
      <c r="J530" s="182" t="s">
        <v>1804</v>
      </c>
      <c r="K530" s="182" t="s">
        <v>2302</v>
      </c>
      <c r="L530" s="182" t="s">
        <v>108</v>
      </c>
      <c r="M530" s="182" t="s">
        <v>1029</v>
      </c>
      <c r="N530" s="182">
        <v>967555800</v>
      </c>
      <c r="O530" s="182" t="s">
        <v>218</v>
      </c>
      <c r="P530" s="185">
        <v>13030176</v>
      </c>
      <c r="Q530" s="182" t="s">
        <v>138</v>
      </c>
      <c r="R530" s="182" t="s">
        <v>640</v>
      </c>
      <c r="S530" s="182" t="s">
        <v>2303</v>
      </c>
      <c r="T530" s="182" t="s">
        <v>2304</v>
      </c>
      <c r="U530" s="182" t="s">
        <v>2305</v>
      </c>
      <c r="V530" s="182" t="s">
        <v>2306</v>
      </c>
      <c r="W530" s="182" t="s">
        <v>101</v>
      </c>
      <c r="X530" s="182" t="s">
        <v>129</v>
      </c>
      <c r="Y530" s="233">
        <v>48</v>
      </c>
      <c r="Z530" s="186" t="s">
        <v>2307</v>
      </c>
      <c r="AA530" s="182">
        <v>3102</v>
      </c>
      <c r="AB530" s="182" t="s">
        <v>2308</v>
      </c>
      <c r="AC530" s="183" t="s">
        <v>1252</v>
      </c>
      <c r="AD530" s="312">
        <v>1</v>
      </c>
      <c r="AE530" s="313" t="s">
        <v>1292</v>
      </c>
      <c r="AF530" s="187">
        <v>31.459</v>
      </c>
      <c r="AG530" s="187">
        <v>579.73500000000001</v>
      </c>
      <c r="AH530" s="187">
        <v>38.576999999999998</v>
      </c>
      <c r="AI530" s="187">
        <v>38.576999999999998</v>
      </c>
      <c r="AJ530" s="187">
        <v>8.6120000000000001</v>
      </c>
      <c r="AK530" s="187">
        <v>0</v>
      </c>
      <c r="AL530">
        <v>1</v>
      </c>
      <c r="AM530" s="306">
        <v>2023</v>
      </c>
      <c r="AN530" s="187" t="s">
        <v>1253</v>
      </c>
      <c r="AP530" t="str">
        <f>IF(BD_Bloqueados[[#This Row],[Analista ]]&lt;&gt;"Ana C",MID(BD_Bloqueados[[#This Row],[ID]],3,5),MID(BD_Bloqueados[[#This Row],[ID]],4,5))</f>
        <v>00423</v>
      </c>
      <c r="AQ530">
        <v>102</v>
      </c>
      <c r="AR530">
        <v>2023</v>
      </c>
      <c r="AS530" s="72">
        <v>44927</v>
      </c>
      <c r="AT530" s="72">
        <v>45028</v>
      </c>
      <c r="AU530">
        <v>4</v>
      </c>
    </row>
    <row r="531" spans="1:47">
      <c r="A531" t="s">
        <v>3698</v>
      </c>
      <c r="B531">
        <v>2</v>
      </c>
      <c r="C531" s="72">
        <v>45010</v>
      </c>
      <c r="D531">
        <v>13</v>
      </c>
      <c r="E531" s="173">
        <v>2.6388888888888889E-2</v>
      </c>
      <c r="F531" t="s">
        <v>136</v>
      </c>
      <c r="G531" t="s">
        <v>23</v>
      </c>
      <c r="H531" t="s">
        <v>139</v>
      </c>
      <c r="I531" t="s">
        <v>635</v>
      </c>
      <c r="J531" t="s">
        <v>1783</v>
      </c>
      <c r="K531" t="s">
        <v>3699</v>
      </c>
      <c r="L531" t="s">
        <v>108</v>
      </c>
      <c r="M531" t="s">
        <v>1029</v>
      </c>
      <c r="N531">
        <v>967555800</v>
      </c>
      <c r="O531" t="s">
        <v>265</v>
      </c>
      <c r="P531" s="154">
        <v>13030402</v>
      </c>
      <c r="Q531" t="s">
        <v>138</v>
      </c>
      <c r="R531" t="s">
        <v>589</v>
      </c>
      <c r="S531" t="s">
        <v>3700</v>
      </c>
      <c r="T531" t="s">
        <v>3701</v>
      </c>
      <c r="U531" t="s">
        <v>3702</v>
      </c>
      <c r="V531" t="s">
        <v>3703</v>
      </c>
      <c r="W531" t="s">
        <v>101</v>
      </c>
      <c r="X531" s="191" t="s">
        <v>102</v>
      </c>
      <c r="Y531" s="229">
        <v>1908</v>
      </c>
      <c r="Z531" s="176">
        <v>0</v>
      </c>
      <c r="AA531">
        <v>84</v>
      </c>
      <c r="AB531" t="s">
        <v>1356</v>
      </c>
      <c r="AC531" t="s">
        <v>1349</v>
      </c>
      <c r="AD531" s="180">
        <v>1</v>
      </c>
      <c r="AE531" s="180" t="s">
        <v>1292</v>
      </c>
      <c r="AF531" s="180">
        <v>0</v>
      </c>
      <c r="AG531" s="180">
        <v>0</v>
      </c>
      <c r="AH531" s="180">
        <v>0</v>
      </c>
      <c r="AI531" s="180">
        <v>0</v>
      </c>
      <c r="AJ531" s="180">
        <v>0</v>
      </c>
      <c r="AK531" s="180">
        <v>0</v>
      </c>
      <c r="AL531">
        <v>3</v>
      </c>
      <c r="AM531">
        <v>2023</v>
      </c>
      <c r="AN531" s="180"/>
      <c r="AP531" t="str">
        <f>IF(BD_Bloqueados[[#This Row],[Analista ]]&lt;&gt;"Ana C",MID(BD_Bloqueados[[#This Row],[ID]],3,5),MID(BD_Bloqueados[[#This Row],[ID]],4,5))</f>
        <v>08423</v>
      </c>
      <c r="AQ531">
        <v>101</v>
      </c>
      <c r="AR531">
        <v>2023</v>
      </c>
      <c r="AS531" s="72">
        <v>44927</v>
      </c>
      <c r="AT531" s="72">
        <v>45027</v>
      </c>
      <c r="AU531">
        <v>4</v>
      </c>
    </row>
    <row r="532" spans="1:47">
      <c r="A532" t="s">
        <v>3704</v>
      </c>
      <c r="B532">
        <v>2</v>
      </c>
      <c r="C532" s="72">
        <v>45009</v>
      </c>
      <c r="D532">
        <v>13</v>
      </c>
      <c r="E532" s="173">
        <v>0.65277777777777779</v>
      </c>
      <c r="F532" t="s">
        <v>109</v>
      </c>
      <c r="G532" t="s">
        <v>25</v>
      </c>
      <c r="H532" t="s">
        <v>112</v>
      </c>
      <c r="I532" t="s">
        <v>629</v>
      </c>
      <c r="J532" t="s">
        <v>567</v>
      </c>
      <c r="K532" t="s">
        <v>1595</v>
      </c>
      <c r="L532" t="s">
        <v>108</v>
      </c>
      <c r="M532" t="s">
        <v>1029</v>
      </c>
      <c r="N532">
        <v>967555800</v>
      </c>
      <c r="O532" t="s">
        <v>93</v>
      </c>
      <c r="P532" s="154">
        <v>12001396</v>
      </c>
      <c r="Q532" t="s">
        <v>138</v>
      </c>
      <c r="R532" t="s">
        <v>1840</v>
      </c>
      <c r="S532" t="s">
        <v>3705</v>
      </c>
      <c r="T532" t="s">
        <v>3706</v>
      </c>
      <c r="U532" t="s">
        <v>3707</v>
      </c>
      <c r="V532" t="s">
        <v>3708</v>
      </c>
      <c r="W532" t="s">
        <v>101</v>
      </c>
      <c r="X532" t="s">
        <v>129</v>
      </c>
      <c r="Y532" s="229">
        <v>384</v>
      </c>
      <c r="Z532" s="176">
        <v>238964.73600000003</v>
      </c>
      <c r="AA532">
        <v>83</v>
      </c>
      <c r="AB532" t="s">
        <v>1845</v>
      </c>
      <c r="AC532" t="s">
        <v>1349</v>
      </c>
      <c r="AD532" s="180">
        <v>1</v>
      </c>
      <c r="AE532" s="180" t="s">
        <v>1292</v>
      </c>
      <c r="AF532" s="180">
        <v>565.46500000000003</v>
      </c>
      <c r="AG532" s="180">
        <v>4.3040000000000003</v>
      </c>
      <c r="AH532" s="180">
        <v>0</v>
      </c>
      <c r="AI532" s="180">
        <v>9.9710000000000001</v>
      </c>
      <c r="AJ532" s="180">
        <v>23.161000000000001</v>
      </c>
      <c r="AK532" s="180">
        <v>19.402999999999999</v>
      </c>
      <c r="AL532">
        <v>3</v>
      </c>
      <c r="AM532">
        <v>2023</v>
      </c>
      <c r="AN532" s="180"/>
      <c r="AP532" t="str">
        <f>IF(BD_Bloqueados[[#This Row],[Analista ]]&lt;&gt;"Ana C",MID(BD_Bloqueados[[#This Row],[ID]],3,5),MID(BD_Bloqueados[[#This Row],[ID]],4,5))</f>
        <v>08323</v>
      </c>
      <c r="AQ532">
        <v>101</v>
      </c>
      <c r="AR532">
        <v>2023</v>
      </c>
      <c r="AS532" s="72">
        <v>44927</v>
      </c>
      <c r="AT532" s="72">
        <v>45027</v>
      </c>
      <c r="AU532">
        <v>4</v>
      </c>
    </row>
    <row r="533" spans="1:47">
      <c r="A533" t="s">
        <v>3709</v>
      </c>
      <c r="B533">
        <v>2</v>
      </c>
      <c r="C533" s="72">
        <v>45007</v>
      </c>
      <c r="D533">
        <v>13</v>
      </c>
      <c r="E533" s="173">
        <v>0.99097222222222225</v>
      </c>
      <c r="F533" t="s">
        <v>136</v>
      </c>
      <c r="G533" t="s">
        <v>28</v>
      </c>
      <c r="H533" t="s">
        <v>165</v>
      </c>
      <c r="I533" t="s">
        <v>615</v>
      </c>
      <c r="J533" t="s">
        <v>618</v>
      </c>
      <c r="K533" t="s">
        <v>3710</v>
      </c>
      <c r="L533" t="s">
        <v>77</v>
      </c>
      <c r="M533" t="s">
        <v>617</v>
      </c>
      <c r="N533">
        <v>77740030</v>
      </c>
      <c r="O533" t="s">
        <v>655</v>
      </c>
      <c r="P533" s="154">
        <v>11000032</v>
      </c>
      <c r="Q533" t="s">
        <v>80</v>
      </c>
      <c r="R533" t="s">
        <v>579</v>
      </c>
      <c r="S533" t="s">
        <v>3711</v>
      </c>
      <c r="T533" t="s">
        <v>3712</v>
      </c>
      <c r="U533" t="s">
        <v>3713</v>
      </c>
      <c r="W533" t="s">
        <v>101</v>
      </c>
      <c r="X533" t="s">
        <v>1518</v>
      </c>
      <c r="Y533" s="229">
        <v>200</v>
      </c>
      <c r="Z533" s="176">
        <v>0</v>
      </c>
      <c r="AB533" t="s">
        <v>2727</v>
      </c>
      <c r="AC533" t="s">
        <v>39</v>
      </c>
      <c r="AD533" s="180">
        <v>1</v>
      </c>
      <c r="AE533" s="180" t="s">
        <v>1292</v>
      </c>
      <c r="AF533" s="180">
        <v>0</v>
      </c>
      <c r="AG533" s="180">
        <v>0</v>
      </c>
      <c r="AH533" s="180">
        <v>0</v>
      </c>
      <c r="AI533" s="180">
        <v>0</v>
      </c>
      <c r="AJ533" s="180">
        <v>0</v>
      </c>
      <c r="AK533" s="180">
        <v>0</v>
      </c>
      <c r="AL533">
        <v>3</v>
      </c>
      <c r="AM533">
        <v>2023</v>
      </c>
      <c r="AN533" s="180"/>
      <c r="AP533" t="str">
        <f>IF(BD_Bloqueados[[#This Row],[Analista ]]&lt;&gt;"Ana C",MID(BD_Bloqueados[[#This Row],[ID]],3,5),MID(BD_Bloqueados[[#This Row],[ID]],4,5))</f>
        <v>08123</v>
      </c>
      <c r="AQ533">
        <v>277</v>
      </c>
      <c r="AR533">
        <v>2023</v>
      </c>
      <c r="AS533" s="72">
        <v>44927</v>
      </c>
      <c r="AT533" s="72">
        <v>45203</v>
      </c>
      <c r="AU533">
        <v>10</v>
      </c>
    </row>
    <row r="534" spans="1:47">
      <c r="A534" t="s">
        <v>3714</v>
      </c>
      <c r="B534">
        <v>2</v>
      </c>
      <c r="C534" s="72">
        <v>45007</v>
      </c>
      <c r="D534">
        <v>13</v>
      </c>
      <c r="E534" s="173">
        <v>0.69305555555555554</v>
      </c>
      <c r="F534" t="s">
        <v>109</v>
      </c>
      <c r="G534" t="s">
        <v>27</v>
      </c>
      <c r="H534" t="s">
        <v>140</v>
      </c>
      <c r="I534" t="s">
        <v>629</v>
      </c>
      <c r="J534" t="s">
        <v>117</v>
      </c>
      <c r="K534" t="s">
        <v>3715</v>
      </c>
      <c r="L534" t="s">
        <v>77</v>
      </c>
      <c r="M534" t="s">
        <v>706</v>
      </c>
      <c r="N534">
        <v>81145500</v>
      </c>
      <c r="O534" t="s">
        <v>897</v>
      </c>
      <c r="P534" s="154">
        <v>10004293</v>
      </c>
      <c r="Q534" t="s">
        <v>206</v>
      </c>
      <c r="R534" t="s">
        <v>579</v>
      </c>
      <c r="S534" t="s">
        <v>3716</v>
      </c>
      <c r="T534" t="s">
        <v>3717</v>
      </c>
      <c r="U534" t="s">
        <v>3718</v>
      </c>
      <c r="V534" t="s">
        <v>3719</v>
      </c>
      <c r="W534" t="s">
        <v>101</v>
      </c>
      <c r="X534" t="s">
        <v>1518</v>
      </c>
      <c r="Y534" s="229">
        <v>52380</v>
      </c>
      <c r="Z534" s="176">
        <v>0</v>
      </c>
      <c r="AA534" t="s">
        <v>3720</v>
      </c>
      <c r="AB534" t="s">
        <v>2727</v>
      </c>
      <c r="AC534" t="s">
        <v>39</v>
      </c>
      <c r="AD534" s="180">
        <v>1</v>
      </c>
      <c r="AE534" s="180" t="s">
        <v>1292</v>
      </c>
      <c r="AF534" s="180">
        <v>0</v>
      </c>
      <c r="AG534" s="180">
        <v>0</v>
      </c>
      <c r="AH534" s="180">
        <v>0</v>
      </c>
      <c r="AI534" s="180">
        <v>0</v>
      </c>
      <c r="AJ534" s="180">
        <v>0</v>
      </c>
      <c r="AK534" s="180">
        <v>0</v>
      </c>
      <c r="AL534">
        <v>3</v>
      </c>
      <c r="AM534">
        <v>2023</v>
      </c>
      <c r="AN534" s="180"/>
      <c r="AP534" t="str">
        <f>IF(BD_Bloqueados[[#This Row],[Analista ]]&lt;&gt;"Ana C",MID(BD_Bloqueados[[#This Row],[ID]],3,5),MID(BD_Bloqueados[[#This Row],[ID]],4,5))</f>
        <v>08123</v>
      </c>
      <c r="AQ534">
        <v>100</v>
      </c>
      <c r="AR534">
        <v>2023</v>
      </c>
      <c r="AS534" s="72">
        <v>44927</v>
      </c>
      <c r="AT534" s="72">
        <v>45026</v>
      </c>
      <c r="AU534">
        <v>4</v>
      </c>
    </row>
    <row r="535" spans="1:47">
      <c r="A535" t="s">
        <v>3721</v>
      </c>
      <c r="B535">
        <v>2</v>
      </c>
      <c r="C535" s="72">
        <v>45007</v>
      </c>
      <c r="D535">
        <v>13</v>
      </c>
      <c r="E535" s="173">
        <v>0.39583333333333331</v>
      </c>
      <c r="F535" t="s">
        <v>78</v>
      </c>
      <c r="G535" t="s">
        <v>27</v>
      </c>
      <c r="H535" t="s">
        <v>189</v>
      </c>
      <c r="I535" t="s">
        <v>143</v>
      </c>
      <c r="J535" t="s">
        <v>618</v>
      </c>
      <c r="K535" t="s">
        <v>1232</v>
      </c>
      <c r="L535" t="s">
        <v>108</v>
      </c>
      <c r="M535" t="s">
        <v>1029</v>
      </c>
      <c r="N535">
        <v>967555800</v>
      </c>
      <c r="O535" t="s">
        <v>272</v>
      </c>
      <c r="P535" s="154">
        <v>13030280</v>
      </c>
      <c r="Q535" t="s">
        <v>138</v>
      </c>
      <c r="R535" t="s">
        <v>589</v>
      </c>
      <c r="S535" t="s">
        <v>3722</v>
      </c>
      <c r="T535" t="s">
        <v>3723</v>
      </c>
      <c r="U535" t="s">
        <v>3724</v>
      </c>
      <c r="V535" t="s">
        <v>3725</v>
      </c>
      <c r="W535" t="s">
        <v>101</v>
      </c>
      <c r="X535" t="s">
        <v>156</v>
      </c>
      <c r="Y535" s="229">
        <v>66</v>
      </c>
      <c r="Z535" s="176">
        <v>44537.700000000004</v>
      </c>
      <c r="AA535">
        <v>81</v>
      </c>
      <c r="AB535" t="s">
        <v>1290</v>
      </c>
      <c r="AC535" t="s">
        <v>1252</v>
      </c>
      <c r="AD535" s="180">
        <v>0.44</v>
      </c>
      <c r="AE535" s="180" t="s">
        <v>1374</v>
      </c>
      <c r="AF535" s="180">
        <v>18.451000000000001</v>
      </c>
      <c r="AG535" s="180">
        <v>214.857</v>
      </c>
      <c r="AH535" s="180">
        <v>0</v>
      </c>
      <c r="AI535" s="180">
        <v>59.442</v>
      </c>
      <c r="AJ535" s="180">
        <v>4.1680000000000001</v>
      </c>
      <c r="AK535" s="180">
        <v>0</v>
      </c>
      <c r="AL535">
        <v>3</v>
      </c>
      <c r="AM535">
        <v>2023</v>
      </c>
      <c r="AN535" s="180" t="s">
        <v>1283</v>
      </c>
      <c r="AP535" t="str">
        <f>IF(BD_Bloqueados[[#This Row],[Analista ]]&lt;&gt;"Ana C",MID(BD_Bloqueados[[#This Row],[ID]],3,5),MID(BD_Bloqueados[[#This Row],[ID]],4,5))</f>
        <v>08123</v>
      </c>
      <c r="AQ535">
        <v>247</v>
      </c>
      <c r="AR535">
        <v>2023</v>
      </c>
      <c r="AS535" s="72">
        <v>44927</v>
      </c>
      <c r="AT535" s="72">
        <v>45173</v>
      </c>
      <c r="AU535">
        <v>9</v>
      </c>
    </row>
    <row r="536" spans="1:47">
      <c r="A536" t="s">
        <v>3726</v>
      </c>
      <c r="B536">
        <v>2</v>
      </c>
      <c r="C536" s="72">
        <v>45005</v>
      </c>
      <c r="D536">
        <v>13</v>
      </c>
      <c r="E536" s="173">
        <v>0.70972222222222225</v>
      </c>
      <c r="F536" t="s">
        <v>109</v>
      </c>
      <c r="G536" t="s">
        <v>27</v>
      </c>
      <c r="H536" t="s">
        <v>209</v>
      </c>
      <c r="I536" t="s">
        <v>629</v>
      </c>
      <c r="J536" t="s">
        <v>618</v>
      </c>
      <c r="K536" t="s">
        <v>3727</v>
      </c>
      <c r="L536" t="s">
        <v>108</v>
      </c>
      <c r="M536" t="s">
        <v>1029</v>
      </c>
      <c r="N536">
        <v>967555800</v>
      </c>
      <c r="O536" t="s">
        <v>99</v>
      </c>
      <c r="P536" s="154">
        <v>13001756</v>
      </c>
      <c r="Q536" t="s">
        <v>138</v>
      </c>
      <c r="R536" t="s">
        <v>589</v>
      </c>
      <c r="S536" t="s">
        <v>3728</v>
      </c>
      <c r="T536" t="s">
        <v>3729</v>
      </c>
      <c r="U536" t="s">
        <v>3572</v>
      </c>
      <c r="V536" t="s">
        <v>3730</v>
      </c>
      <c r="W536" t="s">
        <v>101</v>
      </c>
      <c r="X536" t="s">
        <v>102</v>
      </c>
      <c r="Y536" s="229">
        <v>1458</v>
      </c>
      <c r="Z536" s="176">
        <v>0</v>
      </c>
      <c r="AA536">
        <v>76</v>
      </c>
      <c r="AB536" t="s">
        <v>1290</v>
      </c>
      <c r="AC536" t="s">
        <v>1252</v>
      </c>
      <c r="AD536" s="180">
        <v>1</v>
      </c>
      <c r="AE536" s="180" t="s">
        <v>1292</v>
      </c>
      <c r="AF536" s="180">
        <v>0</v>
      </c>
      <c r="AG536" s="180">
        <v>0</v>
      </c>
      <c r="AH536" s="180">
        <v>0</v>
      </c>
      <c r="AI536" s="180">
        <v>0</v>
      </c>
      <c r="AJ536" s="180">
        <v>0</v>
      </c>
      <c r="AK536" s="180">
        <v>0</v>
      </c>
      <c r="AL536">
        <v>3</v>
      </c>
      <c r="AM536">
        <v>2023</v>
      </c>
      <c r="AN536" s="180" t="s">
        <v>3277</v>
      </c>
      <c r="AP536" t="str">
        <f>IF(BD_Bloqueados[[#This Row],[Analista ]]&lt;&gt;"Ana C",MID(BD_Bloqueados[[#This Row],[ID]],3,5),MID(BD_Bloqueados[[#This Row],[ID]],4,5))</f>
        <v>07923</v>
      </c>
      <c r="AQ536">
        <v>35</v>
      </c>
      <c r="AR536">
        <v>2023</v>
      </c>
      <c r="AS536" s="72">
        <v>44927</v>
      </c>
      <c r="AT536" s="72">
        <v>44961</v>
      </c>
      <c r="AU536">
        <v>2</v>
      </c>
    </row>
    <row r="537" spans="1:47">
      <c r="A537" t="s">
        <v>3731</v>
      </c>
      <c r="B537">
        <v>2</v>
      </c>
      <c r="C537" s="72">
        <v>45003</v>
      </c>
      <c r="D537">
        <v>12</v>
      </c>
      <c r="E537" s="173">
        <v>0.13263888888888889</v>
      </c>
      <c r="F537" t="s">
        <v>136</v>
      </c>
      <c r="G537" t="s">
        <v>628</v>
      </c>
      <c r="H537" t="s">
        <v>86</v>
      </c>
      <c r="I537" t="s">
        <v>581</v>
      </c>
      <c r="J537" t="s">
        <v>567</v>
      </c>
      <c r="K537" t="s">
        <v>2052</v>
      </c>
      <c r="L537" t="s">
        <v>108</v>
      </c>
      <c r="M537" t="s">
        <v>1029</v>
      </c>
      <c r="N537">
        <v>967555800</v>
      </c>
      <c r="O537" t="s">
        <v>124</v>
      </c>
      <c r="P537" s="154">
        <v>13001004</v>
      </c>
      <c r="Q537" t="s">
        <v>138</v>
      </c>
      <c r="R537" t="s">
        <v>585</v>
      </c>
      <c r="S537" t="s">
        <v>3732</v>
      </c>
      <c r="T537" t="s">
        <v>3733</v>
      </c>
      <c r="U537" t="s">
        <v>3734</v>
      </c>
      <c r="V537" t="s">
        <v>3735</v>
      </c>
      <c r="W537" t="s">
        <v>101</v>
      </c>
      <c r="X537" t="s">
        <v>156</v>
      </c>
      <c r="Y537" s="229">
        <v>3780</v>
      </c>
      <c r="Z537" s="176">
        <v>0</v>
      </c>
      <c r="AA537">
        <v>76</v>
      </c>
      <c r="AB537" s="192" t="s">
        <v>3736</v>
      </c>
      <c r="AC537" t="s">
        <v>1349</v>
      </c>
      <c r="AD537" s="180">
        <v>1</v>
      </c>
      <c r="AE537" s="180" t="s">
        <v>1292</v>
      </c>
      <c r="AF537" s="180">
        <v>0</v>
      </c>
      <c r="AG537" s="180">
        <v>0</v>
      </c>
      <c r="AH537" s="180">
        <v>0</v>
      </c>
      <c r="AI537" s="180">
        <v>0</v>
      </c>
      <c r="AJ537" s="180">
        <v>0</v>
      </c>
      <c r="AK537" s="180">
        <v>0</v>
      </c>
      <c r="AL537">
        <v>3</v>
      </c>
      <c r="AM537">
        <v>2023</v>
      </c>
      <c r="AN537" s="180"/>
      <c r="AP537" t="str">
        <f>IF(BD_Bloqueados[[#This Row],[Analista ]]&lt;&gt;"Ana C",MID(BD_Bloqueados[[#This Row],[ID]],3,5),MID(BD_Bloqueados[[#This Row],[ID]],4,5))</f>
        <v>07723</v>
      </c>
      <c r="AQ537">
        <v>84</v>
      </c>
      <c r="AR537">
        <v>2023</v>
      </c>
      <c r="AS537" s="72">
        <v>44927</v>
      </c>
      <c r="AT537" s="72">
        <v>45010</v>
      </c>
      <c r="AU537">
        <v>3</v>
      </c>
    </row>
    <row r="538" spans="1:47" s="153" customFormat="1" ht="15" thickBot="1">
      <c r="A538" t="s">
        <v>3737</v>
      </c>
      <c r="B538">
        <v>2</v>
      </c>
      <c r="C538" s="72">
        <v>45003</v>
      </c>
      <c r="D538">
        <v>12</v>
      </c>
      <c r="E538" s="173">
        <v>0.13263888888888889</v>
      </c>
      <c r="F538" t="s">
        <v>136</v>
      </c>
      <c r="G538" t="s">
        <v>628</v>
      </c>
      <c r="H538" t="s">
        <v>86</v>
      </c>
      <c r="I538" t="s">
        <v>581</v>
      </c>
      <c r="J538" t="s">
        <v>567</v>
      </c>
      <c r="K538" t="s">
        <v>2052</v>
      </c>
      <c r="L538" t="s">
        <v>108</v>
      </c>
      <c r="M538" t="s">
        <v>1029</v>
      </c>
      <c r="N538">
        <v>967555800</v>
      </c>
      <c r="O538" t="s">
        <v>123</v>
      </c>
      <c r="P538" s="154">
        <v>13030401</v>
      </c>
      <c r="Q538" t="s">
        <v>138</v>
      </c>
      <c r="R538" t="s">
        <v>585</v>
      </c>
      <c r="S538" t="s">
        <v>3738</v>
      </c>
      <c r="T538" t="s">
        <v>3733</v>
      </c>
      <c r="U538" t="s">
        <v>3734</v>
      </c>
      <c r="V538" t="s">
        <v>3739</v>
      </c>
      <c r="W538" t="s">
        <v>101</v>
      </c>
      <c r="X538" t="s">
        <v>156</v>
      </c>
      <c r="Y538" s="229">
        <v>12960</v>
      </c>
      <c r="Z538" s="176">
        <v>0</v>
      </c>
      <c r="AA538">
        <v>75</v>
      </c>
      <c r="AB538" t="s">
        <v>3736</v>
      </c>
      <c r="AC538" t="s">
        <v>1349</v>
      </c>
      <c r="AD538" s="180">
        <v>1</v>
      </c>
      <c r="AE538" s="180" t="s">
        <v>1292</v>
      </c>
      <c r="AF538" s="180">
        <v>0</v>
      </c>
      <c r="AG538" s="180">
        <v>0</v>
      </c>
      <c r="AH538" s="180">
        <v>0</v>
      </c>
      <c r="AI538" s="180">
        <v>0</v>
      </c>
      <c r="AJ538" s="180">
        <v>0</v>
      </c>
      <c r="AK538" s="180">
        <v>0</v>
      </c>
      <c r="AL538">
        <v>3</v>
      </c>
      <c r="AM538">
        <v>2023</v>
      </c>
      <c r="AN538" s="180"/>
      <c r="AP538" t="str">
        <f>IF(BD_Bloqueados[[#This Row],[Analista ]]&lt;&gt;"Ana C",MID(BD_Bloqueados[[#This Row],[ID]],3,5),MID(BD_Bloqueados[[#This Row],[ID]],4,5))</f>
        <v>07723</v>
      </c>
      <c r="AQ538">
        <v>83</v>
      </c>
      <c r="AR538">
        <v>2023</v>
      </c>
      <c r="AS538" s="72">
        <v>44927</v>
      </c>
      <c r="AT538" s="72">
        <v>45009</v>
      </c>
      <c r="AU538">
        <v>3</v>
      </c>
    </row>
    <row r="539" spans="1:47">
      <c r="A539" t="s">
        <v>3740</v>
      </c>
      <c r="B539">
        <v>2</v>
      </c>
      <c r="C539" s="72">
        <v>45002</v>
      </c>
      <c r="D539">
        <v>12</v>
      </c>
      <c r="E539" s="173">
        <v>0.65833333333333333</v>
      </c>
      <c r="F539" t="s">
        <v>109</v>
      </c>
      <c r="G539" t="s">
        <v>628</v>
      </c>
      <c r="H539" t="s">
        <v>86</v>
      </c>
      <c r="I539" t="s">
        <v>635</v>
      </c>
      <c r="J539" t="s">
        <v>169</v>
      </c>
      <c r="K539" t="s">
        <v>2052</v>
      </c>
      <c r="L539" t="s">
        <v>108</v>
      </c>
      <c r="M539" t="s">
        <v>1029</v>
      </c>
      <c r="N539">
        <v>967555800</v>
      </c>
      <c r="O539" t="s">
        <v>125</v>
      </c>
      <c r="P539" s="154">
        <v>13030301</v>
      </c>
      <c r="Q539" t="s">
        <v>138</v>
      </c>
      <c r="R539" t="s">
        <v>585</v>
      </c>
      <c r="S539" t="s">
        <v>3741</v>
      </c>
      <c r="T539" t="s">
        <v>3733</v>
      </c>
      <c r="U539" t="s">
        <v>3734</v>
      </c>
      <c r="V539" t="s">
        <v>3742</v>
      </c>
      <c r="W539" t="s">
        <v>101</v>
      </c>
      <c r="X539" s="191" t="s">
        <v>156</v>
      </c>
      <c r="Y539" s="229"/>
      <c r="Z539" s="176">
        <v>0</v>
      </c>
      <c r="AA539">
        <v>72</v>
      </c>
      <c r="AB539" t="s">
        <v>3736</v>
      </c>
      <c r="AC539" t="s">
        <v>1349</v>
      </c>
      <c r="AD539" s="180">
        <v>1</v>
      </c>
      <c r="AE539" s="180" t="s">
        <v>1374</v>
      </c>
      <c r="AF539" s="180">
        <v>0</v>
      </c>
      <c r="AG539" s="180">
        <v>0</v>
      </c>
      <c r="AH539" s="180">
        <v>0</v>
      </c>
      <c r="AI539" s="180">
        <v>0</v>
      </c>
      <c r="AJ539" s="180">
        <v>0</v>
      </c>
      <c r="AK539" s="180">
        <v>0</v>
      </c>
      <c r="AL539">
        <v>3</v>
      </c>
      <c r="AM539">
        <v>2023</v>
      </c>
      <c r="AN539" s="180"/>
      <c r="AP539" t="str">
        <f>IF(BD_Bloqueados[[#This Row],[Analista ]]&lt;&gt;"Ana C",MID(BD_Bloqueados[[#This Row],[ID]],3,5),MID(BD_Bloqueados[[#This Row],[ID]],4,5))</f>
        <v>07623</v>
      </c>
      <c r="AQ539">
        <v>81</v>
      </c>
      <c r="AR539">
        <v>2023</v>
      </c>
      <c r="AS539" s="72">
        <v>44927</v>
      </c>
      <c r="AT539" s="72">
        <v>45007</v>
      </c>
      <c r="AU539">
        <v>3</v>
      </c>
    </row>
    <row r="540" spans="1:47">
      <c r="A540" t="s">
        <v>3743</v>
      </c>
      <c r="B540">
        <v>2</v>
      </c>
      <c r="C540" s="72">
        <v>45002</v>
      </c>
      <c r="D540">
        <v>12</v>
      </c>
      <c r="E540" s="173">
        <v>0.65833333333333333</v>
      </c>
      <c r="F540" t="s">
        <v>109</v>
      </c>
      <c r="G540" t="s">
        <v>628</v>
      </c>
      <c r="H540" t="s">
        <v>86</v>
      </c>
      <c r="I540" t="s">
        <v>635</v>
      </c>
      <c r="J540" t="s">
        <v>169</v>
      </c>
      <c r="K540" t="s">
        <v>2052</v>
      </c>
      <c r="L540" t="s">
        <v>108</v>
      </c>
      <c r="M540" t="s">
        <v>1029</v>
      </c>
      <c r="N540">
        <v>967555800</v>
      </c>
      <c r="O540" t="s">
        <v>285</v>
      </c>
      <c r="P540" s="154">
        <v>13030597</v>
      </c>
      <c r="Q540" t="s">
        <v>138</v>
      </c>
      <c r="R540" t="s">
        <v>585</v>
      </c>
      <c r="S540" t="s">
        <v>3744</v>
      </c>
      <c r="T540" t="s">
        <v>3733</v>
      </c>
      <c r="U540" t="s">
        <v>3734</v>
      </c>
      <c r="V540" t="s">
        <v>3745</v>
      </c>
      <c r="W540" t="s">
        <v>101</v>
      </c>
      <c r="X540" s="191" t="s">
        <v>156</v>
      </c>
      <c r="Y540" s="229"/>
      <c r="Z540" s="176">
        <v>0</v>
      </c>
      <c r="AA540">
        <v>69</v>
      </c>
      <c r="AB540" t="s">
        <v>3736</v>
      </c>
      <c r="AC540" t="s">
        <v>1349</v>
      </c>
      <c r="AD540" s="180">
        <v>1</v>
      </c>
      <c r="AE540" s="180" t="s">
        <v>1292</v>
      </c>
      <c r="AF540" s="180">
        <v>0</v>
      </c>
      <c r="AG540" s="180">
        <v>0</v>
      </c>
      <c r="AH540" s="180">
        <v>0</v>
      </c>
      <c r="AI540" s="180">
        <v>0</v>
      </c>
      <c r="AJ540" s="180">
        <v>0</v>
      </c>
      <c r="AK540" s="180">
        <v>0</v>
      </c>
      <c r="AL540">
        <v>3</v>
      </c>
      <c r="AM540">
        <v>2023</v>
      </c>
      <c r="AN540" s="180"/>
      <c r="AP540" t="str">
        <f>IF(BD_Bloqueados[[#This Row],[Analista ]]&lt;&gt;"Ana C",MID(BD_Bloqueados[[#This Row],[ID]],3,5),MID(BD_Bloqueados[[#This Row],[ID]],4,5))</f>
        <v>07623</v>
      </c>
      <c r="AQ540">
        <v>81</v>
      </c>
      <c r="AR540">
        <v>2023</v>
      </c>
      <c r="AS540" s="72">
        <v>44927</v>
      </c>
      <c r="AT540" s="72">
        <v>45007</v>
      </c>
      <c r="AU540">
        <v>3</v>
      </c>
    </row>
    <row r="541" spans="1:47">
      <c r="A541" t="s">
        <v>3746</v>
      </c>
      <c r="B541">
        <v>2</v>
      </c>
      <c r="C541" s="72">
        <v>45001</v>
      </c>
      <c r="D541">
        <v>12</v>
      </c>
      <c r="E541" s="173">
        <v>0.82291666666666663</v>
      </c>
      <c r="F541" t="s">
        <v>109</v>
      </c>
      <c r="G541" t="s">
        <v>31</v>
      </c>
      <c r="H541" t="s">
        <v>84</v>
      </c>
      <c r="I541" t="s">
        <v>3747</v>
      </c>
      <c r="J541" t="s">
        <v>567</v>
      </c>
      <c r="K541" t="s">
        <v>1487</v>
      </c>
      <c r="L541" t="s">
        <v>108</v>
      </c>
      <c r="M541" t="s">
        <v>1029</v>
      </c>
      <c r="N541">
        <v>967555800</v>
      </c>
      <c r="O541" t="s">
        <v>200</v>
      </c>
      <c r="P541" s="154">
        <v>13030428</v>
      </c>
      <c r="Q541" t="s">
        <v>138</v>
      </c>
      <c r="R541" t="s">
        <v>589</v>
      </c>
      <c r="S541" t="s">
        <v>3748</v>
      </c>
      <c r="T541" t="s">
        <v>3749</v>
      </c>
      <c r="U541" t="s">
        <v>3750</v>
      </c>
      <c r="V541" t="s">
        <v>3751</v>
      </c>
      <c r="W541" t="s">
        <v>101</v>
      </c>
      <c r="X541" t="s">
        <v>156</v>
      </c>
      <c r="Y541" s="229">
        <v>264</v>
      </c>
      <c r="Z541" s="176">
        <v>94192.56</v>
      </c>
      <c r="AA541">
        <v>73</v>
      </c>
      <c r="AB541" t="s">
        <v>1290</v>
      </c>
      <c r="AC541" t="s">
        <v>1252</v>
      </c>
      <c r="AD541" s="180">
        <v>1</v>
      </c>
      <c r="AE541" s="180" t="s">
        <v>1292</v>
      </c>
      <c r="AF541" s="180">
        <v>2.766</v>
      </c>
      <c r="AG541" s="180">
        <v>144.93</v>
      </c>
      <c r="AH541" s="180">
        <v>0</v>
      </c>
      <c r="AI541" s="180">
        <v>207.887</v>
      </c>
      <c r="AJ541" s="180">
        <v>1.2070000000000001</v>
      </c>
      <c r="AK541" s="180">
        <v>0</v>
      </c>
      <c r="AL541">
        <v>3</v>
      </c>
      <c r="AM541">
        <v>2023</v>
      </c>
      <c r="AN541" s="180" t="s">
        <v>3277</v>
      </c>
      <c r="AP541" t="str">
        <f>IF(BD_Bloqueados[[#This Row],[Analista ]]&lt;&gt;"Ana C",MID(BD_Bloqueados[[#This Row],[ID]],3,5),MID(BD_Bloqueados[[#This Row],[ID]],4,5))</f>
        <v>07523</v>
      </c>
      <c r="AQ541">
        <v>81</v>
      </c>
      <c r="AR541">
        <v>2023</v>
      </c>
      <c r="AS541" s="72">
        <v>44927</v>
      </c>
      <c r="AT541" s="72">
        <v>45007</v>
      </c>
      <c r="AU541">
        <v>3</v>
      </c>
    </row>
    <row r="542" spans="1:47">
      <c r="A542" t="s">
        <v>3752</v>
      </c>
      <c r="B542">
        <v>2</v>
      </c>
      <c r="C542" s="72">
        <v>45000</v>
      </c>
      <c r="D542">
        <v>12</v>
      </c>
      <c r="E542" s="173">
        <v>0.54166666666666663</v>
      </c>
      <c r="F542" t="s">
        <v>78</v>
      </c>
      <c r="G542" t="s">
        <v>31</v>
      </c>
      <c r="H542" t="s">
        <v>84</v>
      </c>
      <c r="I542" t="s">
        <v>143</v>
      </c>
      <c r="J542" t="s">
        <v>1783</v>
      </c>
      <c r="K542" t="s">
        <v>3178</v>
      </c>
      <c r="L542" t="s">
        <v>108</v>
      </c>
      <c r="M542" t="s">
        <v>1029</v>
      </c>
      <c r="N542">
        <v>967555800</v>
      </c>
      <c r="O542" t="s">
        <v>97</v>
      </c>
      <c r="P542" s="154">
        <v>13030492</v>
      </c>
      <c r="Q542" t="s">
        <v>138</v>
      </c>
      <c r="R542" t="s">
        <v>589</v>
      </c>
      <c r="S542" t="s">
        <v>3753</v>
      </c>
      <c r="T542" t="s">
        <v>3754</v>
      </c>
      <c r="U542" t="s">
        <v>3755</v>
      </c>
      <c r="V542" t="s">
        <v>3756</v>
      </c>
      <c r="W542" t="s">
        <v>101</v>
      </c>
      <c r="X542" s="191" t="s">
        <v>156</v>
      </c>
      <c r="Y542" s="229">
        <v>447</v>
      </c>
      <c r="Z542" s="176">
        <v>206623.068</v>
      </c>
      <c r="AA542">
        <v>74</v>
      </c>
      <c r="AB542" t="s">
        <v>1290</v>
      </c>
      <c r="AC542" t="s">
        <v>1252</v>
      </c>
      <c r="AD542" s="180">
        <v>1</v>
      </c>
      <c r="AE542" s="180" t="s">
        <v>1292</v>
      </c>
      <c r="AF542" s="180">
        <v>2.3180000000000001</v>
      </c>
      <c r="AG542" s="180">
        <v>130.65</v>
      </c>
      <c r="AH542" s="180">
        <v>0</v>
      </c>
      <c r="AI542" s="180">
        <v>327.30500000000001</v>
      </c>
      <c r="AJ542" s="180">
        <v>1.9710000000000001</v>
      </c>
      <c r="AK542" s="180">
        <v>0</v>
      </c>
      <c r="AL542">
        <v>3</v>
      </c>
      <c r="AM542">
        <v>2023</v>
      </c>
      <c r="AN542" s="180" t="s">
        <v>1611</v>
      </c>
      <c r="AP542" t="str">
        <f>IF(BD_Bloqueados[[#This Row],[Analista ]]&lt;&gt;"Ana C",MID(BD_Bloqueados[[#This Row],[ID]],3,5),MID(BD_Bloqueados[[#This Row],[ID]],4,5))</f>
        <v>07423</v>
      </c>
      <c r="AQ542">
        <v>79</v>
      </c>
      <c r="AR542">
        <v>2023</v>
      </c>
      <c r="AS542" s="72">
        <v>44927</v>
      </c>
      <c r="AT542" s="72">
        <v>45005</v>
      </c>
      <c r="AU542">
        <v>3</v>
      </c>
    </row>
    <row r="543" spans="1:47">
      <c r="A543" t="s">
        <v>3166</v>
      </c>
      <c r="B543">
        <v>2</v>
      </c>
      <c r="C543" s="72">
        <v>45202</v>
      </c>
      <c r="D543">
        <v>11</v>
      </c>
      <c r="E543" s="173">
        <v>0.3888888888888889</v>
      </c>
      <c r="F543" t="s">
        <v>78</v>
      </c>
      <c r="G543" t="s">
        <v>27</v>
      </c>
      <c r="H543" t="s">
        <v>209</v>
      </c>
      <c r="I543" t="s">
        <v>615</v>
      </c>
      <c r="J543" t="s">
        <v>117</v>
      </c>
      <c r="K543" t="s">
        <v>2234</v>
      </c>
      <c r="L543" t="s">
        <v>108</v>
      </c>
      <c r="M543" t="s">
        <v>1029</v>
      </c>
      <c r="N543">
        <v>967555800</v>
      </c>
      <c r="O543" t="s">
        <v>97</v>
      </c>
      <c r="P543" s="154">
        <v>13030492</v>
      </c>
      <c r="Q543" t="s">
        <v>138</v>
      </c>
      <c r="R543" t="s">
        <v>589</v>
      </c>
      <c r="S543" t="s">
        <v>3167</v>
      </c>
      <c r="T543" t="s">
        <v>3168</v>
      </c>
      <c r="U543" t="s">
        <v>3169</v>
      </c>
      <c r="V543" t="s">
        <v>3170</v>
      </c>
      <c r="W543" t="s">
        <v>101</v>
      </c>
      <c r="X543" t="s">
        <v>129</v>
      </c>
      <c r="Y543" s="229">
        <v>216</v>
      </c>
      <c r="Z543" s="176">
        <v>257402.01600000003</v>
      </c>
      <c r="AA543" t="s">
        <v>3171</v>
      </c>
      <c r="AB543" t="s">
        <v>1290</v>
      </c>
      <c r="AC543" t="s">
        <v>1349</v>
      </c>
      <c r="AD543" s="180">
        <v>1</v>
      </c>
      <c r="AE543" s="180" t="s">
        <v>1292</v>
      </c>
      <c r="AF543" s="180">
        <v>2.3180000000000001</v>
      </c>
      <c r="AG543" s="180">
        <v>130.65</v>
      </c>
      <c r="AH543" s="180">
        <v>729.43200000000002</v>
      </c>
      <c r="AI543" s="180">
        <v>327.30500000000001</v>
      </c>
      <c r="AJ543" s="180">
        <v>1.9710000000000001</v>
      </c>
      <c r="AK543" s="180">
        <v>0</v>
      </c>
      <c r="AL543">
        <v>3</v>
      </c>
      <c r="AM543">
        <v>2023</v>
      </c>
      <c r="AN543" s="180"/>
      <c r="AP543" t="str">
        <f>IF(BD_Bloqueados[[#This Row],[Analista ]]&lt;&gt;"Ana C",MID(BD_Bloqueados[[#This Row],[ID]],3,5),MID(BD_Bloqueados[[#This Row],[ID]],4,5))</f>
        <v>06923</v>
      </c>
      <c r="AQ543">
        <v>77</v>
      </c>
      <c r="AR543">
        <v>2023</v>
      </c>
      <c r="AS543" s="72">
        <v>44927</v>
      </c>
      <c r="AT543" s="72">
        <v>45003</v>
      </c>
      <c r="AU543">
        <v>3</v>
      </c>
    </row>
    <row r="544" spans="1:47">
      <c r="A544" t="s">
        <v>3415</v>
      </c>
      <c r="B544">
        <v>2</v>
      </c>
      <c r="C544" s="72">
        <v>45141</v>
      </c>
      <c r="D544">
        <v>11</v>
      </c>
      <c r="E544" s="173">
        <v>0.4861111111111111</v>
      </c>
      <c r="F544" t="s">
        <v>78</v>
      </c>
      <c r="G544" t="s">
        <v>25</v>
      </c>
      <c r="H544" t="s">
        <v>187</v>
      </c>
      <c r="I544" t="s">
        <v>259</v>
      </c>
      <c r="J544" t="s">
        <v>567</v>
      </c>
      <c r="K544" t="s">
        <v>3416</v>
      </c>
      <c r="L544" t="s">
        <v>108</v>
      </c>
      <c r="M544" t="s">
        <v>1029</v>
      </c>
      <c r="N544">
        <v>967555800</v>
      </c>
      <c r="O544" t="s">
        <v>123</v>
      </c>
      <c r="P544" s="154">
        <v>13030401</v>
      </c>
      <c r="Q544" t="s">
        <v>185</v>
      </c>
      <c r="R544" t="s">
        <v>600</v>
      </c>
      <c r="S544" t="s">
        <v>3417</v>
      </c>
      <c r="T544" t="s">
        <v>3418</v>
      </c>
      <c r="U544" t="s">
        <v>3419</v>
      </c>
      <c r="V544" t="s">
        <v>3420</v>
      </c>
      <c r="W544" t="s">
        <v>101</v>
      </c>
      <c r="X544" t="s">
        <v>156</v>
      </c>
      <c r="Y544" s="229">
        <v>538</v>
      </c>
      <c r="Z544" s="176">
        <v>50407.909999999996</v>
      </c>
      <c r="AA544">
        <v>67</v>
      </c>
      <c r="AB544" t="s">
        <v>1459</v>
      </c>
      <c r="AC544" t="s">
        <v>1349</v>
      </c>
      <c r="AD544" s="180">
        <v>1</v>
      </c>
      <c r="AE544" s="180" t="s">
        <v>1292</v>
      </c>
      <c r="AF544" s="180">
        <v>0</v>
      </c>
      <c r="AG544" s="180">
        <v>43.308999999999997</v>
      </c>
      <c r="AH544" s="180">
        <v>0</v>
      </c>
      <c r="AI544" s="180">
        <v>41.874000000000002</v>
      </c>
      <c r="AJ544" s="180">
        <v>8.5120000000000005</v>
      </c>
      <c r="AK544" s="180">
        <v>0</v>
      </c>
      <c r="AL544">
        <v>3</v>
      </c>
      <c r="AM544">
        <v>2023</v>
      </c>
      <c r="AN544" s="180"/>
      <c r="AP544" t="str">
        <f>IF(BD_Bloqueados[[#This Row],[Analista ]]&lt;&gt;"Ana C",MID(BD_Bloqueados[[#This Row],[ID]],3,5),MID(BD_Bloqueados[[#This Row],[ID]],4,5))</f>
        <v>06723</v>
      </c>
      <c r="AQ544">
        <v>77</v>
      </c>
      <c r="AR544">
        <v>2023</v>
      </c>
      <c r="AS544" s="72">
        <v>44927</v>
      </c>
      <c r="AT544" s="72">
        <v>45003</v>
      </c>
      <c r="AU544">
        <v>3</v>
      </c>
    </row>
    <row r="545" spans="1:47">
      <c r="A545" t="s">
        <v>3551</v>
      </c>
      <c r="B545">
        <v>2</v>
      </c>
      <c r="C545" s="72">
        <v>45080</v>
      </c>
      <c r="D545">
        <v>11</v>
      </c>
      <c r="E545" s="173">
        <v>0.79166666666666663</v>
      </c>
      <c r="F545" t="s">
        <v>109</v>
      </c>
      <c r="G545" t="s">
        <v>27</v>
      </c>
      <c r="H545" t="s">
        <v>189</v>
      </c>
      <c r="I545" t="s">
        <v>190</v>
      </c>
      <c r="J545" t="s">
        <v>117</v>
      </c>
      <c r="K545" t="s">
        <v>1136</v>
      </c>
      <c r="L545" t="s">
        <v>108</v>
      </c>
      <c r="M545" t="s">
        <v>1029</v>
      </c>
      <c r="N545">
        <v>967555800</v>
      </c>
      <c r="O545" t="s">
        <v>195</v>
      </c>
      <c r="P545">
        <v>13030093</v>
      </c>
      <c r="Q545" t="s">
        <v>185</v>
      </c>
      <c r="R545" t="s">
        <v>600</v>
      </c>
      <c r="S545" t="s">
        <v>3552</v>
      </c>
      <c r="T545" t="s">
        <v>3553</v>
      </c>
      <c r="U545" t="s">
        <v>3554</v>
      </c>
      <c r="V545" t="s">
        <v>3555</v>
      </c>
      <c r="W545" t="s">
        <v>101</v>
      </c>
      <c r="X545" t="s">
        <v>156</v>
      </c>
      <c r="Y545" s="229">
        <v>162.75</v>
      </c>
      <c r="Z545" s="176">
        <v>21130.2</v>
      </c>
      <c r="AA545">
        <v>65</v>
      </c>
      <c r="AB545" t="s">
        <v>1459</v>
      </c>
      <c r="AC545" t="s">
        <v>1349</v>
      </c>
      <c r="AD545" s="180">
        <v>0.46500000000000002</v>
      </c>
      <c r="AE545" s="180" t="s">
        <v>1374</v>
      </c>
      <c r="AF545" s="180">
        <v>0</v>
      </c>
      <c r="AG545" s="180">
        <v>0.93</v>
      </c>
      <c r="AH545" s="180">
        <v>0</v>
      </c>
      <c r="AI545" s="180">
        <v>59.442</v>
      </c>
      <c r="AJ545" s="180">
        <v>0</v>
      </c>
      <c r="AK545" s="180">
        <v>0</v>
      </c>
      <c r="AL545">
        <v>3</v>
      </c>
      <c r="AM545">
        <v>2023</v>
      </c>
      <c r="AN545" s="180"/>
      <c r="AP545" t="str">
        <f>IF(BD_Bloqueados[[#This Row],[Analista ]]&lt;&gt;"Ana C",MID(BD_Bloqueados[[#This Row],[ID]],3,5),MID(BD_Bloqueados[[#This Row],[ID]],4,5))</f>
        <v>06523</v>
      </c>
      <c r="AQ545">
        <v>76</v>
      </c>
      <c r="AR545">
        <v>2023</v>
      </c>
      <c r="AS545" s="72">
        <v>44927</v>
      </c>
      <c r="AT545" s="72">
        <v>45002</v>
      </c>
      <c r="AU545">
        <v>3</v>
      </c>
    </row>
    <row r="546" spans="1:47">
      <c r="A546" t="s">
        <v>3767</v>
      </c>
      <c r="B546">
        <v>2</v>
      </c>
      <c r="C546" s="72">
        <v>44960</v>
      </c>
      <c r="D546">
        <v>10</v>
      </c>
      <c r="E546" s="173">
        <v>0.4375</v>
      </c>
      <c r="F546" t="s">
        <v>78</v>
      </c>
      <c r="G546" t="s">
        <v>27</v>
      </c>
      <c r="H546" t="s">
        <v>81</v>
      </c>
      <c r="I546" t="s">
        <v>259</v>
      </c>
      <c r="J546" t="s">
        <v>618</v>
      </c>
      <c r="K546" t="s">
        <v>1825</v>
      </c>
      <c r="L546" t="s">
        <v>77</v>
      </c>
      <c r="M546" t="s">
        <v>695</v>
      </c>
      <c r="N546">
        <v>5920758</v>
      </c>
      <c r="O546" t="s">
        <v>514</v>
      </c>
      <c r="P546" s="154">
        <v>10003474</v>
      </c>
      <c r="Q546" t="s">
        <v>138</v>
      </c>
      <c r="R546" t="s">
        <v>79</v>
      </c>
      <c r="S546" t="s">
        <v>3768</v>
      </c>
      <c r="T546" t="s">
        <v>3376</v>
      </c>
      <c r="U546" t="s">
        <v>3769</v>
      </c>
      <c r="V546" t="s">
        <v>3770</v>
      </c>
      <c r="W546" t="s">
        <v>101</v>
      </c>
      <c r="X546" t="s">
        <v>1518</v>
      </c>
      <c r="Y546" s="229">
        <v>7.2</v>
      </c>
      <c r="Z546" s="176"/>
      <c r="AA546">
        <v>142</v>
      </c>
      <c r="AD546" s="180"/>
      <c r="AE546" s="180"/>
      <c r="AF546" s="180"/>
      <c r="AG546" s="180"/>
      <c r="AH546" s="180"/>
      <c r="AI546" s="180"/>
      <c r="AJ546" s="180"/>
      <c r="AK546" s="180"/>
      <c r="AL546">
        <v>3</v>
      </c>
      <c r="AM546">
        <v>2023</v>
      </c>
      <c r="AN546" s="180"/>
      <c r="AP546" t="str">
        <f>IF(BD_Bloqueados[[#This Row],[Analista ]]&lt;&gt;"Ana C",MID(BD_Bloqueados[[#This Row],[ID]],3,5),MID(BD_Bloqueados[[#This Row],[ID]],4,5))</f>
        <v>06123</v>
      </c>
      <c r="AQ546">
        <v>76</v>
      </c>
      <c r="AR546">
        <v>2023</v>
      </c>
      <c r="AS546" s="72">
        <v>44927</v>
      </c>
      <c r="AT546" s="72">
        <v>45002</v>
      </c>
      <c r="AU546">
        <v>3</v>
      </c>
    </row>
    <row r="547" spans="1:47">
      <c r="A547" t="s">
        <v>3881</v>
      </c>
      <c r="B547">
        <v>2</v>
      </c>
      <c r="C547" s="72">
        <v>44960</v>
      </c>
      <c r="D547">
        <v>10</v>
      </c>
      <c r="E547" s="173">
        <v>0.80555555555555547</v>
      </c>
      <c r="F547" t="s">
        <v>109</v>
      </c>
      <c r="G547" t="s">
        <v>31</v>
      </c>
      <c r="H547" t="s">
        <v>84</v>
      </c>
      <c r="I547" t="s">
        <v>581</v>
      </c>
      <c r="J547" t="s">
        <v>595</v>
      </c>
      <c r="K547" t="s">
        <v>3882</v>
      </c>
      <c r="L547" t="s">
        <v>77</v>
      </c>
      <c r="M547" t="s">
        <v>625</v>
      </c>
      <c r="N547">
        <v>77051060</v>
      </c>
      <c r="O547" t="s">
        <v>397</v>
      </c>
      <c r="P547" s="154">
        <v>11001470</v>
      </c>
      <c r="Q547" t="s">
        <v>206</v>
      </c>
      <c r="R547" t="s">
        <v>579</v>
      </c>
      <c r="S547" t="s">
        <v>3883</v>
      </c>
      <c r="T547" t="s">
        <v>3884</v>
      </c>
      <c r="U547" t="s">
        <v>3885</v>
      </c>
      <c r="V547" t="s">
        <v>3886</v>
      </c>
      <c r="W547" t="s">
        <v>101</v>
      </c>
      <c r="X547" t="s">
        <v>1518</v>
      </c>
      <c r="Y547" s="229">
        <v>12.82</v>
      </c>
      <c r="Z547" s="176">
        <v>0</v>
      </c>
      <c r="AA547">
        <v>93097</v>
      </c>
      <c r="AB547" t="s">
        <v>2727</v>
      </c>
      <c r="AC547" t="s">
        <v>39</v>
      </c>
      <c r="AD547" s="180">
        <v>1</v>
      </c>
      <c r="AE547" s="180" t="s">
        <v>1292</v>
      </c>
      <c r="AF547" s="180">
        <v>0</v>
      </c>
      <c r="AG547" s="180">
        <v>0</v>
      </c>
      <c r="AH547" s="180">
        <v>0</v>
      </c>
      <c r="AI547" s="180">
        <v>0</v>
      </c>
      <c r="AJ547" s="180">
        <v>0</v>
      </c>
      <c r="AK547" s="180">
        <v>0</v>
      </c>
      <c r="AL547">
        <v>3</v>
      </c>
      <c r="AM547">
        <v>2023</v>
      </c>
      <c r="AN547" s="180"/>
      <c r="AP547" t="str">
        <f>IF(BD_Bloqueados[[#This Row],[Analista ]]&lt;&gt;"Ana C",MID(BD_Bloqueados[[#This Row],[ID]],3,5),MID(BD_Bloqueados[[#This Row],[ID]],4,5))</f>
        <v>06123</v>
      </c>
      <c r="AQ547">
        <v>75</v>
      </c>
      <c r="AR547">
        <v>2023</v>
      </c>
      <c r="AS547" s="72">
        <v>44927</v>
      </c>
      <c r="AT547" s="72">
        <v>45001</v>
      </c>
      <c r="AU547">
        <v>3</v>
      </c>
    </row>
    <row r="548" spans="1:47">
      <c r="A548" t="s">
        <v>3936</v>
      </c>
      <c r="B548">
        <v>2</v>
      </c>
      <c r="C548" s="72">
        <v>44929</v>
      </c>
      <c r="D548">
        <v>10</v>
      </c>
      <c r="E548" s="173">
        <v>0.40277777777777773</v>
      </c>
      <c r="F548" t="s">
        <v>78</v>
      </c>
      <c r="G548" t="s">
        <v>27</v>
      </c>
      <c r="H548" t="s">
        <v>209</v>
      </c>
      <c r="I548" t="s">
        <v>143</v>
      </c>
      <c r="J548" t="s">
        <v>618</v>
      </c>
      <c r="K548" t="s">
        <v>3937</v>
      </c>
      <c r="L548" t="s">
        <v>108</v>
      </c>
      <c r="M548" t="s">
        <v>1029</v>
      </c>
      <c r="N548">
        <v>967555800</v>
      </c>
      <c r="O548" t="s">
        <v>99</v>
      </c>
      <c r="P548" s="154">
        <v>13001756</v>
      </c>
      <c r="Q548" t="s">
        <v>185</v>
      </c>
      <c r="R548" t="s">
        <v>600</v>
      </c>
      <c r="S548" t="s">
        <v>3938</v>
      </c>
      <c r="T548" t="s">
        <v>3939</v>
      </c>
      <c r="U548" t="s">
        <v>3940</v>
      </c>
      <c r="V548" t="s">
        <v>3941</v>
      </c>
      <c r="W548" t="s">
        <v>101</v>
      </c>
      <c r="X548" t="s">
        <v>156</v>
      </c>
      <c r="Y548" s="229">
        <v>9.7200000000000006</v>
      </c>
      <c r="Z548" s="176">
        <v>3810.1622399999997</v>
      </c>
      <c r="AA548">
        <v>58</v>
      </c>
      <c r="AB548" t="s">
        <v>1459</v>
      </c>
      <c r="AC548" t="s">
        <v>1252</v>
      </c>
      <c r="AD548" s="188">
        <v>1</v>
      </c>
      <c r="AE548" s="189" t="s">
        <v>1292</v>
      </c>
      <c r="AF548" s="180">
        <v>2.5190000000000001</v>
      </c>
      <c r="AG548" s="180">
        <v>154.30699999999999</v>
      </c>
      <c r="AH548" s="180">
        <v>0</v>
      </c>
      <c r="AI548" s="180">
        <v>233.44499999999999</v>
      </c>
      <c r="AJ548" s="180">
        <v>1.7210000000000001</v>
      </c>
      <c r="AK548" s="180">
        <v>0</v>
      </c>
      <c r="AL548">
        <v>3</v>
      </c>
      <c r="AM548">
        <v>2023</v>
      </c>
      <c r="AN548" s="180" t="s">
        <v>1460</v>
      </c>
      <c r="AP548" t="str">
        <f>IF(BD_Bloqueados[[#This Row],[Analista ]]&lt;&gt;"Ana C",MID(BD_Bloqueados[[#This Row],[ID]],3,5),MID(BD_Bloqueados[[#This Row],[ID]],4,5))</f>
        <v>06023</v>
      </c>
      <c r="AQ548">
        <v>74</v>
      </c>
      <c r="AR548">
        <v>2023</v>
      </c>
      <c r="AS548" s="72">
        <v>44927</v>
      </c>
      <c r="AT548" s="72">
        <v>45000</v>
      </c>
      <c r="AU548">
        <v>3</v>
      </c>
    </row>
    <row r="549" spans="1:47">
      <c r="A549" t="s">
        <v>3783</v>
      </c>
      <c r="B549">
        <v>2</v>
      </c>
      <c r="C549" s="72">
        <v>44984</v>
      </c>
      <c r="D549">
        <v>10</v>
      </c>
      <c r="E549" s="173">
        <v>0.45833333333333331</v>
      </c>
      <c r="F549" t="s">
        <v>78</v>
      </c>
      <c r="G549" t="s">
        <v>27</v>
      </c>
      <c r="H549" t="s">
        <v>81</v>
      </c>
      <c r="I549" t="s">
        <v>143</v>
      </c>
      <c r="J549" t="s">
        <v>618</v>
      </c>
      <c r="K549" t="s">
        <v>3784</v>
      </c>
      <c r="L549" t="s">
        <v>108</v>
      </c>
      <c r="M549" t="s">
        <v>1029</v>
      </c>
      <c r="N549">
        <v>967555800</v>
      </c>
      <c r="O549" t="s">
        <v>124</v>
      </c>
      <c r="P549" s="154">
        <v>13001004</v>
      </c>
      <c r="Q549" t="s">
        <v>206</v>
      </c>
      <c r="R549" t="s">
        <v>579</v>
      </c>
      <c r="S549" t="s">
        <v>3785</v>
      </c>
      <c r="T549" t="s">
        <v>3786</v>
      </c>
      <c r="U549" t="s">
        <v>1245</v>
      </c>
      <c r="V549" t="s">
        <v>3787</v>
      </c>
      <c r="W549" t="s">
        <v>101</v>
      </c>
      <c r="X549" t="s">
        <v>129</v>
      </c>
      <c r="Y549" s="229">
        <v>450</v>
      </c>
      <c r="Z549" s="176">
        <v>444299.85000000003</v>
      </c>
      <c r="AA549">
        <v>58</v>
      </c>
      <c r="AB549" t="s">
        <v>3788</v>
      </c>
      <c r="AC549" t="s">
        <v>3431</v>
      </c>
      <c r="AD549" s="188">
        <v>1</v>
      </c>
      <c r="AE549" s="189" t="s">
        <v>1292</v>
      </c>
      <c r="AF549" s="180">
        <v>0</v>
      </c>
      <c r="AG549" s="180">
        <v>8.3919999999999995</v>
      </c>
      <c r="AH549" s="180">
        <v>915.84199999999998</v>
      </c>
      <c r="AI549" s="180">
        <v>63.098999999999997</v>
      </c>
      <c r="AJ549" s="180">
        <v>0</v>
      </c>
      <c r="AK549" s="180">
        <v>0</v>
      </c>
      <c r="AL549">
        <v>2</v>
      </c>
      <c r="AM549">
        <v>2023</v>
      </c>
      <c r="AN549" s="180"/>
      <c r="AP549" t="str">
        <f>IF(BD_Bloqueados[[#This Row],[Analista ]]&lt;&gt;"Ana C",MID(BD_Bloqueados[[#This Row],[ID]],3,5),MID(BD_Bloqueados[[#This Row],[ID]],4,5))</f>
        <v>05823</v>
      </c>
      <c r="AQ549">
        <v>72</v>
      </c>
      <c r="AR549">
        <v>2022</v>
      </c>
      <c r="AS549" s="72">
        <v>44562</v>
      </c>
      <c r="AT549" s="72">
        <v>44633</v>
      </c>
      <c r="AU549">
        <v>3</v>
      </c>
    </row>
    <row r="550" spans="1:47">
      <c r="A550" t="s">
        <v>2051</v>
      </c>
      <c r="B550">
        <v>2</v>
      </c>
      <c r="C550" s="72">
        <v>44981</v>
      </c>
      <c r="D550">
        <v>9</v>
      </c>
      <c r="E550" s="173">
        <v>0.86111111111111116</v>
      </c>
      <c r="F550" t="s">
        <v>136</v>
      </c>
      <c r="G550" t="s">
        <v>23</v>
      </c>
      <c r="H550" t="s">
        <v>139</v>
      </c>
      <c r="I550" t="s">
        <v>581</v>
      </c>
      <c r="J550" t="s">
        <v>595</v>
      </c>
      <c r="K550" t="s">
        <v>2052</v>
      </c>
      <c r="L550" t="s">
        <v>108</v>
      </c>
      <c r="M550" t="s">
        <v>1029</v>
      </c>
      <c r="N550">
        <v>967555800</v>
      </c>
      <c r="O550" t="s">
        <v>96</v>
      </c>
      <c r="P550" s="154">
        <v>12001411</v>
      </c>
      <c r="Q550" t="s">
        <v>138</v>
      </c>
      <c r="R550" t="s">
        <v>1840</v>
      </c>
      <c r="S550" t="s">
        <v>2053</v>
      </c>
      <c r="T550" t="s">
        <v>2054</v>
      </c>
      <c r="U550" t="s">
        <v>2055</v>
      </c>
      <c r="V550" t="s">
        <v>2056</v>
      </c>
      <c r="W550" t="s">
        <v>101</v>
      </c>
      <c r="X550" t="s">
        <v>129</v>
      </c>
      <c r="Y550" s="229">
        <v>2780</v>
      </c>
      <c r="Z550" s="176">
        <v>1603823.7</v>
      </c>
      <c r="AA550">
        <v>54</v>
      </c>
      <c r="AB550" t="s">
        <v>1845</v>
      </c>
      <c r="AC550" s="70" t="s">
        <v>1349</v>
      </c>
      <c r="AD550" s="188">
        <v>1</v>
      </c>
      <c r="AE550" s="189" t="s">
        <v>1292</v>
      </c>
      <c r="AF550" s="180">
        <v>476.08</v>
      </c>
      <c r="AG550" s="180">
        <v>8.1029999999999998</v>
      </c>
      <c r="AH550" s="180">
        <v>0</v>
      </c>
      <c r="AI550" s="180">
        <v>92.731999999999999</v>
      </c>
      <c r="AJ550" s="180">
        <v>0</v>
      </c>
      <c r="AK550" s="180">
        <v>0</v>
      </c>
      <c r="AL550">
        <v>2</v>
      </c>
      <c r="AM550" s="306">
        <v>2023</v>
      </c>
      <c r="AN550" s="180"/>
      <c r="AP550" t="str">
        <f>IF(BD_Bloqueados[[#This Row],[Analista ]]&lt;&gt;"Ana C",MID(BD_Bloqueados[[#This Row],[ID]],3,5),MID(BD_Bloqueados[[#This Row],[ID]],4,5))</f>
        <v>05523</v>
      </c>
      <c r="AQ550">
        <v>69</v>
      </c>
      <c r="AR550">
        <v>2023</v>
      </c>
      <c r="AS550" s="72">
        <v>44927</v>
      </c>
      <c r="AT550" s="72">
        <v>44995</v>
      </c>
      <c r="AU550">
        <v>3</v>
      </c>
    </row>
    <row r="551" spans="1:47">
      <c r="A551" s="182" t="s">
        <v>3789</v>
      </c>
      <c r="B551" s="182">
        <v>2</v>
      </c>
      <c r="C551" s="72">
        <v>44981</v>
      </c>
      <c r="D551" s="182">
        <v>9</v>
      </c>
      <c r="E551" s="184">
        <v>0.99305555555555547</v>
      </c>
      <c r="F551" s="182" t="s">
        <v>136</v>
      </c>
      <c r="G551" s="182" t="s">
        <v>27</v>
      </c>
      <c r="H551" s="182" t="s">
        <v>209</v>
      </c>
      <c r="I551" s="182" t="s">
        <v>615</v>
      </c>
      <c r="J551" s="182" t="s">
        <v>618</v>
      </c>
      <c r="K551" s="182" t="s">
        <v>3790</v>
      </c>
      <c r="L551" s="182" t="s">
        <v>108</v>
      </c>
      <c r="M551" s="182" t="s">
        <v>1029</v>
      </c>
      <c r="N551" s="182">
        <v>967555800</v>
      </c>
      <c r="O551" s="182" t="s">
        <v>99</v>
      </c>
      <c r="P551" s="185">
        <v>13001756</v>
      </c>
      <c r="Q551" s="182" t="s">
        <v>185</v>
      </c>
      <c r="R551" s="182" t="s">
        <v>596</v>
      </c>
      <c r="S551" s="182" t="s">
        <v>3791</v>
      </c>
      <c r="T551" s="182" t="s">
        <v>3792</v>
      </c>
      <c r="U551" s="182" t="s">
        <v>3793</v>
      </c>
      <c r="V551" s="182" t="s">
        <v>3794</v>
      </c>
      <c r="W551" s="182" t="s">
        <v>101</v>
      </c>
      <c r="X551" s="182" t="s">
        <v>156</v>
      </c>
      <c r="Y551" s="233">
        <v>0</v>
      </c>
      <c r="Z551" s="186">
        <v>0</v>
      </c>
      <c r="AA551" s="182" t="s">
        <v>3795</v>
      </c>
      <c r="AB551" s="182" t="s">
        <v>1400</v>
      </c>
      <c r="AC551" s="183" t="s">
        <v>1252</v>
      </c>
      <c r="AD551" s="190">
        <v>1</v>
      </c>
      <c r="AE551" s="187" t="s">
        <v>1292</v>
      </c>
      <c r="AF551" s="180">
        <v>2.5209999999999999</v>
      </c>
      <c r="AG551" s="180">
        <v>156.142</v>
      </c>
      <c r="AH551" s="180">
        <v>0</v>
      </c>
      <c r="AI551" s="180">
        <v>223.58600000000001</v>
      </c>
      <c r="AJ551" s="180">
        <v>0</v>
      </c>
      <c r="AK551" s="180">
        <v>0</v>
      </c>
      <c r="AL551">
        <v>2</v>
      </c>
      <c r="AM551">
        <v>2023</v>
      </c>
      <c r="AN551" s="180" t="s">
        <v>3796</v>
      </c>
      <c r="AP551" t="str">
        <f>IF(BD_Bloqueados[[#This Row],[Analista ]]&lt;&gt;"Ana C",MID(BD_Bloqueados[[#This Row],[ID]],3,5),MID(BD_Bloqueados[[#This Row],[ID]],4,5))</f>
        <v>05523</v>
      </c>
      <c r="AQ551">
        <v>276</v>
      </c>
      <c r="AR551">
        <v>2023</v>
      </c>
      <c r="AS551" s="72">
        <v>44927</v>
      </c>
      <c r="AT551" s="72">
        <v>45202</v>
      </c>
      <c r="AU551">
        <v>10</v>
      </c>
    </row>
    <row r="552" spans="1:47">
      <c r="A552" t="s">
        <v>3797</v>
      </c>
      <c r="B552">
        <v>2</v>
      </c>
      <c r="C552" s="72">
        <v>44981</v>
      </c>
      <c r="D552">
        <v>9</v>
      </c>
      <c r="E552" s="173">
        <v>0.625</v>
      </c>
      <c r="F552" t="s">
        <v>109</v>
      </c>
      <c r="G552" t="s">
        <v>31</v>
      </c>
      <c r="H552" t="s">
        <v>84</v>
      </c>
      <c r="I552" t="s">
        <v>143</v>
      </c>
      <c r="J552" t="s">
        <v>567</v>
      </c>
      <c r="K552" t="s">
        <v>2546</v>
      </c>
      <c r="L552" t="s">
        <v>108</v>
      </c>
      <c r="M552" t="s">
        <v>1029</v>
      </c>
      <c r="N552">
        <v>967555800</v>
      </c>
      <c r="O552" t="s">
        <v>99</v>
      </c>
      <c r="P552" s="154">
        <v>13001756</v>
      </c>
      <c r="Q552" t="s">
        <v>138</v>
      </c>
      <c r="R552" t="s">
        <v>589</v>
      </c>
      <c r="S552" t="s">
        <v>3798</v>
      </c>
      <c r="T552" t="s">
        <v>3799</v>
      </c>
      <c r="U552" t="s">
        <v>3800</v>
      </c>
      <c r="V552" t="s">
        <v>3801</v>
      </c>
      <c r="W552" t="s">
        <v>101</v>
      </c>
      <c r="X552" t="s">
        <v>156</v>
      </c>
      <c r="Y552" s="229">
        <v>718</v>
      </c>
      <c r="Z552" s="186">
        <v>274454.78200000001</v>
      </c>
      <c r="AA552">
        <v>55</v>
      </c>
      <c r="AB552" t="s">
        <v>1290</v>
      </c>
      <c r="AC552" t="s">
        <v>1252</v>
      </c>
      <c r="AD552" s="190">
        <v>1</v>
      </c>
      <c r="AE552" s="189" t="s">
        <v>1292</v>
      </c>
      <c r="AF552" s="180">
        <v>2.5209999999999999</v>
      </c>
      <c r="AG552" s="180">
        <v>156.142</v>
      </c>
      <c r="AH552" s="180">
        <v>0</v>
      </c>
      <c r="AI552" s="180">
        <v>223.58600000000001</v>
      </c>
      <c r="AJ552" s="180">
        <v>0</v>
      </c>
      <c r="AK552" s="180">
        <v>0</v>
      </c>
      <c r="AL552">
        <v>2</v>
      </c>
      <c r="AM552">
        <v>2023</v>
      </c>
      <c r="AN552" s="180" t="s">
        <v>1611</v>
      </c>
      <c r="AP552" t="str">
        <f>IF(BD_Bloqueados[[#This Row],[Analista ]]&lt;&gt;"Ana C",MID(BD_Bloqueados[[#This Row],[ID]],3,5),MID(BD_Bloqueados[[#This Row],[ID]],4,5))</f>
        <v>05523</v>
      </c>
      <c r="AQ552">
        <v>276</v>
      </c>
      <c r="AR552">
        <v>2023</v>
      </c>
      <c r="AS552" s="72">
        <v>44927</v>
      </c>
      <c r="AT552" s="72">
        <v>45202</v>
      </c>
      <c r="AU552">
        <v>10</v>
      </c>
    </row>
    <row r="553" spans="1:47">
      <c r="A553" t="s">
        <v>3802</v>
      </c>
      <c r="B553">
        <v>2</v>
      </c>
      <c r="C553" s="72">
        <v>44980</v>
      </c>
      <c r="D553">
        <v>9</v>
      </c>
      <c r="E553" s="173">
        <v>0.15972222222222224</v>
      </c>
      <c r="F553" t="s">
        <v>136</v>
      </c>
      <c r="G553" t="s">
        <v>27</v>
      </c>
      <c r="H553" t="s">
        <v>209</v>
      </c>
      <c r="I553" t="s">
        <v>615</v>
      </c>
      <c r="J553" t="s">
        <v>618</v>
      </c>
      <c r="K553" t="s">
        <v>3790</v>
      </c>
      <c r="L553" t="s">
        <v>108</v>
      </c>
      <c r="M553" t="s">
        <v>1029</v>
      </c>
      <c r="N553">
        <v>967555800</v>
      </c>
      <c r="O553" t="s">
        <v>154</v>
      </c>
      <c r="P553" s="154">
        <v>13030471</v>
      </c>
      <c r="Q553" t="s">
        <v>185</v>
      </c>
      <c r="R553" t="s">
        <v>596</v>
      </c>
      <c r="S553" t="s">
        <v>3803</v>
      </c>
      <c r="T553" t="s">
        <v>3804</v>
      </c>
      <c r="U553" t="s">
        <v>3805</v>
      </c>
      <c r="V553" t="s">
        <v>3806</v>
      </c>
      <c r="W553" t="s">
        <v>101</v>
      </c>
      <c r="X553" t="s">
        <v>156</v>
      </c>
      <c r="Y553" s="229">
        <v>371</v>
      </c>
      <c r="Z553" s="186">
        <v>197670.28399999999</v>
      </c>
      <c r="AA553">
        <v>53</v>
      </c>
      <c r="AB553" t="s">
        <v>1400</v>
      </c>
      <c r="AC553" s="70" t="s">
        <v>1252</v>
      </c>
      <c r="AD553" s="190">
        <v>1</v>
      </c>
      <c r="AE553" s="189" t="s">
        <v>1292</v>
      </c>
      <c r="AF553" s="180">
        <v>15.779</v>
      </c>
      <c r="AG553" s="180">
        <v>144.88</v>
      </c>
      <c r="AH553" s="180">
        <v>0</v>
      </c>
      <c r="AI553" s="180">
        <v>372.14499999999998</v>
      </c>
      <c r="AJ553" s="180">
        <v>0</v>
      </c>
      <c r="AK553" s="180">
        <v>0</v>
      </c>
      <c r="AL553">
        <v>2</v>
      </c>
      <c r="AM553">
        <v>2023</v>
      </c>
      <c r="AN553" s="180" t="s">
        <v>3796</v>
      </c>
      <c r="AP553" t="str">
        <f>IF(BD_Bloqueados[[#This Row],[Analista ]]&lt;&gt;"Ana C",MID(BD_Bloqueados[[#This Row],[ID]],3,5),MID(BD_Bloqueados[[#This Row],[ID]],4,5))</f>
        <v>05423</v>
      </c>
      <c r="AQ553">
        <v>347</v>
      </c>
      <c r="AR553">
        <v>2023</v>
      </c>
      <c r="AS553" s="72">
        <v>44927</v>
      </c>
      <c r="AT553" s="72">
        <v>45273</v>
      </c>
      <c r="AU553">
        <v>12</v>
      </c>
    </row>
    <row r="554" spans="1:47">
      <c r="A554" t="s">
        <v>3807</v>
      </c>
      <c r="B554">
        <v>2</v>
      </c>
      <c r="C554" s="72">
        <v>44980</v>
      </c>
      <c r="D554">
        <v>9</v>
      </c>
      <c r="E554" s="173">
        <v>0</v>
      </c>
      <c r="F554" t="s">
        <v>136</v>
      </c>
      <c r="G554" t="s">
        <v>24</v>
      </c>
      <c r="H554" t="s">
        <v>112</v>
      </c>
      <c r="I554" t="s">
        <v>581</v>
      </c>
      <c r="J554" t="s">
        <v>595</v>
      </c>
      <c r="K554" t="s">
        <v>1053</v>
      </c>
      <c r="L554" t="s">
        <v>108</v>
      </c>
      <c r="M554" t="s">
        <v>1029</v>
      </c>
      <c r="N554">
        <v>967555800</v>
      </c>
      <c r="O554" t="s">
        <v>124</v>
      </c>
      <c r="P554" s="154">
        <v>13001004</v>
      </c>
      <c r="Q554" t="s">
        <v>138</v>
      </c>
      <c r="R554" t="s">
        <v>589</v>
      </c>
      <c r="S554" t="s">
        <v>3808</v>
      </c>
      <c r="T554" t="s">
        <v>3809</v>
      </c>
      <c r="U554" t="s">
        <v>3810</v>
      </c>
      <c r="V554" t="s">
        <v>3811</v>
      </c>
      <c r="W554" t="s">
        <v>101</v>
      </c>
      <c r="X554" t="s">
        <v>102</v>
      </c>
      <c r="Y554" s="229">
        <v>645</v>
      </c>
      <c r="Z554" s="186">
        <v>0</v>
      </c>
      <c r="AA554" t="s">
        <v>3812</v>
      </c>
      <c r="AB554" t="s">
        <v>1356</v>
      </c>
      <c r="AC554" s="70" t="s">
        <v>1349</v>
      </c>
      <c r="AD554" s="190">
        <v>1</v>
      </c>
      <c r="AE554" s="189" t="s">
        <v>1292</v>
      </c>
      <c r="AF554" s="180">
        <v>0</v>
      </c>
      <c r="AG554" s="180">
        <v>0</v>
      </c>
      <c r="AH554" s="180">
        <v>0</v>
      </c>
      <c r="AI554" s="180">
        <v>0</v>
      </c>
      <c r="AJ554" s="180">
        <v>0</v>
      </c>
      <c r="AK554" s="180">
        <v>0</v>
      </c>
      <c r="AL554">
        <v>2</v>
      </c>
      <c r="AM554">
        <v>2023</v>
      </c>
      <c r="AN554" s="180"/>
      <c r="AP554" t="str">
        <f>IF(BD_Bloqueados[[#This Row],[Analista ]]&lt;&gt;"Ana C",MID(BD_Bloqueados[[#This Row],[ID]],3,5),MID(BD_Bloqueados[[#This Row],[ID]],4,5))</f>
        <v>05423</v>
      </c>
      <c r="AQ554">
        <v>154</v>
      </c>
      <c r="AR554">
        <v>2023</v>
      </c>
      <c r="AS554" s="72">
        <v>44927</v>
      </c>
      <c r="AT554" s="72">
        <v>45080</v>
      </c>
      <c r="AU554">
        <v>6</v>
      </c>
    </row>
    <row r="555" spans="1:47">
      <c r="A555" t="s">
        <v>3813</v>
      </c>
      <c r="B555">
        <v>2</v>
      </c>
      <c r="C555" s="72">
        <v>44979</v>
      </c>
      <c r="D555">
        <v>9</v>
      </c>
      <c r="E555" s="173">
        <v>0.97916666666666663</v>
      </c>
      <c r="F555" t="s">
        <v>136</v>
      </c>
      <c r="G555" t="s">
        <v>27</v>
      </c>
      <c r="H555" t="s">
        <v>209</v>
      </c>
      <c r="I555" t="s">
        <v>615</v>
      </c>
      <c r="J555" t="s">
        <v>618</v>
      </c>
      <c r="K555" t="s">
        <v>3790</v>
      </c>
      <c r="L555" t="s">
        <v>77</v>
      </c>
      <c r="M555" t="s">
        <v>724</v>
      </c>
      <c r="N555">
        <v>76085332</v>
      </c>
      <c r="O555" t="s">
        <v>937</v>
      </c>
      <c r="P555" s="154">
        <v>11001874</v>
      </c>
      <c r="Q555" t="s">
        <v>80</v>
      </c>
      <c r="R555" t="s">
        <v>613</v>
      </c>
      <c r="S555" t="s">
        <v>3814</v>
      </c>
      <c r="T555" t="s">
        <v>3815</v>
      </c>
      <c r="U555" t="s">
        <v>3816</v>
      </c>
      <c r="V555" t="s">
        <v>3817</v>
      </c>
      <c r="W555" t="s">
        <v>101</v>
      </c>
      <c r="X555" t="s">
        <v>1518</v>
      </c>
      <c r="Y555" s="229">
        <v>72.5</v>
      </c>
      <c r="Z555" s="186">
        <v>0</v>
      </c>
      <c r="AA555">
        <v>5016611</v>
      </c>
      <c r="AB555" t="s">
        <v>2727</v>
      </c>
      <c r="AC555" s="302" t="s">
        <v>39</v>
      </c>
      <c r="AD555" s="190">
        <v>1</v>
      </c>
      <c r="AE555" s="189" t="s">
        <v>1292</v>
      </c>
      <c r="AF555" s="180">
        <v>0</v>
      </c>
      <c r="AG555" s="180">
        <v>0</v>
      </c>
      <c r="AH555" s="180">
        <v>0</v>
      </c>
      <c r="AI555" s="180">
        <v>0</v>
      </c>
      <c r="AJ555" s="180">
        <v>0</v>
      </c>
      <c r="AK555" s="180">
        <v>0</v>
      </c>
      <c r="AL555">
        <v>2</v>
      </c>
      <c r="AM555">
        <v>2023</v>
      </c>
      <c r="AN555" s="180"/>
      <c r="AP555" t="str">
        <f>IF(BD_Bloqueados[[#This Row],[Analista ]]&lt;&gt;"Ana C",MID(BD_Bloqueados[[#This Row],[ID]],3,5),MID(BD_Bloqueados[[#This Row],[ID]],4,5))</f>
        <v>05323</v>
      </c>
      <c r="AQ555">
        <v>61</v>
      </c>
      <c r="AR555">
        <v>2023</v>
      </c>
      <c r="AS555" s="72">
        <v>44927</v>
      </c>
      <c r="AT555" s="72">
        <v>44987</v>
      </c>
      <c r="AU555">
        <v>3</v>
      </c>
    </row>
    <row r="556" spans="1:47" ht="15" thickBot="1">
      <c r="A556" t="s">
        <v>3818</v>
      </c>
      <c r="B556">
        <v>2</v>
      </c>
      <c r="C556" s="72">
        <v>44979</v>
      </c>
      <c r="D556">
        <v>9</v>
      </c>
      <c r="E556" s="173">
        <v>0.95138888888888884</v>
      </c>
      <c r="F556" t="s">
        <v>136</v>
      </c>
      <c r="G556" t="s">
        <v>27</v>
      </c>
      <c r="H556" t="s">
        <v>209</v>
      </c>
      <c r="I556" t="s">
        <v>615</v>
      </c>
      <c r="J556" t="s">
        <v>618</v>
      </c>
      <c r="K556" t="s">
        <v>3088</v>
      </c>
      <c r="L556" t="s">
        <v>108</v>
      </c>
      <c r="M556" t="s">
        <v>1029</v>
      </c>
      <c r="N556">
        <v>967555800</v>
      </c>
      <c r="O556" t="s">
        <v>99</v>
      </c>
      <c r="P556" s="154">
        <v>13001756</v>
      </c>
      <c r="Q556" t="s">
        <v>185</v>
      </c>
      <c r="R556" t="s">
        <v>596</v>
      </c>
      <c r="S556" t="s">
        <v>3819</v>
      </c>
      <c r="T556" t="s">
        <v>3804</v>
      </c>
      <c r="U556" t="s">
        <v>3805</v>
      </c>
      <c r="V556" t="s">
        <v>3820</v>
      </c>
      <c r="W556" t="s">
        <v>101</v>
      </c>
      <c r="X556" t="s">
        <v>156</v>
      </c>
      <c r="Y556" s="229">
        <v>239</v>
      </c>
      <c r="Z556" s="186">
        <v>91357.510999999999</v>
      </c>
      <c r="AA556" t="s">
        <v>3821</v>
      </c>
      <c r="AB556" s="153" t="s">
        <v>1400</v>
      </c>
      <c r="AC556" s="153" t="s">
        <v>1252</v>
      </c>
      <c r="AD556" s="190">
        <v>1</v>
      </c>
      <c r="AE556" s="189" t="s">
        <v>1292</v>
      </c>
      <c r="AF556" s="180">
        <v>2.5209999999999999</v>
      </c>
      <c r="AG556" s="180">
        <v>156.142</v>
      </c>
      <c r="AH556" s="180">
        <v>0</v>
      </c>
      <c r="AI556" s="180">
        <v>223.58600000000001</v>
      </c>
      <c r="AJ556" s="180">
        <v>0</v>
      </c>
      <c r="AK556" s="180">
        <v>0</v>
      </c>
      <c r="AL556">
        <v>2</v>
      </c>
      <c r="AM556">
        <v>2023</v>
      </c>
      <c r="AN556" s="180" t="s">
        <v>3796</v>
      </c>
      <c r="AP556" t="str">
        <f>IF(BD_Bloqueados[[#This Row],[Analista ]]&lt;&gt;"Ana C",MID(BD_Bloqueados[[#This Row],[ID]],3,5),MID(BD_Bloqueados[[#This Row],[ID]],4,5))</f>
        <v>05323</v>
      </c>
      <c r="AQ556">
        <v>3</v>
      </c>
      <c r="AR556">
        <v>2023</v>
      </c>
      <c r="AS556" s="72">
        <v>44927</v>
      </c>
      <c r="AT556" s="72">
        <v>44929</v>
      </c>
      <c r="AU556">
        <v>1</v>
      </c>
    </row>
    <row r="557" spans="1:47">
      <c r="A557" t="s">
        <v>3822</v>
      </c>
      <c r="B557">
        <v>2</v>
      </c>
      <c r="C557" s="72">
        <v>44978</v>
      </c>
      <c r="D557">
        <v>9</v>
      </c>
      <c r="E557" s="173">
        <v>0.89236111111111116</v>
      </c>
      <c r="F557" t="s">
        <v>136</v>
      </c>
      <c r="G557" t="s">
        <v>28</v>
      </c>
      <c r="H557" t="s">
        <v>165</v>
      </c>
      <c r="I557" t="s">
        <v>615</v>
      </c>
      <c r="J557" t="s">
        <v>618</v>
      </c>
      <c r="K557" t="s">
        <v>3823</v>
      </c>
      <c r="L557" t="s">
        <v>108</v>
      </c>
      <c r="M557" t="s">
        <v>1029</v>
      </c>
      <c r="N557">
        <v>967555800</v>
      </c>
      <c r="O557" t="s">
        <v>120</v>
      </c>
      <c r="P557" s="154">
        <v>13000012</v>
      </c>
      <c r="Q557" t="s">
        <v>138</v>
      </c>
      <c r="R557" t="s">
        <v>589</v>
      </c>
      <c r="S557" t="s">
        <v>3824</v>
      </c>
      <c r="T557" t="s">
        <v>1318</v>
      </c>
      <c r="U557" t="s">
        <v>3825</v>
      </c>
      <c r="V557" t="s">
        <v>3826</v>
      </c>
      <c r="W557" t="s">
        <v>101</v>
      </c>
      <c r="X557" t="s">
        <v>102</v>
      </c>
      <c r="Y557" s="229">
        <v>532</v>
      </c>
      <c r="Z557" s="186">
        <v>0</v>
      </c>
      <c r="AA557">
        <v>51</v>
      </c>
      <c r="AB557" t="s">
        <v>1356</v>
      </c>
      <c r="AC557" s="70" t="s">
        <v>1349</v>
      </c>
      <c r="AD557" s="190">
        <v>0.19</v>
      </c>
      <c r="AE557" s="189" t="s">
        <v>1374</v>
      </c>
      <c r="AF557" s="180">
        <v>0</v>
      </c>
      <c r="AG557" s="180">
        <v>0</v>
      </c>
      <c r="AH557" s="180">
        <v>0</v>
      </c>
      <c r="AI557" s="180">
        <v>0</v>
      </c>
      <c r="AJ557" s="180">
        <v>0</v>
      </c>
      <c r="AK557" s="180">
        <v>0</v>
      </c>
      <c r="AL557">
        <v>2</v>
      </c>
      <c r="AM557">
        <v>2023</v>
      </c>
      <c r="AN557" s="180"/>
      <c r="AP557" t="str">
        <f>IF(BD_Bloqueados[[#This Row],[Analista ]]&lt;&gt;"Ana C",MID(BD_Bloqueados[[#This Row],[ID]],3,5),MID(BD_Bloqueados[[#This Row],[ID]],4,5))</f>
        <v>05223</v>
      </c>
      <c r="AQ557">
        <v>3</v>
      </c>
      <c r="AR557">
        <v>2023</v>
      </c>
      <c r="AS557" s="72">
        <v>44927</v>
      </c>
      <c r="AT557" s="72">
        <v>44929</v>
      </c>
      <c r="AU557">
        <v>1</v>
      </c>
    </row>
    <row r="558" spans="1:47">
      <c r="A558" t="s">
        <v>2545</v>
      </c>
      <c r="B558">
        <v>2</v>
      </c>
      <c r="C558" s="72">
        <v>44977</v>
      </c>
      <c r="D558">
        <v>9</v>
      </c>
      <c r="E558" s="173">
        <v>0.80555555555555547</v>
      </c>
      <c r="F558" t="s">
        <v>109</v>
      </c>
      <c r="G558" t="s">
        <v>22</v>
      </c>
      <c r="H558" t="s">
        <v>164</v>
      </c>
      <c r="I558" t="s">
        <v>143</v>
      </c>
      <c r="J558" t="s">
        <v>567</v>
      </c>
      <c r="K558" t="s">
        <v>2546</v>
      </c>
      <c r="L558" t="s">
        <v>108</v>
      </c>
      <c r="M558" t="s">
        <v>1029</v>
      </c>
      <c r="N558">
        <v>967555800</v>
      </c>
      <c r="O558" t="s">
        <v>219</v>
      </c>
      <c r="P558" s="154">
        <v>13030543</v>
      </c>
      <c r="Q558" t="s">
        <v>206</v>
      </c>
      <c r="R558" t="s">
        <v>619</v>
      </c>
      <c r="S558" t="s">
        <v>2547</v>
      </c>
      <c r="T558" t="s">
        <v>2548</v>
      </c>
      <c r="U558" t="s">
        <v>2549</v>
      </c>
      <c r="W558" t="s">
        <v>101</v>
      </c>
      <c r="X558" t="s">
        <v>129</v>
      </c>
      <c r="Y558" s="229">
        <v>1520</v>
      </c>
      <c r="Z558" s="186">
        <v>1065640.0799999998</v>
      </c>
      <c r="AA558">
        <v>51</v>
      </c>
      <c r="AB558" t="s">
        <v>619</v>
      </c>
      <c r="AC558" s="70" t="s">
        <v>1252</v>
      </c>
      <c r="AD558" s="190">
        <v>1</v>
      </c>
      <c r="AE558" s="189" t="s">
        <v>1292</v>
      </c>
      <c r="AF558" s="180">
        <v>0</v>
      </c>
      <c r="AG558" s="180">
        <v>0.46400000000000002</v>
      </c>
      <c r="AH558" s="180">
        <v>629.62699999999995</v>
      </c>
      <c r="AI558" s="180">
        <v>70.988</v>
      </c>
      <c r="AJ558" s="180">
        <v>0</v>
      </c>
      <c r="AK558" s="180">
        <v>0</v>
      </c>
      <c r="AL558" s="306">
        <v>2</v>
      </c>
      <c r="AM558" s="306">
        <v>2023</v>
      </c>
      <c r="AN558" s="180" t="s">
        <v>1611</v>
      </c>
      <c r="AP558" t="str">
        <f>IF(BD_Bloqueados[[#This Row],[Analista ]]&lt;&gt;"Ana C",MID(BD_Bloqueados[[#This Row],[ID]],3,5),MID(BD_Bloqueados[[#This Row],[ID]],4,5))</f>
        <v>05123</v>
      </c>
      <c r="AQ558">
        <v>58</v>
      </c>
      <c r="AR558">
        <v>2023</v>
      </c>
      <c r="AS558" s="72">
        <v>44927</v>
      </c>
      <c r="AT558" s="72">
        <v>44984</v>
      </c>
      <c r="AU558">
        <v>2</v>
      </c>
    </row>
    <row r="559" spans="1:47">
      <c r="A559" t="s">
        <v>3827</v>
      </c>
      <c r="B559">
        <v>2</v>
      </c>
      <c r="C559" s="72">
        <v>44977</v>
      </c>
      <c r="D559">
        <v>9</v>
      </c>
      <c r="E559" s="173">
        <v>0.86111111111111116</v>
      </c>
      <c r="F559" t="s">
        <v>136</v>
      </c>
      <c r="G559" t="s">
        <v>23</v>
      </c>
      <c r="H559" t="s">
        <v>164</v>
      </c>
      <c r="I559" t="s">
        <v>581</v>
      </c>
      <c r="J559" t="s">
        <v>595</v>
      </c>
      <c r="K559" t="s">
        <v>3828</v>
      </c>
      <c r="L559" t="s">
        <v>108</v>
      </c>
      <c r="M559" t="s">
        <v>1029</v>
      </c>
      <c r="N559">
        <v>967555800</v>
      </c>
      <c r="O559" t="s">
        <v>94</v>
      </c>
      <c r="P559" s="154">
        <v>12001397</v>
      </c>
      <c r="Q559" t="s">
        <v>138</v>
      </c>
      <c r="R559" t="s">
        <v>589</v>
      </c>
      <c r="S559" t="s">
        <v>3829</v>
      </c>
      <c r="T559" t="s">
        <v>3830</v>
      </c>
      <c r="U559" t="s">
        <v>3831</v>
      </c>
      <c r="V559" t="s">
        <v>3832</v>
      </c>
      <c r="W559" t="s">
        <v>101</v>
      </c>
      <c r="X559" t="s">
        <v>102</v>
      </c>
      <c r="Y559" s="229">
        <v>4435.2</v>
      </c>
      <c r="Z559" s="186">
        <v>0</v>
      </c>
      <c r="AA559">
        <v>51102</v>
      </c>
      <c r="AB559" t="s">
        <v>1845</v>
      </c>
      <c r="AC559" t="s">
        <v>1349</v>
      </c>
      <c r="AD559" s="188">
        <v>1</v>
      </c>
      <c r="AE559" s="189" t="s">
        <v>1292</v>
      </c>
      <c r="AF559" s="180">
        <v>0</v>
      </c>
      <c r="AG559" s="180">
        <v>0</v>
      </c>
      <c r="AH559" s="180">
        <v>0</v>
      </c>
      <c r="AI559" s="180">
        <v>0</v>
      </c>
      <c r="AJ559" s="180">
        <v>0</v>
      </c>
      <c r="AK559" s="180">
        <v>0</v>
      </c>
      <c r="AL559">
        <v>2</v>
      </c>
      <c r="AM559">
        <v>2023</v>
      </c>
      <c r="AN559" s="180"/>
      <c r="AP559" t="str">
        <f>IF(BD_Bloqueados[[#This Row],[Analista ]]&lt;&gt;"Ana C",MID(BD_Bloqueados[[#This Row],[ID]],3,5),MID(BD_Bloqueados[[#This Row],[ID]],4,5))</f>
        <v>05123</v>
      </c>
      <c r="AQ559">
        <v>55</v>
      </c>
      <c r="AR559">
        <v>2023</v>
      </c>
      <c r="AS559" s="72">
        <v>44927</v>
      </c>
      <c r="AT559" s="72">
        <v>44981</v>
      </c>
      <c r="AU559">
        <v>2</v>
      </c>
    </row>
    <row r="560" spans="1:47">
      <c r="A560" t="s">
        <v>3833</v>
      </c>
      <c r="B560">
        <v>2</v>
      </c>
      <c r="C560" s="72">
        <v>44974</v>
      </c>
      <c r="D560">
        <v>8</v>
      </c>
      <c r="E560" s="173">
        <v>0.19930555555555554</v>
      </c>
      <c r="F560" t="s">
        <v>136</v>
      </c>
      <c r="G560" t="s">
        <v>23</v>
      </c>
      <c r="H560" t="s">
        <v>187</v>
      </c>
      <c r="I560" t="s">
        <v>259</v>
      </c>
      <c r="J560" t="s">
        <v>169</v>
      </c>
      <c r="K560" t="s">
        <v>3029</v>
      </c>
      <c r="L560" t="s">
        <v>77</v>
      </c>
      <c r="M560" t="s">
        <v>732</v>
      </c>
      <c r="N560">
        <v>77099530</v>
      </c>
      <c r="O560" t="s">
        <v>407</v>
      </c>
      <c r="P560" s="154">
        <v>11001557</v>
      </c>
      <c r="Q560" t="s">
        <v>206</v>
      </c>
      <c r="R560" t="s">
        <v>579</v>
      </c>
      <c r="S560" t="s">
        <v>3834</v>
      </c>
      <c r="T560" t="s">
        <v>3815</v>
      </c>
      <c r="U560" t="s">
        <v>3835</v>
      </c>
      <c r="W560" t="s">
        <v>101</v>
      </c>
      <c r="X560" t="s">
        <v>1518</v>
      </c>
      <c r="Y560" s="229">
        <v>0</v>
      </c>
      <c r="Z560" s="186">
        <v>0</v>
      </c>
      <c r="AA560">
        <v>41789</v>
      </c>
      <c r="AB560" t="s">
        <v>2727</v>
      </c>
      <c r="AC560" s="70" t="s">
        <v>1629</v>
      </c>
      <c r="AD560" s="188">
        <v>1</v>
      </c>
      <c r="AE560" s="189" t="s">
        <v>1292</v>
      </c>
      <c r="AF560" s="180">
        <v>0</v>
      </c>
      <c r="AG560" s="180">
        <v>0</v>
      </c>
      <c r="AH560" s="180">
        <v>0</v>
      </c>
      <c r="AI560" s="180">
        <v>0</v>
      </c>
      <c r="AJ560" s="180">
        <v>0</v>
      </c>
      <c r="AK560" s="180">
        <v>0</v>
      </c>
      <c r="AL560">
        <v>2</v>
      </c>
      <c r="AM560">
        <v>2023</v>
      </c>
      <c r="AN560" s="180"/>
      <c r="AP560" t="str">
        <f>IF(BD_Bloqueados[[#This Row],[Analista ]]&lt;&gt;"Ana C",MID(BD_Bloqueados[[#This Row],[ID]],3,5),MID(BD_Bloqueados[[#This Row],[ID]],4,5))</f>
        <v>04823</v>
      </c>
      <c r="AQ560">
        <v>55</v>
      </c>
      <c r="AR560">
        <v>2023</v>
      </c>
      <c r="AS560" s="72">
        <v>44927</v>
      </c>
      <c r="AT560" s="72">
        <v>44981</v>
      </c>
      <c r="AU560">
        <v>2</v>
      </c>
    </row>
    <row r="561" spans="1:47">
      <c r="A561" t="s">
        <v>3836</v>
      </c>
      <c r="B561">
        <v>2</v>
      </c>
      <c r="C561" s="72">
        <v>44972</v>
      </c>
      <c r="D561">
        <v>8</v>
      </c>
      <c r="E561" s="173">
        <v>0.78125</v>
      </c>
      <c r="F561" t="s">
        <v>109</v>
      </c>
      <c r="G561" t="s">
        <v>29</v>
      </c>
      <c r="H561" t="s">
        <v>83</v>
      </c>
      <c r="I561" t="s">
        <v>87</v>
      </c>
      <c r="J561" t="s">
        <v>117</v>
      </c>
      <c r="K561" t="s">
        <v>3284</v>
      </c>
      <c r="L561" t="s">
        <v>108</v>
      </c>
      <c r="M561" t="s">
        <v>1029</v>
      </c>
      <c r="N561">
        <v>967555800</v>
      </c>
      <c r="O561" t="s">
        <v>146</v>
      </c>
      <c r="P561" s="154">
        <v>13030557</v>
      </c>
      <c r="Q561" t="s">
        <v>138</v>
      </c>
      <c r="R561" t="s">
        <v>1840</v>
      </c>
      <c r="S561" t="s">
        <v>3837</v>
      </c>
      <c r="T561" t="s">
        <v>3838</v>
      </c>
      <c r="U561" t="s">
        <v>3839</v>
      </c>
      <c r="V561" t="s">
        <v>3840</v>
      </c>
      <c r="W561" t="s">
        <v>101</v>
      </c>
      <c r="X561" t="s">
        <v>129</v>
      </c>
      <c r="Y561" s="229">
        <v>180</v>
      </c>
      <c r="Z561" s="186">
        <v>365238.4615384615</v>
      </c>
      <c r="AA561">
        <v>46</v>
      </c>
      <c r="AB561" t="s">
        <v>1845</v>
      </c>
      <c r="AC561" s="70" t="s">
        <v>1349</v>
      </c>
      <c r="AD561" s="188">
        <v>3.9E-2</v>
      </c>
      <c r="AE561" s="189" t="s">
        <v>1292</v>
      </c>
      <c r="AF561" s="180">
        <v>74.778999999999996</v>
      </c>
      <c r="AG561" s="180">
        <v>0</v>
      </c>
      <c r="AH561" s="180">
        <v>0</v>
      </c>
      <c r="AI561" s="180">
        <v>4.3559999999999999</v>
      </c>
      <c r="AJ561" s="180">
        <v>0</v>
      </c>
      <c r="AK561" s="180">
        <v>0</v>
      </c>
      <c r="AL561">
        <v>2</v>
      </c>
      <c r="AM561">
        <v>2023</v>
      </c>
      <c r="AN561" s="180"/>
      <c r="AP561" t="str">
        <f>IF(BD_Bloqueados[[#This Row],[Analista ]]&lt;&gt;"Ana C",MID(BD_Bloqueados[[#This Row],[ID]],3,5),MID(BD_Bloqueados[[#This Row],[ID]],4,5))</f>
        <v>04623</v>
      </c>
      <c r="AQ561">
        <v>54</v>
      </c>
      <c r="AR561">
        <v>2023</v>
      </c>
      <c r="AS561" s="72">
        <v>44927</v>
      </c>
      <c r="AT561" s="72">
        <v>44980</v>
      </c>
      <c r="AU561">
        <v>2</v>
      </c>
    </row>
    <row r="562" spans="1:47">
      <c r="A562" t="s">
        <v>3841</v>
      </c>
      <c r="B562">
        <v>2</v>
      </c>
      <c r="C562" s="72">
        <v>44972</v>
      </c>
      <c r="D562">
        <v>8</v>
      </c>
      <c r="E562" s="173">
        <v>0.78125</v>
      </c>
      <c r="F562" t="s">
        <v>109</v>
      </c>
      <c r="G562" t="s">
        <v>29</v>
      </c>
      <c r="H562" t="s">
        <v>141</v>
      </c>
      <c r="I562" t="s">
        <v>87</v>
      </c>
      <c r="J562" t="s">
        <v>117</v>
      </c>
      <c r="K562" t="s">
        <v>3284</v>
      </c>
      <c r="L562" t="s">
        <v>108</v>
      </c>
      <c r="M562" t="s">
        <v>1029</v>
      </c>
      <c r="N562">
        <v>967555800</v>
      </c>
      <c r="O562" t="s">
        <v>119</v>
      </c>
      <c r="P562" s="154">
        <v>12001437</v>
      </c>
      <c r="Q562" t="s">
        <v>138</v>
      </c>
      <c r="R562" t="s">
        <v>1840</v>
      </c>
      <c r="S562" t="s">
        <v>3842</v>
      </c>
      <c r="T562" t="s">
        <v>3843</v>
      </c>
      <c r="U562" t="s">
        <v>3844</v>
      </c>
      <c r="V562" t="s">
        <v>3845</v>
      </c>
      <c r="W562" t="s">
        <v>101</v>
      </c>
      <c r="X562" t="s">
        <v>129</v>
      </c>
      <c r="Y562" s="229">
        <v>608.4</v>
      </c>
      <c r="Z562" s="186">
        <v>1355125.2</v>
      </c>
      <c r="AA562">
        <v>46</v>
      </c>
      <c r="AB562" t="s">
        <v>1845</v>
      </c>
      <c r="AC562" s="70" t="s">
        <v>1349</v>
      </c>
      <c r="AD562" s="188">
        <v>3.9E-2</v>
      </c>
      <c r="AE562" s="189" t="s">
        <v>1292</v>
      </c>
      <c r="AF562" s="180">
        <v>79.887</v>
      </c>
      <c r="AG562" s="180">
        <v>0</v>
      </c>
      <c r="AH562" s="180">
        <v>0</v>
      </c>
      <c r="AI562" s="180">
        <v>3.1190000000000002</v>
      </c>
      <c r="AJ562" s="180">
        <v>0</v>
      </c>
      <c r="AK562" s="180">
        <v>3.8610000000000002</v>
      </c>
      <c r="AL562">
        <v>2</v>
      </c>
      <c r="AM562">
        <v>2023</v>
      </c>
      <c r="AN562" s="180"/>
      <c r="AP562" t="str">
        <f>IF(BD_Bloqueados[[#This Row],[Analista ]]&lt;&gt;"Ana C",MID(BD_Bloqueados[[#This Row],[ID]],3,5),MID(BD_Bloqueados[[#This Row],[ID]],4,5))</f>
        <v>04623</v>
      </c>
      <c r="AQ562">
        <v>54</v>
      </c>
      <c r="AR562">
        <v>2023</v>
      </c>
      <c r="AS562" s="72">
        <v>44927</v>
      </c>
      <c r="AT562" s="72">
        <v>44980</v>
      </c>
      <c r="AU562">
        <v>2</v>
      </c>
    </row>
    <row r="563" spans="1:47">
      <c r="A563" t="s">
        <v>3846</v>
      </c>
      <c r="B563">
        <v>2</v>
      </c>
      <c r="C563" s="72">
        <v>44972</v>
      </c>
      <c r="D563">
        <v>8</v>
      </c>
      <c r="E563" s="173">
        <v>0.41666666666666669</v>
      </c>
      <c r="F563" t="s">
        <v>78</v>
      </c>
      <c r="G563" t="s">
        <v>28</v>
      </c>
      <c r="H563" t="s">
        <v>165</v>
      </c>
      <c r="I563" t="s">
        <v>615</v>
      </c>
      <c r="J563" t="s">
        <v>117</v>
      </c>
      <c r="K563" t="s">
        <v>1175</v>
      </c>
      <c r="L563" t="s">
        <v>108</v>
      </c>
      <c r="M563" t="s">
        <v>1029</v>
      </c>
      <c r="N563">
        <v>967555800</v>
      </c>
      <c r="O563" t="s">
        <v>302</v>
      </c>
      <c r="P563" s="154">
        <v>12000408</v>
      </c>
      <c r="Q563" t="s">
        <v>80</v>
      </c>
      <c r="R563" t="s">
        <v>589</v>
      </c>
      <c r="S563" t="s">
        <v>3847</v>
      </c>
      <c r="T563" t="s">
        <v>3848</v>
      </c>
      <c r="U563" t="s">
        <v>3849</v>
      </c>
      <c r="V563" t="s">
        <v>3850</v>
      </c>
      <c r="W563" t="s">
        <v>101</v>
      </c>
      <c r="X563" t="s">
        <v>102</v>
      </c>
      <c r="Y563" s="229">
        <v>80</v>
      </c>
      <c r="Z563" s="186">
        <v>0</v>
      </c>
      <c r="AA563">
        <v>46</v>
      </c>
      <c r="AB563" t="s">
        <v>1669</v>
      </c>
      <c r="AC563" s="70" t="s">
        <v>1252</v>
      </c>
      <c r="AD563" s="188">
        <v>0.04</v>
      </c>
      <c r="AE563" s="189" t="s">
        <v>1374</v>
      </c>
      <c r="AF563" s="180">
        <v>0</v>
      </c>
      <c r="AG563" s="180">
        <v>0</v>
      </c>
      <c r="AH563" s="180">
        <v>0</v>
      </c>
      <c r="AI563" s="180">
        <v>0</v>
      </c>
      <c r="AJ563" s="180">
        <v>0</v>
      </c>
      <c r="AK563" s="180">
        <v>0</v>
      </c>
      <c r="AL563">
        <v>2</v>
      </c>
      <c r="AM563">
        <v>2023</v>
      </c>
      <c r="AN563" s="180" t="s">
        <v>3851</v>
      </c>
      <c r="AP563" t="str">
        <f>IF(BD_Bloqueados[[#This Row],[Analista ]]&lt;&gt;"Ana C",MID(BD_Bloqueados[[#This Row],[ID]],3,5),MID(BD_Bloqueados[[#This Row],[ID]],4,5))</f>
        <v>04623</v>
      </c>
      <c r="AQ563">
        <v>53</v>
      </c>
      <c r="AR563">
        <v>2023</v>
      </c>
      <c r="AS563" s="72">
        <v>44927</v>
      </c>
      <c r="AT563" s="72">
        <v>44979</v>
      </c>
      <c r="AU563">
        <v>2</v>
      </c>
    </row>
    <row r="564" spans="1:47">
      <c r="A564" t="s">
        <v>3852</v>
      </c>
      <c r="B564">
        <v>2</v>
      </c>
      <c r="C564" s="72">
        <v>44971</v>
      </c>
      <c r="D564">
        <v>8</v>
      </c>
      <c r="E564" s="173">
        <v>4.8611111111111112E-2</v>
      </c>
      <c r="F564" t="s">
        <v>136</v>
      </c>
      <c r="G564" t="s">
        <v>634</v>
      </c>
      <c r="H564" t="s">
        <v>713</v>
      </c>
      <c r="I564" t="s">
        <v>143</v>
      </c>
      <c r="J564" t="s">
        <v>268</v>
      </c>
      <c r="K564" t="s">
        <v>3853</v>
      </c>
      <c r="L564" t="s">
        <v>77</v>
      </c>
      <c r="M564" t="s">
        <v>575</v>
      </c>
      <c r="N564">
        <v>76618520</v>
      </c>
      <c r="O564" t="s">
        <v>593</v>
      </c>
      <c r="P564" s="154">
        <v>10004345</v>
      </c>
      <c r="Q564" t="s">
        <v>80</v>
      </c>
      <c r="R564" t="s">
        <v>79</v>
      </c>
      <c r="S564" t="s">
        <v>3854</v>
      </c>
      <c r="T564" t="s">
        <v>3855</v>
      </c>
      <c r="U564" t="s">
        <v>1245</v>
      </c>
      <c r="V564" t="s">
        <v>3856</v>
      </c>
      <c r="W564" t="s">
        <v>101</v>
      </c>
      <c r="X564" t="s">
        <v>102</v>
      </c>
      <c r="Y564" s="229">
        <v>996</v>
      </c>
      <c r="Z564" s="176">
        <v>0</v>
      </c>
      <c r="AA564">
        <v>61202</v>
      </c>
      <c r="AB564" t="s">
        <v>3857</v>
      </c>
      <c r="AC564" s="70" t="s">
        <v>1349</v>
      </c>
      <c r="AD564" s="188"/>
      <c r="AE564" s="189"/>
      <c r="AF564" s="180"/>
      <c r="AG564" s="180"/>
      <c r="AH564" s="180"/>
      <c r="AI564" s="180"/>
      <c r="AJ564" s="180"/>
      <c r="AK564" s="180"/>
      <c r="AL564">
        <v>2</v>
      </c>
      <c r="AM564">
        <v>2023</v>
      </c>
      <c r="AN564" s="180"/>
      <c r="AP564" t="str">
        <f>IF(BD_Bloqueados[[#This Row],[Analista ]]&lt;&gt;"Ana C",MID(BD_Bloqueados[[#This Row],[ID]],3,5),MID(BD_Bloqueados[[#This Row],[ID]],4,5))</f>
        <v>04523</v>
      </c>
      <c r="AQ564">
        <v>53</v>
      </c>
      <c r="AR564">
        <v>2023</v>
      </c>
      <c r="AS564" s="72">
        <v>44927</v>
      </c>
      <c r="AT564" s="72">
        <v>44979</v>
      </c>
      <c r="AU564">
        <v>2</v>
      </c>
    </row>
    <row r="565" spans="1:47">
      <c r="A565" t="s">
        <v>3858</v>
      </c>
      <c r="B565">
        <v>2</v>
      </c>
      <c r="C565" s="72">
        <v>44970</v>
      </c>
      <c r="D565">
        <v>8</v>
      </c>
      <c r="E565" s="173">
        <v>0.70833333333333337</v>
      </c>
      <c r="F565" t="s">
        <v>109</v>
      </c>
      <c r="G565" t="s">
        <v>27</v>
      </c>
      <c r="H565" t="s">
        <v>189</v>
      </c>
      <c r="I565" t="s">
        <v>248</v>
      </c>
      <c r="J565" t="s">
        <v>117</v>
      </c>
      <c r="K565" t="s">
        <v>3859</v>
      </c>
      <c r="L565" t="s">
        <v>108</v>
      </c>
      <c r="M565" t="s">
        <v>1029</v>
      </c>
      <c r="N565">
        <v>967555800</v>
      </c>
      <c r="O565" t="s">
        <v>92</v>
      </c>
      <c r="P565" s="154">
        <v>13030409</v>
      </c>
      <c r="Q565" t="s">
        <v>185</v>
      </c>
      <c r="R565" t="s">
        <v>600</v>
      </c>
      <c r="S565" t="s">
        <v>3860</v>
      </c>
      <c r="T565" t="s">
        <v>3861</v>
      </c>
      <c r="U565" t="s">
        <v>3862</v>
      </c>
      <c r="V565" t="s">
        <v>3863</v>
      </c>
      <c r="W565" t="s">
        <v>101</v>
      </c>
      <c r="X565" t="s">
        <v>156</v>
      </c>
      <c r="Y565" s="229">
        <v>1090.25</v>
      </c>
      <c r="Z565" s="186">
        <v>1219678.6000000001</v>
      </c>
      <c r="AA565">
        <v>44</v>
      </c>
      <c r="AB565" t="s">
        <v>2740</v>
      </c>
      <c r="AC565" s="70" t="s">
        <v>1252</v>
      </c>
      <c r="AD565" s="188">
        <v>0.44500000000000001</v>
      </c>
      <c r="AE565" s="189" t="s">
        <v>1374</v>
      </c>
      <c r="AF565" s="180">
        <f>91.72+91.14</f>
        <v>182.86</v>
      </c>
      <c r="AG565" s="180">
        <v>205.93700000000001</v>
      </c>
      <c r="AH565" s="180">
        <v>0</v>
      </c>
      <c r="AI565" s="180">
        <f>63.761</f>
        <v>63.761000000000003</v>
      </c>
      <c r="AJ565" s="180">
        <v>45.27</v>
      </c>
      <c r="AK565" s="180">
        <v>0</v>
      </c>
      <c r="AL565">
        <v>2</v>
      </c>
      <c r="AM565">
        <v>2023</v>
      </c>
      <c r="AN565" s="180" t="s">
        <v>1505</v>
      </c>
      <c r="AP565" t="str">
        <f>IF(BD_Bloqueados[[#This Row],[Analista ]]&lt;&gt;"Ana C",MID(BD_Bloqueados[[#This Row],[ID]],3,5),MID(BD_Bloqueados[[#This Row],[ID]],4,5))</f>
        <v>04423</v>
      </c>
      <c r="AQ565">
        <v>52</v>
      </c>
      <c r="AR565">
        <v>2023</v>
      </c>
      <c r="AS565" s="72">
        <v>44927</v>
      </c>
      <c r="AT565" s="72">
        <v>44978</v>
      </c>
      <c r="AU565">
        <v>2</v>
      </c>
    </row>
    <row r="566" spans="1:47">
      <c r="A566" t="s">
        <v>3864</v>
      </c>
      <c r="B566">
        <v>2</v>
      </c>
      <c r="C566" s="72">
        <v>44970</v>
      </c>
      <c r="D566">
        <v>8</v>
      </c>
      <c r="E566" s="173">
        <v>0.46527777777777773</v>
      </c>
      <c r="F566" t="s">
        <v>78</v>
      </c>
      <c r="G566" t="s">
        <v>24</v>
      </c>
      <c r="H566" t="s">
        <v>165</v>
      </c>
      <c r="I566" t="s">
        <v>615</v>
      </c>
      <c r="J566" t="s">
        <v>595</v>
      </c>
      <c r="K566" t="s">
        <v>3865</v>
      </c>
      <c r="L566" t="s">
        <v>108</v>
      </c>
      <c r="M566" t="s">
        <v>1029</v>
      </c>
      <c r="N566">
        <v>967555800</v>
      </c>
      <c r="O566" t="s">
        <v>124</v>
      </c>
      <c r="P566" s="154">
        <v>13001004</v>
      </c>
      <c r="Q566" t="s">
        <v>138</v>
      </c>
      <c r="R566" t="s">
        <v>589</v>
      </c>
      <c r="S566" t="s">
        <v>3866</v>
      </c>
      <c r="T566" t="s">
        <v>3867</v>
      </c>
      <c r="U566" t="s">
        <v>3868</v>
      </c>
      <c r="V566" t="s">
        <v>3869</v>
      </c>
      <c r="W566" t="s">
        <v>101</v>
      </c>
      <c r="X566" t="s">
        <v>102</v>
      </c>
      <c r="Y566" s="229">
        <v>435</v>
      </c>
      <c r="Z566" s="176">
        <v>0</v>
      </c>
      <c r="AA566">
        <v>44</v>
      </c>
      <c r="AB566" t="s">
        <v>1356</v>
      </c>
      <c r="AC566" t="s">
        <v>1349</v>
      </c>
      <c r="AD566" s="180"/>
      <c r="AE566" s="180"/>
      <c r="AF566" s="180"/>
      <c r="AG566" s="180"/>
      <c r="AH566" s="180"/>
      <c r="AI566" s="180"/>
      <c r="AJ566" s="180"/>
      <c r="AK566" s="180"/>
      <c r="AL566">
        <v>2</v>
      </c>
      <c r="AM566">
        <v>2023</v>
      </c>
      <c r="AN566" s="180"/>
      <c r="AP566" t="str">
        <f>IF(BD_Bloqueados[[#This Row],[Analista ]]&lt;&gt;"Ana C",MID(BD_Bloqueados[[#This Row],[ID]],3,5),MID(BD_Bloqueados[[#This Row],[ID]],4,5))</f>
        <v>04423</v>
      </c>
      <c r="AQ566">
        <v>51</v>
      </c>
      <c r="AR566">
        <v>2023</v>
      </c>
      <c r="AS566" s="72">
        <v>44927</v>
      </c>
      <c r="AT566" s="72">
        <v>44977</v>
      </c>
      <c r="AU566">
        <v>2</v>
      </c>
    </row>
    <row r="567" spans="1:47">
      <c r="A567" t="s">
        <v>3870</v>
      </c>
      <c r="B567">
        <v>2</v>
      </c>
      <c r="C567" s="72">
        <v>44970</v>
      </c>
      <c r="D567">
        <v>8</v>
      </c>
      <c r="E567" s="173">
        <v>0.66666666666666663</v>
      </c>
      <c r="F567" t="s">
        <v>109</v>
      </c>
      <c r="G567" t="s">
        <v>29</v>
      </c>
      <c r="H567" t="s">
        <v>165</v>
      </c>
      <c r="I567" t="s">
        <v>87</v>
      </c>
      <c r="J567" t="s">
        <v>117</v>
      </c>
      <c r="K567" t="s">
        <v>3871</v>
      </c>
      <c r="L567" t="s">
        <v>108</v>
      </c>
      <c r="M567" t="s">
        <v>1029</v>
      </c>
      <c r="N567">
        <v>967555800</v>
      </c>
      <c r="O567" t="s">
        <v>193</v>
      </c>
      <c r="P567" s="154">
        <v>13030558</v>
      </c>
      <c r="Q567" t="s">
        <v>80</v>
      </c>
      <c r="R567" t="s">
        <v>589</v>
      </c>
      <c r="S567" t="s">
        <v>3872</v>
      </c>
      <c r="T567" t="s">
        <v>3873</v>
      </c>
      <c r="U567" t="s">
        <v>3874</v>
      </c>
      <c r="V567" t="s">
        <v>3875</v>
      </c>
      <c r="W567" t="s">
        <v>101</v>
      </c>
      <c r="X567" t="s">
        <v>102</v>
      </c>
      <c r="Y567" s="229">
        <v>1658.88</v>
      </c>
      <c r="Z567" s="176">
        <v>0</v>
      </c>
      <c r="AA567">
        <v>44</v>
      </c>
      <c r="AB567" t="s">
        <v>1491</v>
      </c>
      <c r="AC567" t="s">
        <v>1252</v>
      </c>
      <c r="AD567" s="200"/>
      <c r="AE567" s="180"/>
      <c r="AF567" s="180"/>
      <c r="AG567" s="180"/>
      <c r="AH567" s="180"/>
      <c r="AI567" s="180"/>
      <c r="AJ567" s="180"/>
      <c r="AK567" s="180"/>
      <c r="AL567">
        <v>2</v>
      </c>
      <c r="AM567">
        <v>2023</v>
      </c>
      <c r="AN567" s="180" t="s">
        <v>1283</v>
      </c>
      <c r="AP567" t="str">
        <f>IF(BD_Bloqueados[[#This Row],[Analista ]]&lt;&gt;"Ana C",MID(BD_Bloqueados[[#This Row],[ID]],3,5),MID(BD_Bloqueados[[#This Row],[ID]],4,5))</f>
        <v>04423</v>
      </c>
      <c r="AQ567">
        <v>48</v>
      </c>
      <c r="AR567">
        <v>2023</v>
      </c>
      <c r="AS567" s="72">
        <v>44927</v>
      </c>
      <c r="AT567" s="72">
        <v>44974</v>
      </c>
      <c r="AU567">
        <v>2</v>
      </c>
    </row>
    <row r="568" spans="1:47">
      <c r="A568" t="s">
        <v>3045</v>
      </c>
      <c r="B568">
        <v>2</v>
      </c>
      <c r="C568" s="72">
        <v>45232</v>
      </c>
      <c r="D568">
        <v>7</v>
      </c>
      <c r="E568" s="173">
        <v>0.15625</v>
      </c>
      <c r="F568" t="s">
        <v>136</v>
      </c>
      <c r="G568" t="s">
        <v>29</v>
      </c>
      <c r="H568" t="s">
        <v>166</v>
      </c>
      <c r="I568" t="s">
        <v>87</v>
      </c>
      <c r="J568" t="s">
        <v>117</v>
      </c>
      <c r="K568" t="s">
        <v>3046</v>
      </c>
      <c r="L568" t="s">
        <v>108</v>
      </c>
      <c r="M568" t="s">
        <v>1029</v>
      </c>
      <c r="N568">
        <v>967555800</v>
      </c>
      <c r="O568" t="s">
        <v>235</v>
      </c>
      <c r="P568" s="154">
        <v>13030557</v>
      </c>
      <c r="Q568" t="s">
        <v>185</v>
      </c>
      <c r="R568" t="s">
        <v>600</v>
      </c>
      <c r="S568" t="s">
        <v>3047</v>
      </c>
      <c r="T568" t="s">
        <v>3048</v>
      </c>
      <c r="U568" t="s">
        <v>3049</v>
      </c>
      <c r="V568" t="s">
        <v>3050</v>
      </c>
      <c r="W568" t="s">
        <v>101</v>
      </c>
      <c r="X568" t="s">
        <v>156</v>
      </c>
      <c r="Y568" s="229">
        <v>283.392</v>
      </c>
      <c r="Z568" s="176">
        <v>0</v>
      </c>
      <c r="AA568">
        <v>42</v>
      </c>
      <c r="AB568" s="152" t="s">
        <v>2740</v>
      </c>
      <c r="AC568" s="193" t="s">
        <v>1252</v>
      </c>
      <c r="AD568" s="188"/>
      <c r="AE568" s="189"/>
      <c r="AF568" s="180"/>
      <c r="AG568" s="180"/>
      <c r="AH568" s="180"/>
      <c r="AI568" s="180"/>
      <c r="AJ568" s="180"/>
      <c r="AK568" s="180"/>
      <c r="AL568">
        <v>2</v>
      </c>
      <c r="AM568">
        <v>2023</v>
      </c>
      <c r="AN568" s="180" t="s">
        <v>1505</v>
      </c>
      <c r="AP568" t="str">
        <f>IF(BD_Bloqueados[[#This Row],[Analista ]]&lt;&gt;"Ana C",MID(BD_Bloqueados[[#This Row],[ID]],3,5),MID(BD_Bloqueados[[#This Row],[ID]],4,5))</f>
        <v>04223</v>
      </c>
      <c r="AQ568">
        <v>46</v>
      </c>
      <c r="AR568">
        <v>2023</v>
      </c>
      <c r="AS568" s="72">
        <v>44927</v>
      </c>
      <c r="AT568" s="72">
        <v>44972</v>
      </c>
      <c r="AU568">
        <v>2</v>
      </c>
    </row>
    <row r="569" spans="1:47">
      <c r="A569" t="s">
        <v>3183</v>
      </c>
      <c r="B569">
        <v>2</v>
      </c>
      <c r="C569" s="72">
        <v>45201</v>
      </c>
      <c r="D569">
        <v>7</v>
      </c>
      <c r="E569" s="173">
        <v>6.25E-2</v>
      </c>
      <c r="F569" t="s">
        <v>136</v>
      </c>
      <c r="G569" t="s">
        <v>27</v>
      </c>
      <c r="H569" t="s">
        <v>139</v>
      </c>
      <c r="I569" t="s">
        <v>248</v>
      </c>
      <c r="J569" t="s">
        <v>117</v>
      </c>
      <c r="K569" t="s">
        <v>2527</v>
      </c>
      <c r="L569" t="s">
        <v>108</v>
      </c>
      <c r="M569" t="s">
        <v>1029</v>
      </c>
      <c r="N569">
        <v>967555800</v>
      </c>
      <c r="O569" t="s">
        <v>195</v>
      </c>
      <c r="P569" s="154">
        <v>13030093</v>
      </c>
      <c r="Q569" t="s">
        <v>138</v>
      </c>
      <c r="R569" t="s">
        <v>1840</v>
      </c>
      <c r="S569" t="s">
        <v>3184</v>
      </c>
      <c r="T569" t="s">
        <v>3185</v>
      </c>
      <c r="U569" t="s">
        <v>3186</v>
      </c>
      <c r="V569" t="s">
        <v>3187</v>
      </c>
      <c r="W569" t="s">
        <v>101</v>
      </c>
      <c r="X569" t="s">
        <v>129</v>
      </c>
      <c r="Y569" s="229">
        <f>1200*0.465</f>
        <v>558</v>
      </c>
      <c r="Z569" s="176">
        <v>1322278.7999999998</v>
      </c>
      <c r="AA569">
        <v>41</v>
      </c>
      <c r="AB569" t="s">
        <v>1845</v>
      </c>
      <c r="AC569" t="s">
        <v>1349</v>
      </c>
      <c r="AD569" s="188">
        <v>0.46500000000000002</v>
      </c>
      <c r="AE569" s="189" t="s">
        <v>1374</v>
      </c>
      <c r="AF569" s="180">
        <v>790.67399999999998</v>
      </c>
      <c r="AG569" s="180">
        <v>0</v>
      </c>
      <c r="AH569" s="180">
        <v>199.96700000000001</v>
      </c>
      <c r="AI569" s="180">
        <v>111.258</v>
      </c>
      <c r="AJ569" s="180">
        <v>0</v>
      </c>
      <c r="AK569" s="180">
        <v>0</v>
      </c>
      <c r="AL569">
        <v>2</v>
      </c>
      <c r="AM569">
        <v>2023</v>
      </c>
      <c r="AN569" s="180"/>
      <c r="AP569" t="str">
        <f>IF(BD_Bloqueados[[#This Row],[Analista ]]&lt;&gt;"Ana C",MID(BD_Bloqueados[[#This Row],[ID]],3,5),MID(BD_Bloqueados[[#This Row],[ID]],4,5))</f>
        <v>04123</v>
      </c>
      <c r="AQ569">
        <v>46</v>
      </c>
      <c r="AR569">
        <v>2023</v>
      </c>
      <c r="AS569" s="72">
        <v>44927</v>
      </c>
      <c r="AT569" s="72">
        <v>44972</v>
      </c>
      <c r="AU569">
        <v>2</v>
      </c>
    </row>
    <row r="570" spans="1:47">
      <c r="A570" t="s">
        <v>3432</v>
      </c>
      <c r="B570">
        <v>2</v>
      </c>
      <c r="C570" s="72">
        <v>45140</v>
      </c>
      <c r="D570">
        <v>7</v>
      </c>
      <c r="E570" s="173">
        <v>0.375</v>
      </c>
      <c r="F570" t="s">
        <v>78</v>
      </c>
      <c r="G570" t="s">
        <v>23</v>
      </c>
      <c r="H570" t="s">
        <v>81</v>
      </c>
      <c r="I570" t="s">
        <v>248</v>
      </c>
      <c r="J570" t="s">
        <v>3433</v>
      </c>
      <c r="K570" t="s">
        <v>3434</v>
      </c>
      <c r="L570" t="s">
        <v>108</v>
      </c>
      <c r="M570" t="s">
        <v>1029</v>
      </c>
      <c r="N570">
        <v>967555800</v>
      </c>
      <c r="O570" t="s">
        <v>285</v>
      </c>
      <c r="P570" s="154">
        <v>13030597</v>
      </c>
      <c r="Q570" t="s">
        <v>185</v>
      </c>
      <c r="R570" t="s">
        <v>619</v>
      </c>
      <c r="S570" t="s">
        <v>3435</v>
      </c>
      <c r="T570" t="s">
        <v>3436</v>
      </c>
      <c r="U570" t="s">
        <v>1245</v>
      </c>
      <c r="V570" t="s">
        <v>3437</v>
      </c>
      <c r="W570" t="s">
        <v>101</v>
      </c>
      <c r="X570" t="s">
        <v>156</v>
      </c>
      <c r="Y570" s="229">
        <v>7392</v>
      </c>
      <c r="Z570" s="176">
        <v>0</v>
      </c>
      <c r="AA570">
        <v>39</v>
      </c>
      <c r="AB570" t="s">
        <v>619</v>
      </c>
      <c r="AC570" s="70" t="s">
        <v>1252</v>
      </c>
      <c r="AD570" s="188"/>
      <c r="AE570" s="189"/>
      <c r="AF570" s="180"/>
      <c r="AG570" s="180"/>
      <c r="AH570" s="180"/>
      <c r="AI570" s="180"/>
      <c r="AJ570" s="180"/>
      <c r="AK570" s="180"/>
      <c r="AL570">
        <v>2</v>
      </c>
      <c r="AM570">
        <v>2023</v>
      </c>
      <c r="AN570" s="180" t="s">
        <v>1611</v>
      </c>
      <c r="AP570" t="str">
        <f>IF(BD_Bloqueados[[#This Row],[Analista ]]&lt;&gt;"Ana C",MID(BD_Bloqueados[[#This Row],[ID]],3,5),MID(BD_Bloqueados[[#This Row],[ID]],4,5))</f>
        <v>03923</v>
      </c>
      <c r="AQ570">
        <v>46</v>
      </c>
      <c r="AR570">
        <v>2023</v>
      </c>
      <c r="AS570" s="72">
        <v>44927</v>
      </c>
      <c r="AT570" s="72">
        <v>44972</v>
      </c>
      <c r="AU570">
        <v>2</v>
      </c>
    </row>
    <row r="571" spans="1:47">
      <c r="A571" s="152" t="s">
        <v>3692</v>
      </c>
      <c r="B571" s="152">
        <v>2</v>
      </c>
      <c r="C571" s="72">
        <v>45018</v>
      </c>
      <c r="D571" s="152">
        <v>6</v>
      </c>
      <c r="E571" s="194">
        <v>0.375</v>
      </c>
      <c r="F571" s="152" t="s">
        <v>78</v>
      </c>
      <c r="G571" s="152" t="s">
        <v>27</v>
      </c>
      <c r="H571" s="152" t="s">
        <v>189</v>
      </c>
      <c r="I571" s="152" t="s">
        <v>581</v>
      </c>
      <c r="J571" s="152" t="s">
        <v>117</v>
      </c>
      <c r="K571" s="152" t="s">
        <v>3693</v>
      </c>
      <c r="L571" s="152" t="s">
        <v>108</v>
      </c>
      <c r="M571" s="152" t="s">
        <v>1029</v>
      </c>
      <c r="N571" s="152">
        <v>967555800</v>
      </c>
      <c r="O571" s="152" t="s">
        <v>92</v>
      </c>
      <c r="P571" s="195">
        <v>13030409</v>
      </c>
      <c r="Q571" s="152" t="s">
        <v>185</v>
      </c>
      <c r="R571" s="152" t="s">
        <v>600</v>
      </c>
      <c r="S571" s="152" t="s">
        <v>3694</v>
      </c>
      <c r="T571" s="152" t="s">
        <v>3695</v>
      </c>
      <c r="U571" s="152" t="s">
        <v>3696</v>
      </c>
      <c r="V571" s="152" t="s">
        <v>3697</v>
      </c>
      <c r="W571" s="152" t="s">
        <v>101</v>
      </c>
      <c r="X571" s="152" t="s">
        <v>156</v>
      </c>
      <c r="Y571" s="234">
        <v>1223.75</v>
      </c>
      <c r="Z571" s="186">
        <v>175342.75</v>
      </c>
      <c r="AA571" s="152">
        <v>35</v>
      </c>
      <c r="AB571" s="152" t="s">
        <v>2740</v>
      </c>
      <c r="AC571" s="193" t="s">
        <v>1252</v>
      </c>
      <c r="AD571" s="171">
        <v>0.44500000000000001</v>
      </c>
      <c r="AE571" s="172" t="s">
        <v>1374</v>
      </c>
      <c r="AF571" s="180">
        <v>63.761000000000003</v>
      </c>
      <c r="AG571" s="180">
        <v>0</v>
      </c>
      <c r="AH571" s="180">
        <v>0</v>
      </c>
      <c r="AI571" s="180">
        <v>0</v>
      </c>
      <c r="AJ571" s="180">
        <v>0</v>
      </c>
      <c r="AK571" s="180">
        <v>0</v>
      </c>
      <c r="AL571">
        <v>2</v>
      </c>
      <c r="AM571">
        <v>2023</v>
      </c>
      <c r="AN571" s="180" t="s">
        <v>1505</v>
      </c>
      <c r="AP571" t="str">
        <f>IF(BD_Bloqueados[[#This Row],[Analista ]]&lt;&gt;"Ana C",MID(BD_Bloqueados[[#This Row],[ID]],3,5),MID(BD_Bloqueados[[#This Row],[ID]],4,5))</f>
        <v>03523</v>
      </c>
      <c r="AQ571">
        <v>45</v>
      </c>
      <c r="AR571">
        <v>2023</v>
      </c>
      <c r="AS571" s="72">
        <v>44927</v>
      </c>
      <c r="AT571" s="72">
        <v>44971</v>
      </c>
      <c r="AU571">
        <v>2</v>
      </c>
    </row>
    <row r="572" spans="1:47">
      <c r="A572" t="s">
        <v>3887</v>
      </c>
      <c r="B572">
        <v>2</v>
      </c>
      <c r="C572" s="72">
        <v>44959</v>
      </c>
      <c r="D572">
        <v>6</v>
      </c>
      <c r="E572" s="173">
        <v>0.46875</v>
      </c>
      <c r="F572" t="s">
        <v>78</v>
      </c>
      <c r="G572" t="s">
        <v>28</v>
      </c>
      <c r="H572" t="s">
        <v>81</v>
      </c>
      <c r="I572" t="s">
        <v>87</v>
      </c>
      <c r="J572" t="s">
        <v>117</v>
      </c>
      <c r="K572" t="s">
        <v>3888</v>
      </c>
      <c r="L572" t="s">
        <v>77</v>
      </c>
      <c r="M572" t="s">
        <v>575</v>
      </c>
      <c r="N572">
        <v>76618520</v>
      </c>
      <c r="O572" t="s">
        <v>464</v>
      </c>
      <c r="P572" s="154">
        <v>10000131</v>
      </c>
      <c r="Q572" t="s">
        <v>138</v>
      </c>
      <c r="R572" t="s">
        <v>79</v>
      </c>
      <c r="S572" t="s">
        <v>3889</v>
      </c>
      <c r="T572" t="s">
        <v>3890</v>
      </c>
      <c r="U572" t="s">
        <v>3891</v>
      </c>
      <c r="V572" t="s">
        <v>3892</v>
      </c>
      <c r="W572" t="s">
        <v>101</v>
      </c>
      <c r="X572" t="s">
        <v>129</v>
      </c>
      <c r="Y572" s="229">
        <v>20.7</v>
      </c>
      <c r="Z572" s="176">
        <v>0</v>
      </c>
      <c r="AA572">
        <v>21530</v>
      </c>
      <c r="AB572" t="s">
        <v>3893</v>
      </c>
      <c r="AC572" t="s">
        <v>3894</v>
      </c>
      <c r="AD572" s="310"/>
      <c r="AK572"/>
      <c r="AL572">
        <v>2</v>
      </c>
      <c r="AM572">
        <v>2023</v>
      </c>
      <c r="AN572" s="180"/>
      <c r="AP572" t="str">
        <f>IF(BD_Bloqueados[[#This Row],[Analista ]]&lt;&gt;"Ana C",MID(BD_Bloqueados[[#This Row],[ID]],3,5),MID(BD_Bloqueados[[#This Row],[ID]],4,5))</f>
        <v>03323</v>
      </c>
      <c r="AQ572">
        <v>44</v>
      </c>
      <c r="AR572">
        <v>2023</v>
      </c>
      <c r="AS572" s="72">
        <v>44927</v>
      </c>
      <c r="AT572" s="72">
        <v>44970</v>
      </c>
      <c r="AU572">
        <v>2</v>
      </c>
    </row>
    <row r="573" spans="1:47" ht="15" thickBot="1">
      <c r="A573" t="s">
        <v>3895</v>
      </c>
      <c r="B573">
        <v>2</v>
      </c>
      <c r="C573" s="72">
        <v>44959</v>
      </c>
      <c r="D573">
        <v>6</v>
      </c>
      <c r="E573" s="173">
        <v>0.97916666666666663</v>
      </c>
      <c r="F573" t="s">
        <v>136</v>
      </c>
      <c r="G573" t="s">
        <v>25</v>
      </c>
      <c r="H573" t="s">
        <v>112</v>
      </c>
      <c r="I573" t="s">
        <v>615</v>
      </c>
      <c r="J573" t="s">
        <v>1804</v>
      </c>
      <c r="K573" t="s">
        <v>1468</v>
      </c>
      <c r="L573" t="s">
        <v>108</v>
      </c>
      <c r="M573" t="s">
        <v>1029</v>
      </c>
      <c r="N573">
        <v>967555800</v>
      </c>
      <c r="O573" t="s">
        <v>94</v>
      </c>
      <c r="P573" s="154">
        <v>12001397</v>
      </c>
      <c r="Q573" t="s">
        <v>138</v>
      </c>
      <c r="R573" t="s">
        <v>589</v>
      </c>
      <c r="S573" t="s">
        <v>3896</v>
      </c>
      <c r="T573" t="s">
        <v>3897</v>
      </c>
      <c r="U573" t="s">
        <v>3898</v>
      </c>
      <c r="V573" t="s">
        <v>3899</v>
      </c>
      <c r="W573" t="s">
        <v>101</v>
      </c>
      <c r="X573" s="153" t="s">
        <v>102</v>
      </c>
      <c r="Y573" s="235">
        <v>0</v>
      </c>
      <c r="Z573" s="176">
        <v>0</v>
      </c>
      <c r="AA573" s="153">
        <v>32104</v>
      </c>
      <c r="AB573" t="s">
        <v>1356</v>
      </c>
      <c r="AC573" t="s">
        <v>1349</v>
      </c>
      <c r="AD573" s="53"/>
      <c r="AE573" s="248"/>
      <c r="AK573"/>
      <c r="AL573">
        <v>2</v>
      </c>
      <c r="AM573">
        <v>2023</v>
      </c>
      <c r="AN573" s="180"/>
      <c r="AP573" t="str">
        <f>IF(BD_Bloqueados[[#This Row],[Analista ]]&lt;&gt;"Ana C",MID(BD_Bloqueados[[#This Row],[ID]],3,5),MID(BD_Bloqueados[[#This Row],[ID]],4,5))</f>
        <v>03323</v>
      </c>
      <c r="AQ573">
        <v>44</v>
      </c>
      <c r="AR573">
        <v>2023</v>
      </c>
      <c r="AS573" s="72">
        <v>44927</v>
      </c>
      <c r="AT573" s="72">
        <v>44970</v>
      </c>
      <c r="AU573">
        <v>2</v>
      </c>
    </row>
    <row r="574" spans="1:47">
      <c r="A574" t="s">
        <v>1838</v>
      </c>
      <c r="B574">
        <v>2</v>
      </c>
      <c r="C574" s="72">
        <v>44954</v>
      </c>
      <c r="D574">
        <v>5</v>
      </c>
      <c r="E574" s="173">
        <v>0.125</v>
      </c>
      <c r="F574" t="s">
        <v>136</v>
      </c>
      <c r="G574" t="s">
        <v>23</v>
      </c>
      <c r="H574" t="s">
        <v>112</v>
      </c>
      <c r="I574" t="s">
        <v>581</v>
      </c>
      <c r="J574" t="s">
        <v>567</v>
      </c>
      <c r="K574" t="s">
        <v>1839</v>
      </c>
      <c r="L574" t="s">
        <v>108</v>
      </c>
      <c r="M574" t="s">
        <v>1029</v>
      </c>
      <c r="N574">
        <v>967555800</v>
      </c>
      <c r="O574" t="s">
        <v>94</v>
      </c>
      <c r="P574" s="154">
        <v>12001397</v>
      </c>
      <c r="Q574" t="s">
        <v>138</v>
      </c>
      <c r="R574" t="s">
        <v>1840</v>
      </c>
      <c r="S574" t="s">
        <v>1841</v>
      </c>
      <c r="T574" t="s">
        <v>1842</v>
      </c>
      <c r="U574" t="s">
        <v>1843</v>
      </c>
      <c r="V574" t="s">
        <v>1844</v>
      </c>
      <c r="W574" t="s">
        <v>101</v>
      </c>
      <c r="X574" t="s">
        <v>129</v>
      </c>
      <c r="Y574" s="229">
        <v>2120</v>
      </c>
      <c r="Z574" s="176">
        <v>1213095.8</v>
      </c>
      <c r="AA574">
        <v>28</v>
      </c>
      <c r="AB574" t="s">
        <v>1845</v>
      </c>
      <c r="AC574" t="s">
        <v>1349</v>
      </c>
      <c r="AD574" s="197">
        <v>1</v>
      </c>
      <c r="AE574" s="198" t="s">
        <v>1292</v>
      </c>
      <c r="AF574" s="180">
        <v>512.08900000000006</v>
      </c>
      <c r="AG574" s="180">
        <v>0</v>
      </c>
      <c r="AH574" s="180">
        <v>0</v>
      </c>
      <c r="AI574" s="180">
        <v>9.19</v>
      </c>
      <c r="AJ574" s="180">
        <v>23.434999999999999</v>
      </c>
      <c r="AK574" s="180">
        <v>27.501000000000001</v>
      </c>
      <c r="AL574" s="305">
        <v>1</v>
      </c>
      <c r="AM574" s="306">
        <v>2023</v>
      </c>
      <c r="AN574" s="180"/>
      <c r="AP574" t="str">
        <f>IF(BD_Bloqueados[[#This Row],[Analista ]]&lt;&gt;"Ana C",MID(BD_Bloqueados[[#This Row],[ID]],3,5),MID(BD_Bloqueados[[#This Row],[ID]],4,5))</f>
        <v>02823</v>
      </c>
      <c r="AQ574">
        <v>44</v>
      </c>
      <c r="AR574">
        <v>2023</v>
      </c>
      <c r="AS574" s="72">
        <v>44927</v>
      </c>
      <c r="AT574" s="72">
        <v>44970</v>
      </c>
      <c r="AU574">
        <v>2</v>
      </c>
    </row>
    <row r="575" spans="1:47">
      <c r="A575" t="s">
        <v>3900</v>
      </c>
      <c r="B575">
        <v>2</v>
      </c>
      <c r="C575" s="72">
        <v>44950</v>
      </c>
      <c r="D575">
        <v>5</v>
      </c>
      <c r="E575" s="173">
        <v>0.27083333333333331</v>
      </c>
      <c r="F575" t="s">
        <v>78</v>
      </c>
      <c r="G575" t="s">
        <v>23</v>
      </c>
      <c r="H575" t="s">
        <v>139</v>
      </c>
      <c r="I575" t="s">
        <v>87</v>
      </c>
      <c r="J575" t="s">
        <v>1804</v>
      </c>
      <c r="K575" t="s">
        <v>3557</v>
      </c>
      <c r="L575" t="s">
        <v>108</v>
      </c>
      <c r="M575" t="s">
        <v>1029</v>
      </c>
      <c r="N575">
        <v>967555800</v>
      </c>
      <c r="O575" t="s">
        <v>94</v>
      </c>
      <c r="P575" s="154">
        <v>12001397</v>
      </c>
      <c r="Q575" t="s">
        <v>138</v>
      </c>
      <c r="R575" t="s">
        <v>589</v>
      </c>
      <c r="S575" t="s">
        <v>3901</v>
      </c>
      <c r="T575" t="s">
        <v>3902</v>
      </c>
      <c r="U575" t="s">
        <v>3903</v>
      </c>
      <c r="V575" t="s">
        <v>3904</v>
      </c>
      <c r="W575" t="s">
        <v>101</v>
      </c>
      <c r="X575" t="s">
        <v>102</v>
      </c>
      <c r="Y575" s="229">
        <v>1900.8</v>
      </c>
      <c r="Z575" s="176">
        <v>0</v>
      </c>
      <c r="AA575">
        <v>24</v>
      </c>
      <c r="AB575" t="s">
        <v>1356</v>
      </c>
      <c r="AC575" t="s">
        <v>1349</v>
      </c>
      <c r="AD575" s="197">
        <v>0.48</v>
      </c>
      <c r="AE575" s="198" t="s">
        <v>1374</v>
      </c>
      <c r="AF575" s="180">
        <v>851.96900000000005</v>
      </c>
      <c r="AG575" s="180">
        <v>204.96899999999999</v>
      </c>
      <c r="AH575" s="180">
        <v>202.90299999999999</v>
      </c>
      <c r="AI575" s="180">
        <v>12.888</v>
      </c>
      <c r="AJ575" s="180">
        <v>12.88</v>
      </c>
      <c r="AK575" s="180">
        <v>0</v>
      </c>
      <c r="AL575">
        <v>1</v>
      </c>
      <c r="AM575">
        <v>2023</v>
      </c>
      <c r="AN575" s="180"/>
      <c r="AP575" t="str">
        <f>IF(BD_Bloqueados[[#This Row],[Analista ]]&lt;&gt;"Ana C",MID(BD_Bloqueados[[#This Row],[ID]],3,5),MID(BD_Bloqueados[[#This Row],[ID]],4,5))</f>
        <v>02423</v>
      </c>
      <c r="AQ575">
        <v>42</v>
      </c>
      <c r="AR575">
        <v>2023</v>
      </c>
      <c r="AS575" s="72">
        <v>44927</v>
      </c>
      <c r="AT575" s="72">
        <v>44968</v>
      </c>
      <c r="AU575">
        <v>2</v>
      </c>
    </row>
    <row r="576" spans="1:47">
      <c r="A576" t="s">
        <v>2291</v>
      </c>
      <c r="B576">
        <v>2</v>
      </c>
      <c r="C576" s="72">
        <v>44949</v>
      </c>
      <c r="D576">
        <v>5</v>
      </c>
      <c r="E576" s="173">
        <v>0.45833333333333331</v>
      </c>
      <c r="F576" t="s">
        <v>78</v>
      </c>
      <c r="G576" t="s">
        <v>27</v>
      </c>
      <c r="H576" t="s">
        <v>189</v>
      </c>
      <c r="I576" t="s">
        <v>87</v>
      </c>
      <c r="J576" t="s">
        <v>117</v>
      </c>
      <c r="K576" t="s">
        <v>1450</v>
      </c>
      <c r="L576" t="s">
        <v>108</v>
      </c>
      <c r="M576" t="s">
        <v>1029</v>
      </c>
      <c r="N576">
        <v>967555800</v>
      </c>
      <c r="O576" t="s">
        <v>148</v>
      </c>
      <c r="P576" s="154">
        <v>13030495</v>
      </c>
      <c r="Q576" t="s">
        <v>138</v>
      </c>
      <c r="R576" t="s">
        <v>1840</v>
      </c>
      <c r="S576" t="s">
        <v>2292</v>
      </c>
      <c r="T576" t="s">
        <v>2293</v>
      </c>
      <c r="U576" t="s">
        <v>2294</v>
      </c>
      <c r="V576" t="s">
        <v>2295</v>
      </c>
      <c r="W576" t="s">
        <v>101</v>
      </c>
      <c r="X576" t="s">
        <v>129</v>
      </c>
      <c r="Y576" s="229">
        <v>820.8</v>
      </c>
      <c r="Z576" s="176">
        <v>1964429.19</v>
      </c>
      <c r="AA576">
        <v>23</v>
      </c>
      <c r="AB576" t="s">
        <v>1845</v>
      </c>
      <c r="AC576" t="s">
        <v>1349</v>
      </c>
      <c r="AD576" s="197">
        <v>0.48</v>
      </c>
      <c r="AE576" s="198" t="s">
        <v>1292</v>
      </c>
      <c r="AF576" s="180">
        <v>831.42600000000004</v>
      </c>
      <c r="AG576" s="180">
        <v>0</v>
      </c>
      <c r="AH576" s="180">
        <v>202.90299999999999</v>
      </c>
      <c r="AI576" s="180">
        <v>101.58</v>
      </c>
      <c r="AJ576" s="180">
        <v>12.88</v>
      </c>
      <c r="AK576" s="180">
        <v>0</v>
      </c>
      <c r="AL576">
        <v>1</v>
      </c>
      <c r="AM576" s="306">
        <v>2023</v>
      </c>
      <c r="AN576" s="180"/>
      <c r="AP576" t="str">
        <f>IF(BD_Bloqueados[[#This Row],[Analista ]]&lt;&gt;"Ana C",MID(BD_Bloqueados[[#This Row],[ID]],3,5),MID(BD_Bloqueados[[#This Row],[ID]],4,5))</f>
        <v>02323</v>
      </c>
      <c r="AQ576">
        <v>41</v>
      </c>
      <c r="AR576">
        <v>2023</v>
      </c>
      <c r="AS576" s="72">
        <v>44927</v>
      </c>
      <c r="AT576" s="72">
        <v>44967</v>
      </c>
      <c r="AU576">
        <v>2</v>
      </c>
    </row>
    <row r="577" spans="1:47">
      <c r="A577" t="s">
        <v>2321</v>
      </c>
      <c r="B577">
        <v>2</v>
      </c>
      <c r="C577" s="72">
        <v>44949</v>
      </c>
      <c r="D577">
        <v>5</v>
      </c>
      <c r="E577" s="173">
        <v>0.45833333333333331</v>
      </c>
      <c r="F577" t="s">
        <v>78</v>
      </c>
      <c r="G577" t="s">
        <v>27</v>
      </c>
      <c r="H577" t="s">
        <v>189</v>
      </c>
      <c r="I577" t="s">
        <v>143</v>
      </c>
      <c r="J577" t="s">
        <v>117</v>
      </c>
      <c r="K577" t="s">
        <v>1450</v>
      </c>
      <c r="L577" t="s">
        <v>108</v>
      </c>
      <c r="M577" t="s">
        <v>1029</v>
      </c>
      <c r="N577">
        <v>967555800</v>
      </c>
      <c r="O577" t="s">
        <v>771</v>
      </c>
      <c r="P577" s="154">
        <v>13030094</v>
      </c>
      <c r="Q577" t="s">
        <v>138</v>
      </c>
      <c r="R577" t="s">
        <v>1840</v>
      </c>
      <c r="S577" t="s">
        <v>2292</v>
      </c>
      <c r="T577" t="s">
        <v>2293</v>
      </c>
      <c r="U577" t="s">
        <v>2294</v>
      </c>
      <c r="V577" t="s">
        <v>2295</v>
      </c>
      <c r="W577" t="s">
        <v>101</v>
      </c>
      <c r="X577" t="s">
        <v>129</v>
      </c>
      <c r="Y577" s="229">
        <f>353.375+115.65+131.07+13.706+27.442+9.29+12.85+25.7</f>
        <v>689.08300000000008</v>
      </c>
      <c r="Z577" s="176">
        <v>1858805.019252632</v>
      </c>
      <c r="AA577">
        <v>24</v>
      </c>
      <c r="AB577" t="s">
        <v>1845</v>
      </c>
      <c r="AC577" t="s">
        <v>1349</v>
      </c>
      <c r="AD577" s="315">
        <v>0.47499999999999998</v>
      </c>
      <c r="AE577" s="247" t="s">
        <v>1374</v>
      </c>
      <c r="AF577" s="180">
        <v>955.803</v>
      </c>
      <c r="AG577" s="180">
        <v>0</v>
      </c>
      <c r="AH577" s="180">
        <v>202.90299999999999</v>
      </c>
      <c r="AI577" s="180">
        <v>109.75700000000001</v>
      </c>
      <c r="AJ577" s="180">
        <v>12.852</v>
      </c>
      <c r="AK577" s="180">
        <v>0</v>
      </c>
      <c r="AL577">
        <v>1</v>
      </c>
      <c r="AM577" s="306">
        <v>2023</v>
      </c>
      <c r="AN577" s="180"/>
      <c r="AP577" t="str">
        <f>IF(BD_Bloqueados[[#This Row],[Analista ]]&lt;&gt;"Ana C",MID(BD_Bloqueados[[#This Row],[ID]],3,5),MID(BD_Bloqueados[[#This Row],[ID]],4,5))</f>
        <v>02323</v>
      </c>
      <c r="AQ577">
        <v>275</v>
      </c>
      <c r="AR577">
        <v>2023</v>
      </c>
      <c r="AS577" s="72">
        <v>44927</v>
      </c>
      <c r="AT577" s="72">
        <v>45201</v>
      </c>
      <c r="AU577">
        <v>10</v>
      </c>
    </row>
    <row r="578" spans="1:47">
      <c r="A578" t="s">
        <v>3905</v>
      </c>
      <c r="B578">
        <v>2</v>
      </c>
      <c r="C578" s="72">
        <v>44949</v>
      </c>
      <c r="D578">
        <v>5</v>
      </c>
      <c r="E578" s="173">
        <v>0.45833333333333331</v>
      </c>
      <c r="F578" t="s">
        <v>78</v>
      </c>
      <c r="G578" t="s">
        <v>27</v>
      </c>
      <c r="H578" t="s">
        <v>189</v>
      </c>
      <c r="I578" t="s">
        <v>143</v>
      </c>
      <c r="J578" t="s">
        <v>117</v>
      </c>
      <c r="K578" t="s">
        <v>1450</v>
      </c>
      <c r="L578" t="s">
        <v>108</v>
      </c>
      <c r="M578" t="s">
        <v>1029</v>
      </c>
      <c r="N578">
        <v>967555800</v>
      </c>
      <c r="O578" t="s">
        <v>771</v>
      </c>
      <c r="P578" s="154">
        <v>13030094</v>
      </c>
      <c r="Q578" t="s">
        <v>138</v>
      </c>
      <c r="R578" t="s">
        <v>1840</v>
      </c>
      <c r="S578" t="s">
        <v>2292</v>
      </c>
      <c r="T578" t="s">
        <v>2293</v>
      </c>
      <c r="U578" t="s">
        <v>2294</v>
      </c>
      <c r="V578" t="s">
        <v>2295</v>
      </c>
      <c r="W578" t="s">
        <v>101</v>
      </c>
      <c r="X578" t="s">
        <v>129</v>
      </c>
      <c r="Y578" s="229">
        <v>958.47699999999998</v>
      </c>
      <c r="Z578" s="176">
        <v>2585496.7521157898</v>
      </c>
      <c r="AA578">
        <v>26</v>
      </c>
      <c r="AB578" t="s">
        <v>1845</v>
      </c>
      <c r="AC578" t="s">
        <v>1349</v>
      </c>
      <c r="AD578" s="311">
        <v>0.47499999999999998</v>
      </c>
      <c r="AE578" s="247" t="s">
        <v>1374</v>
      </c>
      <c r="AF578" s="180">
        <v>955.803</v>
      </c>
      <c r="AG578" s="180">
        <v>0</v>
      </c>
      <c r="AH578" s="180">
        <v>202.90299999999999</v>
      </c>
      <c r="AI578" s="180">
        <v>109.75700000000001</v>
      </c>
      <c r="AJ578" s="180">
        <v>12.852</v>
      </c>
      <c r="AK578" s="180">
        <v>0</v>
      </c>
      <c r="AL578">
        <v>1</v>
      </c>
      <c r="AM578">
        <v>2023</v>
      </c>
      <c r="AN578" s="180"/>
      <c r="AP578" t="str">
        <f>IF(BD_Bloqueados[[#This Row],[Analista ]]&lt;&gt;"Ana C",MID(BD_Bloqueados[[#This Row],[ID]],3,5),MID(BD_Bloqueados[[#This Row],[ID]],4,5))</f>
        <v>02323</v>
      </c>
      <c r="AQ578">
        <v>347</v>
      </c>
      <c r="AR578">
        <v>2023</v>
      </c>
      <c r="AS578" s="72">
        <v>44927</v>
      </c>
      <c r="AT578" s="72">
        <v>45273</v>
      </c>
      <c r="AU578">
        <v>12</v>
      </c>
    </row>
    <row r="579" spans="1:47">
      <c r="A579" t="s">
        <v>3906</v>
      </c>
      <c r="B579">
        <v>2</v>
      </c>
      <c r="C579" s="72">
        <v>44949</v>
      </c>
      <c r="D579">
        <v>5</v>
      </c>
      <c r="E579" s="173">
        <v>0.89861111111111114</v>
      </c>
      <c r="F579" t="s">
        <v>136</v>
      </c>
      <c r="G579" t="s">
        <v>29</v>
      </c>
      <c r="H579" t="s">
        <v>83</v>
      </c>
      <c r="I579" t="s">
        <v>581</v>
      </c>
      <c r="J579" t="s">
        <v>117</v>
      </c>
      <c r="K579" t="s">
        <v>3907</v>
      </c>
      <c r="L579" t="s">
        <v>77</v>
      </c>
      <c r="M579" t="s">
        <v>575</v>
      </c>
      <c r="N579">
        <v>76618520</v>
      </c>
      <c r="O579" t="s">
        <v>466</v>
      </c>
      <c r="P579" s="154">
        <v>10000132</v>
      </c>
      <c r="Q579" t="s">
        <v>138</v>
      </c>
      <c r="R579" t="s">
        <v>110</v>
      </c>
      <c r="S579" t="s">
        <v>3908</v>
      </c>
      <c r="T579" t="s">
        <v>3909</v>
      </c>
      <c r="U579" t="s">
        <v>3910</v>
      </c>
      <c r="V579" t="s">
        <v>3911</v>
      </c>
      <c r="W579" t="s">
        <v>101</v>
      </c>
      <c r="X579" t="s">
        <v>129</v>
      </c>
      <c r="Y579" s="229">
        <v>817.39</v>
      </c>
      <c r="Z579" s="176">
        <v>1618432.2</v>
      </c>
      <c r="AA579">
        <v>21502</v>
      </c>
      <c r="AB579" t="s">
        <v>3425</v>
      </c>
      <c r="AC579" t="s">
        <v>1252</v>
      </c>
      <c r="AD579" s="197">
        <v>1</v>
      </c>
      <c r="AE579" s="198" t="s">
        <v>1292</v>
      </c>
      <c r="AF579" s="180">
        <v>1980</v>
      </c>
      <c r="AG579" s="180">
        <v>0</v>
      </c>
      <c r="AH579" s="180">
        <v>0</v>
      </c>
      <c r="AI579" s="180">
        <v>0</v>
      </c>
      <c r="AJ579" s="180">
        <v>0</v>
      </c>
      <c r="AK579" s="180">
        <v>0</v>
      </c>
      <c r="AL579">
        <v>1</v>
      </c>
      <c r="AM579">
        <v>2023</v>
      </c>
      <c r="AN579" s="180" t="s">
        <v>2688</v>
      </c>
      <c r="AP579" t="str">
        <f>IF(BD_Bloqueados[[#This Row],[Analista ]]&lt;&gt;"Ana C",MID(BD_Bloqueados[[#This Row],[ID]],3,5),MID(BD_Bloqueados[[#This Row],[ID]],4,5))</f>
        <v>02323</v>
      </c>
      <c r="AQ579">
        <v>153</v>
      </c>
      <c r="AR579">
        <v>2023</v>
      </c>
      <c r="AS579" s="72">
        <v>44927</v>
      </c>
      <c r="AT579" s="72">
        <v>45079</v>
      </c>
      <c r="AU579">
        <v>6</v>
      </c>
    </row>
    <row r="580" spans="1:47">
      <c r="A580" t="s">
        <v>3912</v>
      </c>
      <c r="B580">
        <v>2</v>
      </c>
      <c r="C580" s="72">
        <v>44942</v>
      </c>
      <c r="D580">
        <v>4</v>
      </c>
      <c r="E580" s="173">
        <v>0.75</v>
      </c>
      <c r="F580" t="s">
        <v>109</v>
      </c>
      <c r="G580" t="s">
        <v>27</v>
      </c>
      <c r="H580" t="s">
        <v>189</v>
      </c>
      <c r="I580" t="s">
        <v>87</v>
      </c>
      <c r="J580" t="s">
        <v>618</v>
      </c>
      <c r="K580" t="s">
        <v>3790</v>
      </c>
      <c r="L580" t="s">
        <v>108</v>
      </c>
      <c r="M580" t="s">
        <v>1029</v>
      </c>
      <c r="N580">
        <v>967555800</v>
      </c>
      <c r="O580" t="s">
        <v>769</v>
      </c>
      <c r="P580" s="154">
        <v>13030092</v>
      </c>
      <c r="Q580" t="s">
        <v>138</v>
      </c>
      <c r="R580" t="s">
        <v>589</v>
      </c>
      <c r="S580" t="s">
        <v>3913</v>
      </c>
      <c r="T580" t="s">
        <v>3914</v>
      </c>
      <c r="U580" t="s">
        <v>3915</v>
      </c>
      <c r="V580" t="s">
        <v>3916</v>
      </c>
      <c r="W580" t="s">
        <v>101</v>
      </c>
      <c r="X580" t="s">
        <v>102</v>
      </c>
      <c r="Y580" s="229">
        <v>311.5</v>
      </c>
      <c r="Z580" s="176">
        <v>0</v>
      </c>
      <c r="AA580">
        <v>16</v>
      </c>
      <c r="AB580" t="s">
        <v>1714</v>
      </c>
      <c r="AC580" t="s">
        <v>1349</v>
      </c>
      <c r="AD580" s="197">
        <v>0.45</v>
      </c>
      <c r="AE580" s="198" t="s">
        <v>1374</v>
      </c>
      <c r="AF580" s="180">
        <v>0</v>
      </c>
      <c r="AG580" s="180">
        <v>0</v>
      </c>
      <c r="AH580" s="180">
        <v>0</v>
      </c>
      <c r="AI580" s="180">
        <v>0</v>
      </c>
      <c r="AJ580" s="180">
        <v>0</v>
      </c>
      <c r="AK580" s="180">
        <v>0</v>
      </c>
      <c r="AL580">
        <v>1</v>
      </c>
      <c r="AM580">
        <v>2023</v>
      </c>
      <c r="AN580" s="181"/>
      <c r="AP580" t="str">
        <f>IF(BD_Bloqueados[[#This Row],[Analista ]]&lt;&gt;"Ana C",MID(BD_Bloqueados[[#This Row],[ID]],3,5),MID(BD_Bloqueados[[#This Row],[ID]],4,5))</f>
        <v>01623</v>
      </c>
      <c r="AQ580">
        <v>61</v>
      </c>
      <c r="AR580">
        <v>2023</v>
      </c>
      <c r="AS580" s="72">
        <v>44927</v>
      </c>
      <c r="AT580" s="72">
        <v>44987</v>
      </c>
      <c r="AU580">
        <v>3</v>
      </c>
    </row>
    <row r="581" spans="1:47">
      <c r="A581" t="s">
        <v>2887</v>
      </c>
      <c r="B581">
        <v>2</v>
      </c>
      <c r="C581" s="72">
        <v>45261</v>
      </c>
      <c r="D581">
        <v>3</v>
      </c>
      <c r="E581" s="173">
        <v>8.3333333333333329E-2</v>
      </c>
      <c r="F581" t="s">
        <v>136</v>
      </c>
      <c r="G581" t="s">
        <v>24</v>
      </c>
      <c r="H581" t="s">
        <v>165</v>
      </c>
      <c r="I581" t="s">
        <v>87</v>
      </c>
      <c r="J581" t="s">
        <v>1804</v>
      </c>
      <c r="K581" t="s">
        <v>2888</v>
      </c>
      <c r="L581" t="s">
        <v>108</v>
      </c>
      <c r="M581" t="s">
        <v>1029</v>
      </c>
      <c r="N581">
        <v>967555800</v>
      </c>
      <c r="O581" t="s">
        <v>95</v>
      </c>
      <c r="P581" s="154">
        <v>12001398</v>
      </c>
      <c r="Q581" t="s">
        <v>138</v>
      </c>
      <c r="R581" t="s">
        <v>589</v>
      </c>
      <c r="S581" t="s">
        <v>2889</v>
      </c>
      <c r="T581" t="s">
        <v>2890</v>
      </c>
      <c r="U581" t="s">
        <v>2891</v>
      </c>
      <c r="V581" t="s">
        <v>2892</v>
      </c>
      <c r="W581" t="s">
        <v>101</v>
      </c>
      <c r="X581" t="s">
        <v>102</v>
      </c>
      <c r="Y581" s="229">
        <v>1455</v>
      </c>
      <c r="Z581" s="176">
        <v>0</v>
      </c>
      <c r="AA581">
        <v>12</v>
      </c>
      <c r="AB581" t="s">
        <v>1356</v>
      </c>
      <c r="AC581" t="s">
        <v>1349</v>
      </c>
      <c r="AD581" s="197">
        <v>1</v>
      </c>
      <c r="AE581" s="198" t="s">
        <v>1292</v>
      </c>
      <c r="AF581" s="180">
        <v>0</v>
      </c>
      <c r="AG581" s="180">
        <v>0</v>
      </c>
      <c r="AH581" s="180">
        <v>0</v>
      </c>
      <c r="AI581" s="180">
        <v>0</v>
      </c>
      <c r="AJ581" s="180">
        <v>0</v>
      </c>
      <c r="AK581" s="180">
        <v>0</v>
      </c>
      <c r="AL581">
        <v>1</v>
      </c>
      <c r="AM581">
        <v>2023</v>
      </c>
      <c r="AN581" s="180"/>
      <c r="AP581" t="str">
        <f>IF(BD_Bloqueados[[#This Row],[Analista ]]&lt;&gt;"Ana C",MID(BD_Bloqueados[[#This Row],[ID]],3,5),MID(BD_Bloqueados[[#This Row],[ID]],4,5))</f>
        <v>01223</v>
      </c>
      <c r="AQ581">
        <v>33</v>
      </c>
      <c r="AR581">
        <v>2023</v>
      </c>
      <c r="AS581" s="72">
        <v>44927</v>
      </c>
      <c r="AT581" s="72">
        <v>44959</v>
      </c>
      <c r="AU581">
        <v>2</v>
      </c>
    </row>
    <row r="582" spans="1:47">
      <c r="A582" t="s">
        <v>3051</v>
      </c>
      <c r="B582">
        <v>2</v>
      </c>
      <c r="C582" s="72">
        <v>45231</v>
      </c>
      <c r="D582">
        <v>3</v>
      </c>
      <c r="E582" s="173">
        <v>0.16666666666666666</v>
      </c>
      <c r="F582" t="s">
        <v>136</v>
      </c>
      <c r="G582" t="s">
        <v>24</v>
      </c>
      <c r="H582" t="s">
        <v>165</v>
      </c>
      <c r="I582" t="s">
        <v>87</v>
      </c>
      <c r="J582" t="s">
        <v>1804</v>
      </c>
      <c r="K582" t="s">
        <v>3052</v>
      </c>
      <c r="L582" t="s">
        <v>108</v>
      </c>
      <c r="M582" t="s">
        <v>1029</v>
      </c>
      <c r="N582">
        <v>967555800</v>
      </c>
      <c r="O582" t="s">
        <v>95</v>
      </c>
      <c r="P582" s="154">
        <v>12001398</v>
      </c>
      <c r="Q582" t="s">
        <v>138</v>
      </c>
      <c r="R582" t="s">
        <v>589</v>
      </c>
      <c r="S582" t="s">
        <v>3053</v>
      </c>
      <c r="T582" t="s">
        <v>3054</v>
      </c>
      <c r="U582" t="s">
        <v>3055</v>
      </c>
      <c r="V582" t="s">
        <v>3056</v>
      </c>
      <c r="W582" t="s">
        <v>101</v>
      </c>
      <c r="X582" t="s">
        <v>102</v>
      </c>
      <c r="Y582" s="229">
        <v>900</v>
      </c>
      <c r="Z582" s="176">
        <v>0</v>
      </c>
      <c r="AA582">
        <v>11</v>
      </c>
      <c r="AB582" t="s">
        <v>1356</v>
      </c>
      <c r="AC582" t="s">
        <v>1349</v>
      </c>
      <c r="AD582" s="197">
        <v>1</v>
      </c>
      <c r="AE582" s="198" t="s">
        <v>1292</v>
      </c>
      <c r="AF582" s="180">
        <v>0</v>
      </c>
      <c r="AG582" s="180">
        <v>0</v>
      </c>
      <c r="AH582" s="180">
        <v>0</v>
      </c>
      <c r="AI582" s="180">
        <v>0</v>
      </c>
      <c r="AJ582" s="180">
        <v>0</v>
      </c>
      <c r="AK582" s="180">
        <v>0</v>
      </c>
      <c r="AL582">
        <v>1</v>
      </c>
      <c r="AM582">
        <v>2023</v>
      </c>
      <c r="AN582" s="180"/>
      <c r="AP582" t="str">
        <f>IF(BD_Bloqueados[[#This Row],[Analista ]]&lt;&gt;"Ana C",MID(BD_Bloqueados[[#This Row],[ID]],3,5),MID(BD_Bloqueados[[#This Row],[ID]],4,5))</f>
        <v>01123</v>
      </c>
      <c r="AQ582">
        <v>33</v>
      </c>
      <c r="AR582">
        <v>2023</v>
      </c>
      <c r="AS582" s="72">
        <v>44927</v>
      </c>
      <c r="AT582" s="72">
        <v>44959</v>
      </c>
      <c r="AU582">
        <v>2</v>
      </c>
    </row>
    <row r="583" spans="1:47">
      <c r="A583" t="s">
        <v>3556</v>
      </c>
      <c r="B583">
        <v>2</v>
      </c>
      <c r="C583" s="72">
        <v>45078</v>
      </c>
      <c r="D583">
        <v>2</v>
      </c>
      <c r="E583" s="173">
        <v>0.35416666666666669</v>
      </c>
      <c r="F583" t="s">
        <v>78</v>
      </c>
      <c r="G583" t="s">
        <v>23</v>
      </c>
      <c r="H583" t="s">
        <v>164</v>
      </c>
      <c r="I583" t="s">
        <v>87</v>
      </c>
      <c r="J583" t="s">
        <v>1804</v>
      </c>
      <c r="K583" t="s">
        <v>3557</v>
      </c>
      <c r="L583" t="s">
        <v>108</v>
      </c>
      <c r="M583" t="s">
        <v>1029</v>
      </c>
      <c r="N583">
        <v>967555800</v>
      </c>
      <c r="O583" t="s">
        <v>94</v>
      </c>
      <c r="P583" s="154">
        <v>12001397</v>
      </c>
      <c r="Q583" t="s">
        <v>138</v>
      </c>
      <c r="R583" t="s">
        <v>585</v>
      </c>
      <c r="S583" t="s">
        <v>3558</v>
      </c>
      <c r="T583" t="s">
        <v>3559</v>
      </c>
      <c r="U583" t="s">
        <v>3560</v>
      </c>
      <c r="V583" t="s">
        <v>3561</v>
      </c>
      <c r="W583" t="s">
        <v>101</v>
      </c>
      <c r="X583" t="s">
        <v>102</v>
      </c>
      <c r="Y583" s="229">
        <v>3801.6</v>
      </c>
      <c r="Z583" s="176">
        <v>0</v>
      </c>
      <c r="AB583" t="s">
        <v>1356</v>
      </c>
      <c r="AC583" t="s">
        <v>1349</v>
      </c>
      <c r="AD583" s="197">
        <v>1</v>
      </c>
      <c r="AE583" s="198" t="s">
        <v>1292</v>
      </c>
      <c r="AF583" s="180">
        <v>0</v>
      </c>
      <c r="AG583" s="180">
        <v>0</v>
      </c>
      <c r="AH583" s="180">
        <v>0</v>
      </c>
      <c r="AI583" s="180">
        <v>0</v>
      </c>
      <c r="AJ583" s="180">
        <v>0</v>
      </c>
      <c r="AK583" s="180">
        <v>0</v>
      </c>
      <c r="AL583">
        <v>1</v>
      </c>
      <c r="AM583">
        <v>2023</v>
      </c>
      <c r="AN583" s="180"/>
      <c r="AP583" t="str">
        <f>IF(BD_Bloqueados[[#This Row],[Analista ]]&lt;&gt;"Ana C",MID(BD_Bloqueados[[#This Row],[ID]],3,5),MID(BD_Bloqueados[[#This Row],[ID]],4,5))</f>
        <v>00623</v>
      </c>
      <c r="AQ583">
        <v>24</v>
      </c>
      <c r="AR583">
        <v>2023</v>
      </c>
      <c r="AS583" s="72">
        <v>44927</v>
      </c>
      <c r="AT583" s="72">
        <v>44950</v>
      </c>
      <c r="AU583">
        <v>1</v>
      </c>
    </row>
    <row r="584" spans="1:47">
      <c r="A584" t="s">
        <v>3615</v>
      </c>
      <c r="B584">
        <v>2</v>
      </c>
      <c r="C584" s="72">
        <v>45047</v>
      </c>
      <c r="D584">
        <v>2</v>
      </c>
      <c r="E584" s="173">
        <v>0.81944444444444453</v>
      </c>
      <c r="F584" t="s">
        <v>109</v>
      </c>
      <c r="G584" t="s">
        <v>27</v>
      </c>
      <c r="H584" t="s">
        <v>189</v>
      </c>
      <c r="I584" t="s">
        <v>143</v>
      </c>
      <c r="J584" t="s">
        <v>618</v>
      </c>
      <c r="K584" t="s">
        <v>1232</v>
      </c>
      <c r="L584" t="s">
        <v>108</v>
      </c>
      <c r="M584" t="s">
        <v>1029</v>
      </c>
      <c r="N584">
        <v>967555800</v>
      </c>
      <c r="O584" t="s">
        <v>92</v>
      </c>
      <c r="P584" s="154">
        <v>13030409</v>
      </c>
      <c r="Q584" t="s">
        <v>138</v>
      </c>
      <c r="R584" t="s">
        <v>589</v>
      </c>
      <c r="S584" t="s">
        <v>3616</v>
      </c>
      <c r="T584" t="s">
        <v>3617</v>
      </c>
      <c r="U584" t="s">
        <v>3618</v>
      </c>
      <c r="V584" t="s">
        <v>3619</v>
      </c>
      <c r="W584" t="s">
        <v>101</v>
      </c>
      <c r="X584" t="s">
        <v>156</v>
      </c>
      <c r="Y584" s="229">
        <v>142.4</v>
      </c>
      <c r="Z584" s="176">
        <v>88382.82666666666</v>
      </c>
      <c r="AA584">
        <v>5</v>
      </c>
      <c r="AB584" t="s">
        <v>1290</v>
      </c>
      <c r="AC584" t="s">
        <v>1252</v>
      </c>
      <c r="AD584" s="197">
        <v>0.44500000000000001</v>
      </c>
      <c r="AE584" s="198" t="s">
        <v>1374</v>
      </c>
      <c r="AF584" s="180">
        <f>9.968+10.391</f>
        <v>20.359000000000002</v>
      </c>
      <c r="AG584" s="180">
        <v>205.92</v>
      </c>
      <c r="AH584" s="180">
        <v>0</v>
      </c>
      <c r="AI584" s="180">
        <f>98.785/3</f>
        <v>32.928333333333335</v>
      </c>
      <c r="AJ584" s="180">
        <v>16.989000000000001</v>
      </c>
      <c r="AK584" s="180">
        <v>0</v>
      </c>
      <c r="AL584">
        <v>1</v>
      </c>
      <c r="AM584">
        <v>2023</v>
      </c>
      <c r="AN584" s="180" t="s">
        <v>3620</v>
      </c>
      <c r="AP584" t="str">
        <f>IF(BD_Bloqueados[[#This Row],[Analista ]]&lt;&gt;"Ana C",MID(BD_Bloqueados[[#This Row],[ID]],3,5),MID(BD_Bloqueados[[#This Row],[ID]],4,5))</f>
        <v>00523</v>
      </c>
      <c r="AQ584">
        <v>23</v>
      </c>
      <c r="AR584">
        <v>2023</v>
      </c>
      <c r="AS584" s="72">
        <v>44927</v>
      </c>
      <c r="AT584" s="72">
        <v>44949</v>
      </c>
      <c r="AU584">
        <v>1</v>
      </c>
    </row>
    <row r="585" spans="1:47" ht="15" thickBot="1">
      <c r="A585" t="s">
        <v>3771</v>
      </c>
      <c r="B585">
        <v>2</v>
      </c>
      <c r="C585" s="72">
        <v>44986</v>
      </c>
      <c r="D585">
        <v>2</v>
      </c>
      <c r="E585" s="173">
        <v>0.73611111111111116</v>
      </c>
      <c r="F585" t="s">
        <v>109</v>
      </c>
      <c r="G585" t="s">
        <v>27</v>
      </c>
      <c r="H585" t="s">
        <v>189</v>
      </c>
      <c r="I585" t="s">
        <v>581</v>
      </c>
      <c r="J585" t="s">
        <v>618</v>
      </c>
      <c r="K585" t="s">
        <v>3772</v>
      </c>
      <c r="L585" t="s">
        <v>108</v>
      </c>
      <c r="M585" t="s">
        <v>1029</v>
      </c>
      <c r="N585">
        <v>967555800</v>
      </c>
      <c r="O585" t="s">
        <v>92</v>
      </c>
      <c r="P585" s="154">
        <v>13030409</v>
      </c>
      <c r="Q585" t="s">
        <v>138</v>
      </c>
      <c r="R585" t="s">
        <v>589</v>
      </c>
      <c r="S585" t="s">
        <v>3773</v>
      </c>
      <c r="T585" t="s">
        <v>3774</v>
      </c>
      <c r="U585" t="s">
        <v>3775</v>
      </c>
      <c r="V585" t="s">
        <v>3776</v>
      </c>
      <c r="W585" t="s">
        <v>101</v>
      </c>
      <c r="X585" t="s">
        <v>156</v>
      </c>
      <c r="Y585" s="229">
        <f>600*0.445</f>
        <v>267</v>
      </c>
      <c r="Z585" s="176">
        <v>165717.79999999999</v>
      </c>
      <c r="AA585">
        <v>3</v>
      </c>
      <c r="AB585" t="s">
        <v>1290</v>
      </c>
      <c r="AC585" t="s">
        <v>1252</v>
      </c>
      <c r="AD585" s="197">
        <v>0.44500000000000001</v>
      </c>
      <c r="AE585" s="198" t="s">
        <v>1374</v>
      </c>
      <c r="AF585" s="180">
        <f>9.968+10.391</f>
        <v>20.359000000000002</v>
      </c>
      <c r="AG585" s="180">
        <v>205.92</v>
      </c>
      <c r="AH585" s="180">
        <v>0</v>
      </c>
      <c r="AI585" s="180">
        <f>98.785/3</f>
        <v>32.928333333333335</v>
      </c>
      <c r="AJ585" s="180">
        <v>16.989000000000001</v>
      </c>
      <c r="AK585" s="180">
        <v>0</v>
      </c>
      <c r="AL585">
        <v>1</v>
      </c>
      <c r="AM585">
        <v>2023</v>
      </c>
      <c r="AN585" s="180" t="s">
        <v>3777</v>
      </c>
      <c r="AP585" t="str">
        <f>IF(BD_Bloqueados[[#This Row],[Analista ]]&lt;&gt;"Ana C",MID(BD_Bloqueados[[#This Row],[ID]],3,5),MID(BD_Bloqueados[[#This Row],[ID]],4,5))</f>
        <v>00323</v>
      </c>
      <c r="AQ585">
        <v>23</v>
      </c>
      <c r="AR585">
        <v>2023</v>
      </c>
      <c r="AS585" s="72">
        <v>44927</v>
      </c>
      <c r="AT585" s="72">
        <v>44949</v>
      </c>
      <c r="AU585">
        <v>1</v>
      </c>
    </row>
    <row r="586" spans="1:47">
      <c r="A586" t="s">
        <v>3778</v>
      </c>
      <c r="B586">
        <v>2</v>
      </c>
      <c r="C586" s="72">
        <v>44986</v>
      </c>
      <c r="D586">
        <v>2</v>
      </c>
      <c r="E586" s="173">
        <v>0.66666666666666663</v>
      </c>
      <c r="F586" t="s">
        <v>109</v>
      </c>
      <c r="G586" t="s">
        <v>23</v>
      </c>
      <c r="H586" t="s">
        <v>139</v>
      </c>
      <c r="I586" t="s">
        <v>248</v>
      </c>
      <c r="J586" t="s">
        <v>595</v>
      </c>
      <c r="K586" t="s">
        <v>2302</v>
      </c>
      <c r="L586" t="s">
        <v>108</v>
      </c>
      <c r="M586" t="s">
        <v>1029</v>
      </c>
      <c r="N586">
        <v>967555800</v>
      </c>
      <c r="O586" t="s">
        <v>218</v>
      </c>
      <c r="P586" s="154">
        <v>13030176</v>
      </c>
      <c r="Q586" t="s">
        <v>138</v>
      </c>
      <c r="R586" t="s">
        <v>589</v>
      </c>
      <c r="S586" t="s">
        <v>3779</v>
      </c>
      <c r="T586" t="s">
        <v>3780</v>
      </c>
      <c r="U586" t="s">
        <v>3781</v>
      </c>
      <c r="V586" t="s">
        <v>3782</v>
      </c>
      <c r="W586" t="s">
        <v>101</v>
      </c>
      <c r="X586" t="s">
        <v>156</v>
      </c>
      <c r="Y586" s="229">
        <v>2483.1</v>
      </c>
      <c r="Z586" s="176">
        <v>110046.02579999999</v>
      </c>
      <c r="AA586">
        <v>3102</v>
      </c>
      <c r="AB586" t="s">
        <v>1356</v>
      </c>
      <c r="AC586" t="s">
        <v>1349</v>
      </c>
      <c r="AD586" s="303">
        <v>1</v>
      </c>
      <c r="AE586" s="304" t="s">
        <v>1292</v>
      </c>
      <c r="AF586" s="180">
        <v>0</v>
      </c>
      <c r="AG586" s="180">
        <v>31.459</v>
      </c>
      <c r="AH586" s="180">
        <v>0</v>
      </c>
      <c r="AI586" s="180">
        <f>38.577/3</f>
        <v>12.859</v>
      </c>
      <c r="AJ586" s="180">
        <v>0</v>
      </c>
      <c r="AK586" s="180">
        <v>0</v>
      </c>
      <c r="AL586">
        <v>1</v>
      </c>
      <c r="AM586">
        <v>2023</v>
      </c>
      <c r="AN586" s="180"/>
      <c r="AP586" t="str">
        <f>IF(BD_Bloqueados[[#This Row],[Analista ]]&lt;&gt;"Ana C",MID(BD_Bloqueados[[#This Row],[ID]],3,5),MID(BD_Bloqueados[[#This Row],[ID]],4,5))</f>
        <v>00323</v>
      </c>
      <c r="AQ586">
        <v>16</v>
      </c>
      <c r="AR586">
        <v>2023</v>
      </c>
      <c r="AS586" s="72">
        <v>44927</v>
      </c>
      <c r="AT586" s="72">
        <v>44942</v>
      </c>
      <c r="AU586">
        <v>1</v>
      </c>
    </row>
    <row r="587" spans="1:47" ht="15" thickBot="1">
      <c r="A587" s="153" t="s">
        <v>3942</v>
      </c>
      <c r="B587" s="153">
        <v>2</v>
      </c>
      <c r="C587" s="72">
        <v>44924</v>
      </c>
      <c r="D587" s="153">
        <v>53</v>
      </c>
      <c r="E587" s="174">
        <v>0.8125</v>
      </c>
      <c r="F587" s="153" t="s">
        <v>109</v>
      </c>
      <c r="G587" s="153" t="s">
        <v>22</v>
      </c>
      <c r="H587" s="153" t="s">
        <v>164</v>
      </c>
      <c r="I587" s="153" t="s">
        <v>190</v>
      </c>
      <c r="J587" s="153" t="s">
        <v>1804</v>
      </c>
      <c r="K587" s="153" t="s">
        <v>3943</v>
      </c>
      <c r="L587" s="153" t="s">
        <v>108</v>
      </c>
      <c r="M587" s="153" t="s">
        <v>1029</v>
      </c>
      <c r="N587" s="153">
        <v>967555800</v>
      </c>
      <c r="O587" s="153" t="s">
        <v>123</v>
      </c>
      <c r="P587" s="175">
        <v>13030401</v>
      </c>
      <c r="Q587" s="153" t="s">
        <v>80</v>
      </c>
      <c r="R587" s="153" t="s">
        <v>589</v>
      </c>
      <c r="S587" s="153" t="s">
        <v>3944</v>
      </c>
      <c r="T587" s="153" t="s">
        <v>3945</v>
      </c>
      <c r="U587" s="153" t="s">
        <v>3946</v>
      </c>
      <c r="V587" s="153" t="s">
        <v>3947</v>
      </c>
      <c r="W587" s="153" t="s">
        <v>101</v>
      </c>
      <c r="X587" s="153" t="s">
        <v>156</v>
      </c>
      <c r="Y587" s="235">
        <v>7536</v>
      </c>
      <c r="Z587" s="177">
        <v>142709.23200000002</v>
      </c>
      <c r="AA587" s="153">
        <v>363</v>
      </c>
      <c r="AB587" s="153" t="s">
        <v>1491</v>
      </c>
      <c r="AC587" s="153" t="s">
        <v>1252</v>
      </c>
      <c r="AD587" s="45"/>
      <c r="AE587" s="198"/>
      <c r="AF587" s="180"/>
      <c r="AG587" s="180"/>
      <c r="AH587" s="180"/>
      <c r="AI587" s="180"/>
      <c r="AJ587" s="180"/>
      <c r="AK587" s="180"/>
      <c r="AL587">
        <v>12</v>
      </c>
      <c r="AM587">
        <v>2022</v>
      </c>
      <c r="AN587" s="180" t="s">
        <v>1283</v>
      </c>
      <c r="AP587" t="str">
        <f>IF(BD_Bloqueados[[#This Row],[Analista ]]&lt;&gt;"Ana C",MID(BD_Bloqueados[[#This Row],[ID]],3,5),MID(BD_Bloqueados[[#This Row],[ID]],4,5))</f>
        <v>36322</v>
      </c>
      <c r="AQ587">
        <v>12</v>
      </c>
      <c r="AR587">
        <v>2023</v>
      </c>
      <c r="AS587" s="72">
        <v>44927</v>
      </c>
      <c r="AT587" s="72">
        <v>44938</v>
      </c>
      <c r="AU587">
        <v>1</v>
      </c>
    </row>
    <row r="588" spans="1:47">
      <c r="A588" t="s">
        <v>3948</v>
      </c>
      <c r="B588">
        <v>2</v>
      </c>
      <c r="C588" s="72">
        <v>44917</v>
      </c>
      <c r="D588">
        <v>52</v>
      </c>
      <c r="E588" s="173">
        <v>0.2638888888888889</v>
      </c>
      <c r="F588" t="s">
        <v>78</v>
      </c>
      <c r="G588" t="s">
        <v>27</v>
      </c>
      <c r="H588" t="s">
        <v>189</v>
      </c>
      <c r="I588" t="s">
        <v>581</v>
      </c>
      <c r="J588" t="s">
        <v>618</v>
      </c>
      <c r="K588" t="s">
        <v>664</v>
      </c>
      <c r="L588" t="s">
        <v>108</v>
      </c>
      <c r="M588" t="s">
        <v>1029</v>
      </c>
      <c r="N588">
        <v>967555800</v>
      </c>
      <c r="O588" t="s">
        <v>769</v>
      </c>
      <c r="P588" s="154">
        <v>13030092</v>
      </c>
      <c r="Q588" t="s">
        <v>138</v>
      </c>
      <c r="R588" t="s">
        <v>589</v>
      </c>
      <c r="S588" t="s">
        <v>3949</v>
      </c>
      <c r="T588" t="s">
        <v>3950</v>
      </c>
      <c r="U588" t="s">
        <v>3951</v>
      </c>
      <c r="V588" t="s">
        <v>3952</v>
      </c>
      <c r="W588" t="s">
        <v>101</v>
      </c>
      <c r="X588" t="s">
        <v>156</v>
      </c>
      <c r="Y588" s="229">
        <f>750*0.45</f>
        <v>337.5</v>
      </c>
      <c r="Z588" s="176">
        <v>386517.13483146066</v>
      </c>
      <c r="AA588">
        <v>356</v>
      </c>
      <c r="AB588" t="s">
        <v>1290</v>
      </c>
      <c r="AC588" t="s">
        <v>1252</v>
      </c>
      <c r="AD588" s="239"/>
      <c r="AE588" s="198"/>
      <c r="AF588" s="180"/>
      <c r="AG588" s="180"/>
      <c r="AH588" s="180"/>
      <c r="AI588" s="180"/>
      <c r="AJ588" s="180"/>
      <c r="AK588" s="180"/>
      <c r="AL588">
        <v>12</v>
      </c>
      <c r="AM588">
        <v>2022</v>
      </c>
      <c r="AN588" s="180" t="s">
        <v>2396</v>
      </c>
      <c r="AP588" t="str">
        <f>IF(BD_Bloqueados[[#This Row],[Analista ]]&lt;&gt;"Ana C",MID(BD_Bloqueados[[#This Row],[ID]],3,5),MID(BD_Bloqueados[[#This Row],[ID]],4,5))</f>
        <v>35622</v>
      </c>
      <c r="AQ588">
        <v>11</v>
      </c>
      <c r="AR588">
        <v>2023</v>
      </c>
      <c r="AS588" s="72">
        <v>44927</v>
      </c>
      <c r="AT588" s="72">
        <v>44937</v>
      </c>
      <c r="AU588">
        <v>1</v>
      </c>
    </row>
    <row r="589" spans="1:47">
      <c r="A589" t="s">
        <v>3953</v>
      </c>
      <c r="B589">
        <v>2</v>
      </c>
      <c r="C589" s="72">
        <v>44916</v>
      </c>
      <c r="D589">
        <v>52</v>
      </c>
      <c r="E589" s="173">
        <v>0.20833333333333334</v>
      </c>
      <c r="F589" t="s">
        <v>136</v>
      </c>
      <c r="G589" t="s">
        <v>27</v>
      </c>
      <c r="H589" t="s">
        <v>189</v>
      </c>
      <c r="I589" t="s">
        <v>581</v>
      </c>
      <c r="J589" t="s">
        <v>618</v>
      </c>
      <c r="K589" t="s">
        <v>664</v>
      </c>
      <c r="L589" t="s">
        <v>108</v>
      </c>
      <c r="M589" t="s">
        <v>1029</v>
      </c>
      <c r="N589">
        <v>967555800</v>
      </c>
      <c r="O589" t="s">
        <v>195</v>
      </c>
      <c r="P589" s="154">
        <v>13030093</v>
      </c>
      <c r="Q589" t="s">
        <v>80</v>
      </c>
      <c r="R589" t="s">
        <v>589</v>
      </c>
      <c r="S589" t="s">
        <v>3954</v>
      </c>
      <c r="T589" t="s">
        <v>3955</v>
      </c>
      <c r="U589" t="s">
        <v>3956</v>
      </c>
      <c r="V589" t="s">
        <v>3957</v>
      </c>
      <c r="W589" t="s">
        <v>101</v>
      </c>
      <c r="X589" t="s">
        <v>156</v>
      </c>
      <c r="Y589" s="229">
        <f>750*0.46</f>
        <v>345</v>
      </c>
      <c r="Z589" s="176">
        <v>236900</v>
      </c>
      <c r="AA589">
        <v>355</v>
      </c>
      <c r="AB589" t="s">
        <v>1290</v>
      </c>
      <c r="AC589" t="s">
        <v>1349</v>
      </c>
      <c r="AD589" s="45"/>
      <c r="AE589" s="198"/>
      <c r="AF589" s="180"/>
      <c r="AG589" s="180"/>
      <c r="AH589" s="180"/>
      <c r="AI589" s="180"/>
      <c r="AJ589" s="180"/>
      <c r="AK589" s="180"/>
      <c r="AL589">
        <v>12</v>
      </c>
      <c r="AM589">
        <v>2022</v>
      </c>
      <c r="AN589" s="180"/>
      <c r="AP589" t="str">
        <f>IF(BD_Bloqueados[[#This Row],[Analista ]]&lt;&gt;"Ana C",MID(BD_Bloqueados[[#This Row],[ID]],3,5),MID(BD_Bloqueados[[#This Row],[ID]],4,5))</f>
        <v>35522</v>
      </c>
      <c r="AQ589">
        <v>244</v>
      </c>
      <c r="AR589">
        <v>2023</v>
      </c>
      <c r="AS589" s="72">
        <v>44927</v>
      </c>
      <c r="AT589" s="72">
        <v>45170</v>
      </c>
      <c r="AU589">
        <v>9</v>
      </c>
    </row>
    <row r="590" spans="1:47">
      <c r="A590" t="s">
        <v>3958</v>
      </c>
      <c r="B590">
        <v>2</v>
      </c>
      <c r="C590" s="72">
        <v>44909</v>
      </c>
      <c r="D590">
        <v>51</v>
      </c>
      <c r="E590" s="173">
        <v>0.41666666666666669</v>
      </c>
      <c r="F590" t="s">
        <v>78</v>
      </c>
      <c r="G590" t="s">
        <v>27</v>
      </c>
      <c r="H590" t="s">
        <v>189</v>
      </c>
      <c r="I590" t="s">
        <v>248</v>
      </c>
      <c r="J590" t="s">
        <v>618</v>
      </c>
      <c r="K590" t="s">
        <v>3959</v>
      </c>
      <c r="L590" t="s">
        <v>108</v>
      </c>
      <c r="M590" t="s">
        <v>1029</v>
      </c>
      <c r="N590">
        <v>967555800</v>
      </c>
      <c r="O590" t="s">
        <v>92</v>
      </c>
      <c r="P590" s="154">
        <v>13030409</v>
      </c>
      <c r="Q590" t="s">
        <v>138</v>
      </c>
      <c r="R590" t="s">
        <v>589</v>
      </c>
      <c r="S590" t="s">
        <v>3960</v>
      </c>
      <c r="T590" t="s">
        <v>3012</v>
      </c>
      <c r="U590" t="s">
        <v>3961</v>
      </c>
      <c r="V590" t="s">
        <v>3962</v>
      </c>
      <c r="W590" t="s">
        <v>101</v>
      </c>
      <c r="X590" t="s">
        <v>156</v>
      </c>
      <c r="Y590" s="229">
        <v>2483.1</v>
      </c>
      <c r="Z590" s="176">
        <v>1765121.4</v>
      </c>
      <c r="AA590">
        <v>348</v>
      </c>
      <c r="AB590" t="s">
        <v>1290</v>
      </c>
      <c r="AC590" t="s">
        <v>1252</v>
      </c>
      <c r="AD590" s="31"/>
      <c r="AE590" s="247"/>
      <c r="AF590" s="180"/>
      <c r="AG590" s="180"/>
      <c r="AH590" s="180"/>
      <c r="AI590" s="180"/>
      <c r="AJ590" s="180"/>
      <c r="AK590" s="180"/>
      <c r="AL590">
        <v>12</v>
      </c>
      <c r="AM590">
        <v>2022</v>
      </c>
      <c r="AN590" s="180" t="s">
        <v>3963</v>
      </c>
      <c r="AP590" t="str">
        <f>IF(BD_Bloqueados[[#This Row],[Analista ]]&lt;&gt;"Ana C",MID(BD_Bloqueados[[#This Row],[ID]],3,5),MID(BD_Bloqueados[[#This Row],[ID]],4,5))</f>
        <v>34822</v>
      </c>
      <c r="AQ590">
        <v>244</v>
      </c>
      <c r="AR590">
        <v>2023</v>
      </c>
      <c r="AS590" s="72">
        <v>44927</v>
      </c>
      <c r="AT590" s="72">
        <v>45170</v>
      </c>
      <c r="AU590">
        <v>9</v>
      </c>
    </row>
    <row r="591" spans="1:47">
      <c r="A591" t="s">
        <v>3981</v>
      </c>
      <c r="B591">
        <v>2</v>
      </c>
      <c r="C591" s="72">
        <v>44882</v>
      </c>
      <c r="D591">
        <v>47</v>
      </c>
      <c r="E591" s="173">
        <v>6.9444444444444441E-3</v>
      </c>
      <c r="F591" t="s">
        <v>136</v>
      </c>
      <c r="G591" t="s">
        <v>29</v>
      </c>
      <c r="H591" t="s">
        <v>83</v>
      </c>
      <c r="I591" t="s">
        <v>87</v>
      </c>
      <c r="J591" t="s">
        <v>618</v>
      </c>
      <c r="K591" t="s">
        <v>2473</v>
      </c>
      <c r="L591" t="s">
        <v>77</v>
      </c>
      <c r="M591" t="s">
        <v>575</v>
      </c>
      <c r="N591">
        <v>76618520</v>
      </c>
      <c r="O591" t="s">
        <v>593</v>
      </c>
      <c r="P591" s="154">
        <v>10004345</v>
      </c>
      <c r="Q591" t="s">
        <v>138</v>
      </c>
      <c r="R591" t="s">
        <v>1840</v>
      </c>
      <c r="S591" t="s">
        <v>3982</v>
      </c>
      <c r="T591" t="s">
        <v>3983</v>
      </c>
      <c r="U591" t="s">
        <v>3984</v>
      </c>
      <c r="V591" t="s">
        <v>3985</v>
      </c>
      <c r="W591" t="s">
        <v>101</v>
      </c>
      <c r="X591" t="s">
        <v>1518</v>
      </c>
      <c r="Y591" s="229">
        <v>994</v>
      </c>
      <c r="Z591" s="176">
        <v>0</v>
      </c>
      <c r="AA591">
        <v>320</v>
      </c>
      <c r="AB591" t="s">
        <v>2727</v>
      </c>
      <c r="AC591" s="178" t="s">
        <v>39</v>
      </c>
      <c r="AD591" s="309"/>
      <c r="AE591" s="31"/>
      <c r="AF591" s="180"/>
      <c r="AG591" s="180"/>
      <c r="AH591" s="180"/>
      <c r="AI591" s="180"/>
      <c r="AJ591" s="180"/>
      <c r="AK591" s="180"/>
      <c r="AL591">
        <v>11</v>
      </c>
      <c r="AM591">
        <v>2022</v>
      </c>
      <c r="AN591" s="180"/>
      <c r="AP591" t="str">
        <f>IF(BD_Bloqueados[[#This Row],[Analista ]]&lt;&gt;"Ana C",MID(BD_Bloqueados[[#This Row],[ID]],3,5),MID(BD_Bloqueados[[#This Row],[ID]],4,5))</f>
        <v>32122</v>
      </c>
      <c r="AQ591">
        <v>213</v>
      </c>
      <c r="AR591">
        <v>2023</v>
      </c>
      <c r="AS591" s="72">
        <v>44927</v>
      </c>
      <c r="AT591" s="72">
        <v>45139</v>
      </c>
      <c r="AU591">
        <v>8</v>
      </c>
    </row>
    <row r="592" spans="1:47">
      <c r="A592" t="s">
        <v>3986</v>
      </c>
      <c r="B592">
        <v>2</v>
      </c>
      <c r="C592" s="72">
        <v>44882</v>
      </c>
      <c r="D592">
        <v>47</v>
      </c>
      <c r="E592" s="173">
        <v>0.99305555555555547</v>
      </c>
      <c r="F592" t="s">
        <v>136</v>
      </c>
      <c r="G592" t="s">
        <v>23</v>
      </c>
      <c r="H592" t="s">
        <v>81</v>
      </c>
      <c r="I592" t="s">
        <v>190</v>
      </c>
      <c r="J592" t="s">
        <v>1783</v>
      </c>
      <c r="K592" t="s">
        <v>1833</v>
      </c>
      <c r="L592" t="s">
        <v>108</v>
      </c>
      <c r="M592" t="s">
        <v>1029</v>
      </c>
      <c r="N592">
        <v>0</v>
      </c>
      <c r="O592" t="s">
        <v>265</v>
      </c>
      <c r="P592" s="154">
        <v>13030402</v>
      </c>
      <c r="Q592" t="s">
        <v>206</v>
      </c>
      <c r="R592" t="s">
        <v>1840</v>
      </c>
      <c r="S592" t="s">
        <v>3987</v>
      </c>
      <c r="T592" t="s">
        <v>3988</v>
      </c>
      <c r="U592" t="s">
        <v>3989</v>
      </c>
      <c r="V592" t="s">
        <v>3990</v>
      </c>
      <c r="W592" t="s">
        <v>101</v>
      </c>
      <c r="X592" t="s">
        <v>102</v>
      </c>
      <c r="Y592" s="229">
        <v>10801</v>
      </c>
      <c r="Z592" s="176">
        <v>0</v>
      </c>
      <c r="AA592">
        <v>321</v>
      </c>
      <c r="AB592" t="s">
        <v>3991</v>
      </c>
      <c r="AC592" t="s">
        <v>1349</v>
      </c>
      <c r="AD592" s="45"/>
      <c r="AE592" s="245"/>
      <c r="AF592" s="180"/>
      <c r="AG592" s="180"/>
      <c r="AH592" s="180"/>
      <c r="AI592" s="180"/>
      <c r="AJ592" s="180"/>
      <c r="AK592" s="180"/>
      <c r="AL592">
        <v>11</v>
      </c>
      <c r="AM592">
        <v>2022</v>
      </c>
      <c r="AN592" s="180"/>
      <c r="AP592" t="str">
        <f>IF(BD_Bloqueados[[#This Row],[Analista ]]&lt;&gt;"Ana C",MID(BD_Bloqueados[[#This Row],[ID]],3,5),MID(BD_Bloqueados[[#This Row],[ID]],4,5))</f>
        <v>32122</v>
      </c>
      <c r="AQ592">
        <v>182</v>
      </c>
      <c r="AR592">
        <v>2023</v>
      </c>
      <c r="AS592" s="72">
        <v>44927</v>
      </c>
      <c r="AT592" s="72">
        <v>45108</v>
      </c>
      <c r="AU592">
        <v>7</v>
      </c>
    </row>
    <row r="593" spans="1:47" ht="15" thickBot="1">
      <c r="A593" t="s">
        <v>3992</v>
      </c>
      <c r="B593">
        <v>2</v>
      </c>
      <c r="C593" s="72">
        <v>44879</v>
      </c>
      <c r="D593">
        <v>47</v>
      </c>
      <c r="E593" s="173">
        <v>0.5</v>
      </c>
      <c r="F593" t="s">
        <v>78</v>
      </c>
      <c r="G593" t="s">
        <v>31</v>
      </c>
      <c r="H593" t="s">
        <v>84</v>
      </c>
      <c r="I593" t="s">
        <v>248</v>
      </c>
      <c r="J593" t="s">
        <v>169</v>
      </c>
      <c r="K593" t="s">
        <v>1487</v>
      </c>
      <c r="L593" t="s">
        <v>108</v>
      </c>
      <c r="M593" t="s">
        <v>1029</v>
      </c>
      <c r="N593">
        <v>967555800</v>
      </c>
      <c r="O593" t="s">
        <v>200</v>
      </c>
      <c r="P593" s="154">
        <v>13030428</v>
      </c>
      <c r="Q593" t="s">
        <v>138</v>
      </c>
      <c r="R593" t="s">
        <v>589</v>
      </c>
      <c r="S593" t="s">
        <v>3993</v>
      </c>
      <c r="T593" t="s">
        <v>3994</v>
      </c>
      <c r="U593" t="s">
        <v>3995</v>
      </c>
      <c r="V593" t="s">
        <v>3996</v>
      </c>
      <c r="W593" t="s">
        <v>101</v>
      </c>
      <c r="X593" t="s">
        <v>156</v>
      </c>
      <c r="Y593" s="229">
        <v>316.8</v>
      </c>
      <c r="Z593" s="176">
        <v>72650.793600000005</v>
      </c>
      <c r="AA593">
        <v>318</v>
      </c>
      <c r="AB593" t="s">
        <v>1290</v>
      </c>
      <c r="AC593" t="s">
        <v>3148</v>
      </c>
      <c r="AD593" s="45"/>
      <c r="AE593" s="245" t="s">
        <v>3504</v>
      </c>
      <c r="AF593" s="180">
        <v>2.5190000000000001</v>
      </c>
      <c r="AG593" s="180">
        <v>146.751</v>
      </c>
      <c r="AH593" s="180">
        <v>566.21299999999997</v>
      </c>
      <c r="AI593" s="180">
        <v>81.489000000000004</v>
      </c>
      <c r="AJ593" s="180">
        <v>1.087</v>
      </c>
      <c r="AK593" s="180"/>
      <c r="AL593">
        <v>11</v>
      </c>
      <c r="AM593">
        <v>2022</v>
      </c>
      <c r="AN593" s="180"/>
      <c r="AP593" t="str">
        <f>IF(BD_Bloqueados[[#This Row],[Analista ]]&lt;&gt;"Ana C",MID(BD_Bloqueados[[#This Row],[ID]],3,5),MID(BD_Bloqueados[[#This Row],[ID]],4,5))</f>
        <v>31822</v>
      </c>
      <c r="AQ593">
        <v>152</v>
      </c>
      <c r="AR593">
        <v>2023</v>
      </c>
      <c r="AS593" s="72">
        <v>44927</v>
      </c>
      <c r="AT593" s="72">
        <v>45078</v>
      </c>
      <c r="AU593">
        <v>6</v>
      </c>
    </row>
    <row r="594" spans="1:47">
      <c r="A594" t="s">
        <v>4003</v>
      </c>
      <c r="B594">
        <v>2</v>
      </c>
      <c r="C594" s="72">
        <v>44862</v>
      </c>
      <c r="D594">
        <v>44</v>
      </c>
      <c r="E594" s="173">
        <v>0.44444444444444442</v>
      </c>
      <c r="F594" t="s">
        <v>78</v>
      </c>
      <c r="G594" t="s">
        <v>32</v>
      </c>
      <c r="H594" t="s">
        <v>85</v>
      </c>
      <c r="I594" t="s">
        <v>581</v>
      </c>
      <c r="J594" t="s">
        <v>169</v>
      </c>
      <c r="K594" t="s">
        <v>4004</v>
      </c>
      <c r="L594" t="s">
        <v>108</v>
      </c>
      <c r="M594" t="s">
        <v>1029</v>
      </c>
      <c r="N594">
        <v>967555800</v>
      </c>
      <c r="O594" t="s">
        <v>200</v>
      </c>
      <c r="P594" s="154">
        <v>13030428</v>
      </c>
      <c r="Q594" t="s">
        <v>138</v>
      </c>
      <c r="R594" t="s">
        <v>589</v>
      </c>
      <c r="S594" t="s">
        <v>4005</v>
      </c>
      <c r="T594" t="s">
        <v>4006</v>
      </c>
      <c r="U594" t="s">
        <v>4007</v>
      </c>
      <c r="V594" t="s">
        <v>4008</v>
      </c>
      <c r="W594" t="s">
        <v>101</v>
      </c>
      <c r="X594" t="s">
        <v>156</v>
      </c>
      <c r="Y594" s="229">
        <v>21.12</v>
      </c>
      <c r="Z594" s="176">
        <v>4745.6639999999998</v>
      </c>
      <c r="AA594">
        <v>30104</v>
      </c>
      <c r="AB594" t="s">
        <v>1290</v>
      </c>
      <c r="AC594" t="s">
        <v>1252</v>
      </c>
      <c r="AD594" s="282"/>
      <c r="AE594" s="284"/>
      <c r="AF594" s="180"/>
      <c r="AG594" s="180"/>
      <c r="AH594" s="180"/>
      <c r="AI594" s="180"/>
      <c r="AJ594" s="180"/>
      <c r="AK594" s="180"/>
      <c r="AL594">
        <v>10</v>
      </c>
      <c r="AM594">
        <v>2022</v>
      </c>
      <c r="AN594" s="180" t="s">
        <v>1611</v>
      </c>
      <c r="AP594" t="str">
        <f>IF(BD_Bloqueados[[#This Row],[Analista ]]&lt;&gt;"Ana C",MID(BD_Bloqueados[[#This Row],[ID]],3,5),MID(BD_Bloqueados[[#This Row],[ID]],4,5))</f>
        <v>30122</v>
      </c>
      <c r="AQ594">
        <v>60</v>
      </c>
      <c r="AR594">
        <v>2023</v>
      </c>
      <c r="AS594" s="72">
        <v>44927</v>
      </c>
      <c r="AT594" s="72">
        <v>44986</v>
      </c>
      <c r="AU594">
        <v>3</v>
      </c>
    </row>
    <row r="595" spans="1:47" ht="15" thickBot="1">
      <c r="A595" s="153" t="s">
        <v>4009</v>
      </c>
      <c r="B595" s="153">
        <v>2</v>
      </c>
      <c r="C595" s="72">
        <v>44859</v>
      </c>
      <c r="D595" s="153">
        <v>44</v>
      </c>
      <c r="E595" s="174">
        <v>0.95972222222222225</v>
      </c>
      <c r="F595" s="153" t="s">
        <v>136</v>
      </c>
      <c r="G595" s="153" t="s">
        <v>27</v>
      </c>
      <c r="H595" s="153" t="s">
        <v>140</v>
      </c>
      <c r="I595" s="153" t="s">
        <v>248</v>
      </c>
      <c r="J595" s="153" t="s">
        <v>618</v>
      </c>
      <c r="K595" s="153" t="s">
        <v>4010</v>
      </c>
      <c r="L595" s="153" t="s">
        <v>77</v>
      </c>
      <c r="M595" s="153" t="s">
        <v>742</v>
      </c>
      <c r="N595" s="153">
        <v>76006727</v>
      </c>
      <c r="O595" s="153" t="s">
        <v>509</v>
      </c>
      <c r="P595" s="175">
        <v>10003596</v>
      </c>
      <c r="Q595" s="153" t="s">
        <v>138</v>
      </c>
      <c r="R595" s="153" t="s">
        <v>79</v>
      </c>
      <c r="S595" s="153" t="s">
        <v>4011</v>
      </c>
      <c r="T595" s="153" t="s">
        <v>4012</v>
      </c>
      <c r="U595" s="153" t="s">
        <v>4013</v>
      </c>
      <c r="V595" s="153" t="s">
        <v>4014</v>
      </c>
      <c r="W595" s="153" t="s">
        <v>101</v>
      </c>
      <c r="X595" s="153" t="s">
        <v>1518</v>
      </c>
      <c r="Y595" s="235">
        <v>1190</v>
      </c>
      <c r="Z595" s="177">
        <v>0</v>
      </c>
      <c r="AA595" s="153">
        <v>22361101</v>
      </c>
      <c r="AB595" s="153" t="s">
        <v>2932</v>
      </c>
      <c r="AC595" s="153" t="s">
        <v>1349</v>
      </c>
      <c r="AD595" s="45"/>
      <c r="AE595" s="245"/>
      <c r="AF595" s="180"/>
      <c r="AG595" s="180"/>
      <c r="AH595" s="180"/>
      <c r="AI595" s="180"/>
      <c r="AJ595" s="180"/>
      <c r="AK595" s="180"/>
      <c r="AL595">
        <v>10</v>
      </c>
      <c r="AM595">
        <v>2022</v>
      </c>
      <c r="AN595" s="180"/>
      <c r="AP595" t="str">
        <f>IF(BD_Bloqueados[[#This Row],[Analista ]]&lt;&gt;"Ana C",MID(BD_Bloqueados[[#This Row],[ID]],3,5),MID(BD_Bloqueados[[#This Row],[ID]],4,5))</f>
        <v>29822</v>
      </c>
      <c r="AQ595">
        <v>363</v>
      </c>
      <c r="AR595">
        <v>2022</v>
      </c>
      <c r="AS595" s="72">
        <v>44562</v>
      </c>
      <c r="AT595" s="72">
        <v>44924</v>
      </c>
      <c r="AU595">
        <v>12</v>
      </c>
    </row>
    <row r="596" spans="1:47" ht="15" thickBot="1">
      <c r="A596" t="s">
        <v>4015</v>
      </c>
      <c r="B596">
        <v>2</v>
      </c>
      <c r="C596" s="72">
        <v>44858</v>
      </c>
      <c r="D596">
        <v>44</v>
      </c>
      <c r="E596" s="173">
        <v>0.41388888888888892</v>
      </c>
      <c r="F596" t="s">
        <v>78</v>
      </c>
      <c r="G596" t="s">
        <v>27</v>
      </c>
      <c r="H596" t="s">
        <v>166</v>
      </c>
      <c r="I596" t="s">
        <v>591</v>
      </c>
      <c r="J596" t="s">
        <v>117</v>
      </c>
      <c r="K596" t="s">
        <v>2334</v>
      </c>
      <c r="L596" t="s">
        <v>108</v>
      </c>
      <c r="M596" t="s">
        <v>1029</v>
      </c>
      <c r="N596">
        <v>967555800</v>
      </c>
      <c r="O596" t="s">
        <v>4016</v>
      </c>
      <c r="P596" s="154">
        <v>13030495</v>
      </c>
      <c r="Q596" t="s">
        <v>138</v>
      </c>
      <c r="R596" t="s">
        <v>589</v>
      </c>
      <c r="S596" t="s">
        <v>4017</v>
      </c>
      <c r="T596" t="s">
        <v>4018</v>
      </c>
      <c r="U596" t="s">
        <v>4019</v>
      </c>
      <c r="V596" t="s">
        <v>4020</v>
      </c>
      <c r="W596" t="s">
        <v>101</v>
      </c>
      <c r="X596" t="s">
        <v>156</v>
      </c>
      <c r="Y596" s="229">
        <v>336</v>
      </c>
      <c r="Z596" s="176">
        <v>103084.8</v>
      </c>
      <c r="AA596">
        <v>297</v>
      </c>
      <c r="AB596" t="s">
        <v>1290</v>
      </c>
      <c r="AC596" t="s">
        <v>1252</v>
      </c>
      <c r="AD596" s="239"/>
      <c r="AE596" s="244"/>
      <c r="AF596" s="180"/>
      <c r="AG596" s="180"/>
      <c r="AH596" s="180"/>
      <c r="AI596" s="180"/>
      <c r="AJ596" s="180"/>
      <c r="AK596" s="180"/>
      <c r="AL596">
        <v>10</v>
      </c>
      <c r="AM596">
        <v>2022</v>
      </c>
      <c r="AN596" s="180" t="s">
        <v>1611</v>
      </c>
      <c r="AP596" t="str">
        <f>IF(BD_Bloqueados[[#This Row],[Analista ]]&lt;&gt;"Ana C",MID(BD_Bloqueados[[#This Row],[ID]],3,5),MID(BD_Bloqueados[[#This Row],[ID]],4,5))</f>
        <v>29722</v>
      </c>
      <c r="AQ596">
        <v>356</v>
      </c>
      <c r="AR596">
        <v>2022</v>
      </c>
      <c r="AS596" s="72">
        <v>44562</v>
      </c>
      <c r="AT596" s="72">
        <v>44917</v>
      </c>
      <c r="AU596">
        <v>12</v>
      </c>
    </row>
    <row r="597" spans="1:47">
      <c r="A597" t="s">
        <v>1803</v>
      </c>
      <c r="B597">
        <v>2</v>
      </c>
      <c r="C597" s="72">
        <v>44852</v>
      </c>
      <c r="D597">
        <v>43</v>
      </c>
      <c r="E597" s="173">
        <v>0.125</v>
      </c>
      <c r="F597" t="s">
        <v>136</v>
      </c>
      <c r="G597" t="s">
        <v>23</v>
      </c>
      <c r="H597" t="s">
        <v>81</v>
      </c>
      <c r="I597" t="s">
        <v>190</v>
      </c>
      <c r="J597" t="s">
        <v>1804</v>
      </c>
      <c r="K597" t="s">
        <v>1805</v>
      </c>
      <c r="L597" t="s">
        <v>108</v>
      </c>
      <c r="M597" t="s">
        <v>1029</v>
      </c>
      <c r="N597">
        <v>967555800</v>
      </c>
      <c r="O597" t="s">
        <v>94</v>
      </c>
      <c r="P597" s="154">
        <v>12001397</v>
      </c>
      <c r="Q597" t="s">
        <v>206</v>
      </c>
      <c r="R597" t="s">
        <v>578</v>
      </c>
      <c r="S597" t="s">
        <v>1806</v>
      </c>
      <c r="T597" t="s">
        <v>1807</v>
      </c>
      <c r="U597" t="s">
        <v>1808</v>
      </c>
      <c r="V597" t="s">
        <v>1809</v>
      </c>
      <c r="W597" t="s">
        <v>101</v>
      </c>
      <c r="X597" t="s">
        <v>129</v>
      </c>
      <c r="Y597" s="229">
        <v>6042</v>
      </c>
      <c r="Z597" s="176">
        <v>3138819</v>
      </c>
      <c r="AA597">
        <v>291</v>
      </c>
      <c r="AB597" t="s">
        <v>1810</v>
      </c>
      <c r="AC597" t="s">
        <v>1252</v>
      </c>
      <c r="AD597" s="242"/>
      <c r="AE597" s="246"/>
      <c r="AF597" s="180"/>
      <c r="AG597" s="180"/>
      <c r="AH597" s="180"/>
      <c r="AI597" s="180"/>
      <c r="AJ597" s="180"/>
      <c r="AK597" s="180"/>
      <c r="AL597" s="305">
        <v>10</v>
      </c>
      <c r="AM597" s="306">
        <v>2022</v>
      </c>
      <c r="AN597" s="180" t="s">
        <v>1611</v>
      </c>
      <c r="AP597" t="str">
        <f>IF(BD_Bloqueados[[#This Row],[Analista ]]&lt;&gt;"Ana C",MID(BD_Bloqueados[[#This Row],[ID]],3,5),MID(BD_Bloqueados[[#This Row],[ID]],4,5))</f>
        <v>29122</v>
      </c>
      <c r="AQ597">
        <v>355</v>
      </c>
      <c r="AR597">
        <v>2022</v>
      </c>
      <c r="AS597" s="72">
        <v>44562</v>
      </c>
      <c r="AT597" s="72">
        <v>44916</v>
      </c>
      <c r="AU597">
        <v>12</v>
      </c>
    </row>
    <row r="598" spans="1:47">
      <c r="A598" t="s">
        <v>4021</v>
      </c>
      <c r="B598">
        <v>2</v>
      </c>
      <c r="C598" s="72">
        <v>44851</v>
      </c>
      <c r="D598">
        <v>43</v>
      </c>
      <c r="E598" s="173">
        <v>0.375</v>
      </c>
      <c r="F598" t="s">
        <v>78</v>
      </c>
      <c r="G598" t="s">
        <v>29</v>
      </c>
      <c r="H598" t="s">
        <v>165</v>
      </c>
      <c r="I598" t="s">
        <v>259</v>
      </c>
      <c r="J598" t="s">
        <v>117</v>
      </c>
      <c r="K598" t="s">
        <v>4022</v>
      </c>
      <c r="L598" t="s">
        <v>77</v>
      </c>
      <c r="M598" t="s">
        <v>652</v>
      </c>
      <c r="N598">
        <v>96974100</v>
      </c>
      <c r="O598" t="s">
        <v>767</v>
      </c>
      <c r="P598" s="154">
        <v>11001960</v>
      </c>
      <c r="Q598" t="s">
        <v>206</v>
      </c>
      <c r="R598" t="s">
        <v>579</v>
      </c>
      <c r="S598" t="s">
        <v>4023</v>
      </c>
      <c r="T598" t="s">
        <v>3376</v>
      </c>
      <c r="U598" t="s">
        <v>3377</v>
      </c>
      <c r="V598" t="s">
        <v>3378</v>
      </c>
      <c r="W598" t="s">
        <v>101</v>
      </c>
      <c r="X598" t="s">
        <v>1518</v>
      </c>
      <c r="Y598" s="229">
        <v>24000</v>
      </c>
      <c r="Z598" s="176">
        <v>0</v>
      </c>
      <c r="AA598">
        <v>49405.822</v>
      </c>
      <c r="AB598" t="s">
        <v>2727</v>
      </c>
      <c r="AC598" t="s">
        <v>39</v>
      </c>
      <c r="AD598" s="280"/>
      <c r="AE598" s="280"/>
      <c r="AF598" s="180"/>
      <c r="AG598" s="180"/>
      <c r="AH598" s="180"/>
      <c r="AI598" s="180"/>
      <c r="AJ598" s="180"/>
      <c r="AK598" s="180"/>
      <c r="AL598">
        <v>10</v>
      </c>
      <c r="AM598">
        <v>2022</v>
      </c>
      <c r="AN598" s="180"/>
      <c r="AP598" t="str">
        <f>IF(BD_Bloqueados[[#This Row],[Analista ]]&lt;&gt;"Ana C",MID(BD_Bloqueados[[#This Row],[ID]],3,5),MID(BD_Bloqueados[[#This Row],[ID]],4,5))</f>
        <v>29022</v>
      </c>
      <c r="AQ598">
        <v>348</v>
      </c>
      <c r="AR598">
        <v>2022</v>
      </c>
      <c r="AS598" s="72">
        <v>44562</v>
      </c>
      <c r="AT598" s="72">
        <v>44909</v>
      </c>
      <c r="AU598">
        <v>12</v>
      </c>
    </row>
    <row r="599" spans="1:47">
      <c r="A599" t="s">
        <v>4024</v>
      </c>
      <c r="B599">
        <v>2</v>
      </c>
      <c r="C599" s="72">
        <v>44851</v>
      </c>
      <c r="D599">
        <v>43</v>
      </c>
      <c r="E599" s="173">
        <v>0.45833333333333331</v>
      </c>
      <c r="F599" t="s">
        <v>78</v>
      </c>
      <c r="G599" t="s">
        <v>27</v>
      </c>
      <c r="H599" t="s">
        <v>189</v>
      </c>
      <c r="I599" t="s">
        <v>143</v>
      </c>
      <c r="J599" t="s">
        <v>618</v>
      </c>
      <c r="K599" t="s">
        <v>1136</v>
      </c>
      <c r="L599" t="s">
        <v>108</v>
      </c>
      <c r="M599" t="s">
        <v>1029</v>
      </c>
      <c r="N599">
        <v>967555800</v>
      </c>
      <c r="O599" t="s">
        <v>92</v>
      </c>
      <c r="P599" s="154">
        <v>13030409</v>
      </c>
      <c r="Q599" t="s">
        <v>138</v>
      </c>
      <c r="R599" t="s">
        <v>589</v>
      </c>
      <c r="S599" t="s">
        <v>4025</v>
      </c>
      <c r="T599" t="s">
        <v>4026</v>
      </c>
      <c r="U599" t="s">
        <v>4027</v>
      </c>
      <c r="V599" t="s">
        <v>4028</v>
      </c>
      <c r="W599" t="s">
        <v>101</v>
      </c>
      <c r="X599" t="s">
        <v>156</v>
      </c>
      <c r="Y599" s="229">
        <v>3502.15</v>
      </c>
      <c r="Z599" s="176">
        <v>1069206.395</v>
      </c>
      <c r="AA599">
        <v>290</v>
      </c>
      <c r="AB599" t="s">
        <v>1290</v>
      </c>
      <c r="AC599" t="s">
        <v>1252</v>
      </c>
      <c r="AD599" s="281"/>
      <c r="AE599" s="31"/>
      <c r="AF599" s="180"/>
      <c r="AG599" s="180"/>
      <c r="AH599" s="180"/>
      <c r="AI599" s="180"/>
      <c r="AJ599" s="180"/>
      <c r="AK599" s="180"/>
      <c r="AL599">
        <v>10</v>
      </c>
      <c r="AM599">
        <v>2022</v>
      </c>
      <c r="AN599" s="180" t="s">
        <v>1611</v>
      </c>
      <c r="AP599" t="str">
        <f>IF(BD_Bloqueados[[#This Row],[Analista ]]&lt;&gt;"Ana C",MID(BD_Bloqueados[[#This Row],[ID]],3,5),MID(BD_Bloqueados[[#This Row],[ID]],4,5))</f>
        <v>29022</v>
      </c>
      <c r="AQ599">
        <v>285</v>
      </c>
      <c r="AR599">
        <v>2022</v>
      </c>
      <c r="AS599" s="72">
        <v>44562</v>
      </c>
      <c r="AT599" s="72">
        <v>44846</v>
      </c>
      <c r="AU599">
        <v>10</v>
      </c>
    </row>
    <row r="600" spans="1:47">
      <c r="A600" t="s">
        <v>4029</v>
      </c>
      <c r="B600">
        <v>2</v>
      </c>
      <c r="C600" s="72">
        <v>44849</v>
      </c>
      <c r="D600">
        <v>42</v>
      </c>
      <c r="E600" s="173">
        <v>0.6972222222222223</v>
      </c>
      <c r="F600" t="s">
        <v>109</v>
      </c>
      <c r="G600" t="s">
        <v>29</v>
      </c>
      <c r="H600" t="s">
        <v>83</v>
      </c>
      <c r="I600" t="s">
        <v>581</v>
      </c>
      <c r="J600" t="s">
        <v>618</v>
      </c>
      <c r="K600" t="s">
        <v>2052</v>
      </c>
      <c r="L600" t="s">
        <v>77</v>
      </c>
      <c r="M600" t="s">
        <v>681</v>
      </c>
      <c r="N600">
        <v>96506730</v>
      </c>
      <c r="O600" t="s">
        <v>857</v>
      </c>
      <c r="P600" s="154">
        <v>10004343</v>
      </c>
      <c r="Q600" t="s">
        <v>111</v>
      </c>
      <c r="R600" t="s">
        <v>579</v>
      </c>
      <c r="S600" t="s">
        <v>4030</v>
      </c>
      <c r="T600" t="s">
        <v>4031</v>
      </c>
      <c r="U600" t="s">
        <v>4032</v>
      </c>
      <c r="V600" t="s">
        <v>4033</v>
      </c>
      <c r="W600" t="s">
        <v>101</v>
      </c>
      <c r="X600" t="s">
        <v>1518</v>
      </c>
      <c r="Y600" s="229">
        <f>150+975</f>
        <v>1125</v>
      </c>
      <c r="Z600" s="176">
        <v>0</v>
      </c>
      <c r="AA600" t="s">
        <v>4034</v>
      </c>
      <c r="AB600" t="s">
        <v>2727</v>
      </c>
      <c r="AC600" t="s">
        <v>39</v>
      </c>
      <c r="AD600" s="239"/>
      <c r="AE600" s="244"/>
      <c r="AF600" s="180"/>
      <c r="AG600" s="180"/>
      <c r="AH600" s="180"/>
      <c r="AI600" s="180"/>
      <c r="AJ600" s="180"/>
      <c r="AK600" s="180"/>
      <c r="AL600">
        <v>10</v>
      </c>
      <c r="AM600">
        <v>2022</v>
      </c>
      <c r="AN600" s="180"/>
      <c r="AP600" t="str">
        <f>IF(BD_Bloqueados[[#This Row],[Analista ]]&lt;&gt;"Ana C",MID(BD_Bloqueados[[#This Row],[ID]],3,5),MID(BD_Bloqueados[[#This Row],[ID]],4,5))</f>
        <v>28822</v>
      </c>
      <c r="AQ600">
        <v>255</v>
      </c>
      <c r="AR600">
        <v>2022</v>
      </c>
      <c r="AS600" s="72">
        <v>44562</v>
      </c>
      <c r="AT600" s="72">
        <v>44816</v>
      </c>
      <c r="AU600">
        <v>9</v>
      </c>
    </row>
    <row r="601" spans="1:47">
      <c r="A601" t="s">
        <v>4035</v>
      </c>
      <c r="B601">
        <v>2</v>
      </c>
      <c r="C601" s="72">
        <v>44848</v>
      </c>
      <c r="D601">
        <v>42</v>
      </c>
      <c r="E601" s="173">
        <v>0.56111111111111112</v>
      </c>
      <c r="F601" t="s">
        <v>78</v>
      </c>
      <c r="G601" t="s">
        <v>28</v>
      </c>
      <c r="H601" t="s">
        <v>81</v>
      </c>
      <c r="I601" t="s">
        <v>248</v>
      </c>
      <c r="J601" t="s">
        <v>117</v>
      </c>
      <c r="K601" t="s">
        <v>4036</v>
      </c>
      <c r="L601" t="s">
        <v>77</v>
      </c>
      <c r="M601" t="s">
        <v>722</v>
      </c>
      <c r="N601">
        <v>96549220</v>
      </c>
      <c r="O601" t="s">
        <v>500</v>
      </c>
      <c r="P601" s="154">
        <v>10003295</v>
      </c>
      <c r="Q601" t="s">
        <v>206</v>
      </c>
      <c r="R601" t="s">
        <v>579</v>
      </c>
      <c r="S601" t="s">
        <v>4037</v>
      </c>
      <c r="T601" t="s">
        <v>4012</v>
      </c>
      <c r="U601" t="s">
        <v>4038</v>
      </c>
      <c r="V601" t="s">
        <v>4039</v>
      </c>
      <c r="W601" t="s">
        <v>101</v>
      </c>
      <c r="X601" t="s">
        <v>1518</v>
      </c>
      <c r="Y601" s="229">
        <v>400</v>
      </c>
      <c r="Z601" s="176">
        <v>0</v>
      </c>
      <c r="AB601" t="s">
        <v>2727</v>
      </c>
      <c r="AC601" t="s">
        <v>39</v>
      </c>
      <c r="AD601" s="45"/>
      <c r="AE601" s="245"/>
      <c r="AF601" s="180"/>
      <c r="AG601" s="180"/>
      <c r="AH601" s="180"/>
      <c r="AI601" s="180"/>
      <c r="AJ601" s="180"/>
      <c r="AK601" s="180"/>
      <c r="AL601">
        <v>10</v>
      </c>
      <c r="AM601">
        <v>2022</v>
      </c>
      <c r="AN601" s="180"/>
      <c r="AP601" t="str">
        <f>IF(BD_Bloqueados[[#This Row],[Analista ]]&lt;&gt;"Ana C",MID(BD_Bloqueados[[#This Row],[ID]],3,5),MID(BD_Bloqueados[[#This Row],[ID]],4,5))</f>
        <v>28722</v>
      </c>
      <c r="AQ601">
        <v>255</v>
      </c>
      <c r="AR601">
        <v>2022</v>
      </c>
      <c r="AS601" s="72">
        <v>44562</v>
      </c>
      <c r="AT601" s="72">
        <v>44816</v>
      </c>
      <c r="AU601">
        <v>9</v>
      </c>
    </row>
    <row r="602" spans="1:47">
      <c r="A602" t="s">
        <v>3964</v>
      </c>
      <c r="B602">
        <v>2</v>
      </c>
      <c r="C602" s="72">
        <v>44905</v>
      </c>
      <c r="D602">
        <v>42</v>
      </c>
      <c r="E602" s="173">
        <v>0</v>
      </c>
      <c r="F602" t="s">
        <v>136</v>
      </c>
      <c r="G602" t="s">
        <v>25</v>
      </c>
      <c r="H602" t="s">
        <v>187</v>
      </c>
      <c r="I602" t="s">
        <v>615</v>
      </c>
      <c r="J602" t="s">
        <v>169</v>
      </c>
      <c r="K602" t="s">
        <v>3965</v>
      </c>
      <c r="L602" t="s">
        <v>108</v>
      </c>
      <c r="M602" t="s">
        <v>1029</v>
      </c>
      <c r="N602">
        <v>967555800</v>
      </c>
      <c r="O602" t="s">
        <v>94</v>
      </c>
      <c r="P602" s="154">
        <v>12001397</v>
      </c>
      <c r="Q602" t="s">
        <v>138</v>
      </c>
      <c r="R602" t="s">
        <v>1840</v>
      </c>
      <c r="S602" t="s">
        <v>3966</v>
      </c>
      <c r="T602" t="s">
        <v>3967</v>
      </c>
      <c r="U602" t="s">
        <v>3968</v>
      </c>
      <c r="W602" t="s">
        <v>101</v>
      </c>
      <c r="X602" t="s">
        <v>102</v>
      </c>
      <c r="Y602" s="229">
        <v>2596.7600000000002</v>
      </c>
      <c r="Z602" s="176">
        <v>0</v>
      </c>
      <c r="AA602">
        <v>284</v>
      </c>
      <c r="AB602" t="s">
        <v>3969</v>
      </c>
      <c r="AC602" t="s">
        <v>1349</v>
      </c>
      <c r="AD602" s="239"/>
      <c r="AE602" s="244"/>
      <c r="AF602" s="180"/>
      <c r="AG602" s="180"/>
      <c r="AH602" s="180"/>
      <c r="AI602" s="180"/>
      <c r="AJ602" s="180"/>
      <c r="AK602" s="180"/>
      <c r="AL602">
        <v>10</v>
      </c>
      <c r="AM602">
        <v>2022</v>
      </c>
      <c r="AN602" s="180"/>
      <c r="AP602" t="str">
        <f>IF(BD_Bloqueados[[#This Row],[Analista ]]&lt;&gt;"Ana C",MID(BD_Bloqueados[[#This Row],[ID]],3,5),MID(BD_Bloqueados[[#This Row],[ID]],4,5))</f>
        <v>28522</v>
      </c>
      <c r="AQ602">
        <v>321</v>
      </c>
      <c r="AR602">
        <v>2022</v>
      </c>
      <c r="AS602" s="72">
        <v>44562</v>
      </c>
      <c r="AT602" s="72">
        <v>44882</v>
      </c>
      <c r="AU602">
        <v>11</v>
      </c>
    </row>
    <row r="603" spans="1:47">
      <c r="A603" t="s">
        <v>4204</v>
      </c>
      <c r="B603">
        <v>2</v>
      </c>
      <c r="C603" s="72">
        <v>44752</v>
      </c>
      <c r="D603">
        <v>41</v>
      </c>
      <c r="E603" s="173">
        <v>0.90277777777777779</v>
      </c>
      <c r="F603" t="s">
        <v>136</v>
      </c>
      <c r="G603" t="s">
        <v>27</v>
      </c>
      <c r="H603" t="s">
        <v>189</v>
      </c>
      <c r="I603" t="s">
        <v>259</v>
      </c>
      <c r="J603" t="s">
        <v>117</v>
      </c>
      <c r="K603" t="s">
        <v>1232</v>
      </c>
      <c r="L603" t="s">
        <v>77</v>
      </c>
      <c r="M603" t="s">
        <v>666</v>
      </c>
      <c r="N603">
        <v>76005927</v>
      </c>
      <c r="O603" t="s">
        <v>419</v>
      </c>
      <c r="P603" s="154">
        <v>11001629</v>
      </c>
      <c r="Q603" t="s">
        <v>206</v>
      </c>
      <c r="R603" t="s">
        <v>579</v>
      </c>
      <c r="S603" t="s">
        <v>4155</v>
      </c>
      <c r="T603" t="s">
        <v>3376</v>
      </c>
      <c r="U603" t="s">
        <v>3377</v>
      </c>
      <c r="V603" t="s">
        <v>3378</v>
      </c>
      <c r="W603" t="s">
        <v>101</v>
      </c>
      <c r="X603" t="s">
        <v>101</v>
      </c>
      <c r="Y603" s="229">
        <v>178.5</v>
      </c>
      <c r="Z603" s="176">
        <v>1397476.5</v>
      </c>
      <c r="AA603">
        <v>92353</v>
      </c>
      <c r="AB603" t="s">
        <v>2727</v>
      </c>
      <c r="AC603" t="s">
        <v>4205</v>
      </c>
      <c r="AD603" s="45"/>
      <c r="AE603" s="245"/>
      <c r="AF603" s="180"/>
      <c r="AG603" s="180"/>
      <c r="AH603" s="180"/>
      <c r="AI603" s="180"/>
      <c r="AJ603" s="180"/>
      <c r="AK603" s="180"/>
      <c r="AL603">
        <v>10</v>
      </c>
      <c r="AM603">
        <v>2022</v>
      </c>
      <c r="AN603" s="180"/>
      <c r="AP603" t="str">
        <f>IF(BD_Bloqueados[[#This Row],[Analista ]]&lt;&gt;"Ana C",MID(BD_Bloqueados[[#This Row],[ID]],3,5),MID(BD_Bloqueados[[#This Row],[ID]],4,5))</f>
        <v>28022</v>
      </c>
      <c r="AQ603">
        <v>321</v>
      </c>
      <c r="AR603">
        <v>2022</v>
      </c>
      <c r="AS603" s="72">
        <v>44562</v>
      </c>
      <c r="AT603" s="72">
        <v>44882</v>
      </c>
      <c r="AU603">
        <v>11</v>
      </c>
    </row>
    <row r="604" spans="1:47">
      <c r="A604" t="s">
        <v>4206</v>
      </c>
      <c r="B604">
        <v>2</v>
      </c>
      <c r="C604" s="72">
        <v>44752</v>
      </c>
      <c r="D604">
        <v>41</v>
      </c>
      <c r="E604" s="173">
        <v>0.47916666666666669</v>
      </c>
      <c r="F604" t="s">
        <v>78</v>
      </c>
      <c r="G604" t="s">
        <v>31</v>
      </c>
      <c r="H604" t="s">
        <v>84</v>
      </c>
      <c r="I604" t="s">
        <v>615</v>
      </c>
      <c r="J604" t="s">
        <v>213</v>
      </c>
      <c r="K604" t="s">
        <v>1487</v>
      </c>
      <c r="L604" t="s">
        <v>108</v>
      </c>
      <c r="M604" t="s">
        <v>1029</v>
      </c>
      <c r="N604">
        <v>967555800</v>
      </c>
      <c r="O604" t="s">
        <v>200</v>
      </c>
      <c r="P604" s="154">
        <v>13030428</v>
      </c>
      <c r="Q604" t="s">
        <v>138</v>
      </c>
      <c r="R604" t="s">
        <v>589</v>
      </c>
      <c r="S604" t="s">
        <v>4207</v>
      </c>
      <c r="T604" t="s">
        <v>4208</v>
      </c>
      <c r="U604" t="s">
        <v>4209</v>
      </c>
      <c r="V604" t="s">
        <v>4210</v>
      </c>
      <c r="W604" t="s">
        <v>101</v>
      </c>
      <c r="X604" t="s">
        <v>156</v>
      </c>
      <c r="Y604" s="229">
        <v>105.6</v>
      </c>
      <c r="Z604" s="176">
        <v>23728.319999999996</v>
      </c>
      <c r="AA604">
        <v>279</v>
      </c>
      <c r="AB604" t="s">
        <v>1290</v>
      </c>
      <c r="AC604" t="s">
        <v>1252</v>
      </c>
      <c r="AD604" s="280"/>
      <c r="AE604" s="280"/>
      <c r="AF604" s="180"/>
      <c r="AG604" s="180"/>
      <c r="AH604" s="180"/>
      <c r="AI604" s="180"/>
      <c r="AJ604" s="180"/>
      <c r="AK604" s="180"/>
      <c r="AL604">
        <v>10</v>
      </c>
      <c r="AM604">
        <v>2022</v>
      </c>
      <c r="AN604" s="180" t="s">
        <v>1611</v>
      </c>
      <c r="AP604" t="str">
        <f>IF(BD_Bloqueados[[#This Row],[Analista ]]&lt;&gt;"Ana C",MID(BD_Bloqueados[[#This Row],[ID]],3,5),MID(BD_Bloqueados[[#This Row],[ID]],4,5))</f>
        <v>28022</v>
      </c>
      <c r="AQ604">
        <v>318</v>
      </c>
      <c r="AR604">
        <v>2022</v>
      </c>
      <c r="AS604" s="72">
        <v>44562</v>
      </c>
      <c r="AT604" s="72">
        <v>44879</v>
      </c>
      <c r="AU604">
        <v>11</v>
      </c>
    </row>
    <row r="605" spans="1:47">
      <c r="A605" t="s">
        <v>4211</v>
      </c>
      <c r="B605">
        <v>2</v>
      </c>
      <c r="C605" s="72">
        <v>44752</v>
      </c>
      <c r="D605">
        <v>41</v>
      </c>
      <c r="E605" s="173">
        <v>0.4375</v>
      </c>
      <c r="F605" t="s">
        <v>78</v>
      </c>
      <c r="G605" t="s">
        <v>23</v>
      </c>
      <c r="H605" t="s">
        <v>228</v>
      </c>
      <c r="I605" t="s">
        <v>615</v>
      </c>
      <c r="J605" t="s">
        <v>213</v>
      </c>
      <c r="K605" t="s">
        <v>4212</v>
      </c>
      <c r="L605" t="s">
        <v>108</v>
      </c>
      <c r="M605" t="s">
        <v>1029</v>
      </c>
      <c r="N605">
        <v>967555800</v>
      </c>
      <c r="O605" t="s">
        <v>122</v>
      </c>
      <c r="P605" s="154">
        <v>12001446</v>
      </c>
      <c r="Q605" t="s">
        <v>80</v>
      </c>
      <c r="R605" t="s">
        <v>589</v>
      </c>
      <c r="S605" t="s">
        <v>4213</v>
      </c>
      <c r="T605" t="s">
        <v>4214</v>
      </c>
      <c r="U605" t="s">
        <v>4215</v>
      </c>
      <c r="V605" t="s">
        <v>4216</v>
      </c>
      <c r="W605" t="s">
        <v>101</v>
      </c>
      <c r="X605" t="s">
        <v>156</v>
      </c>
      <c r="Y605" s="229">
        <v>1900</v>
      </c>
      <c r="Z605" s="176">
        <v>23750</v>
      </c>
      <c r="AA605">
        <v>280</v>
      </c>
      <c r="AB605" t="s">
        <v>4051</v>
      </c>
      <c r="AC605" t="s">
        <v>1349</v>
      </c>
      <c r="AD605" s="281"/>
      <c r="AE605" s="31"/>
      <c r="AF605" s="180"/>
      <c r="AG605" s="180"/>
      <c r="AH605" s="180"/>
      <c r="AI605" s="180"/>
      <c r="AJ605" s="180"/>
      <c r="AK605" s="180"/>
      <c r="AL605">
        <v>10</v>
      </c>
      <c r="AM605">
        <v>2022</v>
      </c>
      <c r="AN605" s="180"/>
      <c r="AP605" t="str">
        <f>IF(BD_Bloqueados[[#This Row],[Analista ]]&lt;&gt;"Ana C",MID(BD_Bloqueados[[#This Row],[ID]],3,5),MID(BD_Bloqueados[[#This Row],[ID]],4,5))</f>
        <v>28022</v>
      </c>
      <c r="AQ605">
        <v>310</v>
      </c>
      <c r="AR605">
        <v>2023</v>
      </c>
      <c r="AS605" s="72">
        <v>44927</v>
      </c>
      <c r="AT605" s="72">
        <v>45236</v>
      </c>
      <c r="AU605">
        <v>11</v>
      </c>
    </row>
    <row r="606" spans="1:47">
      <c r="A606" t="s">
        <v>4254</v>
      </c>
      <c r="B606">
        <v>2</v>
      </c>
      <c r="C606" s="72">
        <v>44691</v>
      </c>
      <c r="D606">
        <v>41</v>
      </c>
      <c r="E606" s="173">
        <v>0.4375</v>
      </c>
      <c r="F606" t="s">
        <v>78</v>
      </c>
      <c r="G606" t="s">
        <v>27</v>
      </c>
      <c r="H606" t="s">
        <v>209</v>
      </c>
      <c r="I606" t="s">
        <v>116</v>
      </c>
      <c r="J606" t="s">
        <v>618</v>
      </c>
      <c r="K606" t="s">
        <v>2316</v>
      </c>
      <c r="L606" t="s">
        <v>108</v>
      </c>
      <c r="M606" t="s">
        <v>1029</v>
      </c>
      <c r="N606">
        <v>967555800</v>
      </c>
      <c r="O606" t="s">
        <v>99</v>
      </c>
      <c r="P606" s="154">
        <v>13001756</v>
      </c>
      <c r="Q606" t="s">
        <v>138</v>
      </c>
      <c r="R606" t="s">
        <v>589</v>
      </c>
      <c r="S606" t="s">
        <v>4255</v>
      </c>
      <c r="U606" t="s">
        <v>4256</v>
      </c>
      <c r="V606" t="s">
        <v>4257</v>
      </c>
      <c r="W606" t="s">
        <v>101</v>
      </c>
      <c r="X606" t="s">
        <v>156</v>
      </c>
      <c r="Y606" s="229">
        <v>5184</v>
      </c>
      <c r="Z606" s="176">
        <v>1255564.8</v>
      </c>
      <c r="AA606">
        <v>278</v>
      </c>
      <c r="AB606" t="s">
        <v>1714</v>
      </c>
      <c r="AC606" t="s">
        <v>1252</v>
      </c>
      <c r="AD606" s="239"/>
      <c r="AE606" s="244"/>
      <c r="AF606" s="180"/>
      <c r="AG606" s="180"/>
      <c r="AH606" s="180"/>
      <c r="AI606" s="180"/>
      <c r="AJ606" s="180"/>
      <c r="AK606" s="180"/>
      <c r="AL606">
        <v>10</v>
      </c>
      <c r="AM606">
        <v>2022</v>
      </c>
      <c r="AN606" s="180" t="s">
        <v>4258</v>
      </c>
      <c r="AP606" t="str">
        <f>IF(BD_Bloqueados[[#This Row],[Analista ]]&lt;&gt;"Ana C",MID(BD_Bloqueados[[#This Row],[ID]],3,5),MID(BD_Bloqueados[[#This Row],[ID]],4,5))</f>
        <v>27822</v>
      </c>
      <c r="AQ606">
        <v>301</v>
      </c>
      <c r="AR606">
        <v>2022</v>
      </c>
      <c r="AS606" s="72">
        <v>44562</v>
      </c>
      <c r="AT606" s="72">
        <v>44862</v>
      </c>
      <c r="AU606">
        <v>10</v>
      </c>
    </row>
    <row r="607" spans="1:47">
      <c r="A607" t="s">
        <v>4259</v>
      </c>
      <c r="B607">
        <v>2</v>
      </c>
      <c r="C607" s="72">
        <v>44691</v>
      </c>
      <c r="D607">
        <v>41</v>
      </c>
      <c r="E607" s="173">
        <v>5.2083333333333336E-2</v>
      </c>
      <c r="F607" t="s">
        <v>136</v>
      </c>
      <c r="G607" t="s">
        <v>23</v>
      </c>
      <c r="H607" t="s">
        <v>164</v>
      </c>
      <c r="I607" t="s">
        <v>581</v>
      </c>
      <c r="J607" t="s">
        <v>233</v>
      </c>
      <c r="K607" t="s">
        <v>2052</v>
      </c>
      <c r="L607" t="s">
        <v>108</v>
      </c>
      <c r="M607" t="s">
        <v>1029</v>
      </c>
      <c r="N607">
        <v>967555800</v>
      </c>
      <c r="O607" t="s">
        <v>218</v>
      </c>
      <c r="P607" s="154">
        <v>13030176</v>
      </c>
      <c r="Q607" t="s">
        <v>138</v>
      </c>
      <c r="R607" t="s">
        <v>589</v>
      </c>
      <c r="S607" t="s">
        <v>4260</v>
      </c>
      <c r="T607" t="s">
        <v>4261</v>
      </c>
      <c r="U607" t="s">
        <v>4262</v>
      </c>
      <c r="V607" t="s">
        <v>4263</v>
      </c>
      <c r="W607" t="s">
        <v>101</v>
      </c>
      <c r="X607" t="s">
        <v>102</v>
      </c>
      <c r="Y607" s="229">
        <v>1267.2</v>
      </c>
      <c r="Z607" s="176">
        <v>0</v>
      </c>
      <c r="AA607">
        <v>278</v>
      </c>
      <c r="AB607" t="s">
        <v>1356</v>
      </c>
      <c r="AC607" t="s">
        <v>1349</v>
      </c>
      <c r="AD607" s="45"/>
      <c r="AE607" s="245"/>
      <c r="AF607" s="180"/>
      <c r="AG607" s="180"/>
      <c r="AH607" s="180"/>
      <c r="AI607" s="180"/>
      <c r="AJ607" s="180"/>
      <c r="AK607" s="180"/>
      <c r="AL607">
        <v>10</v>
      </c>
      <c r="AM607">
        <v>2022</v>
      </c>
      <c r="AN607" s="180"/>
      <c r="AP607" t="str">
        <f>IF(BD_Bloqueados[[#This Row],[Analista ]]&lt;&gt;"Ana C",MID(BD_Bloqueados[[#This Row],[ID]],3,5),MID(BD_Bloqueados[[#This Row],[ID]],4,5))</f>
        <v>27822</v>
      </c>
      <c r="AQ607">
        <v>298</v>
      </c>
      <c r="AR607">
        <v>2022</v>
      </c>
      <c r="AS607" s="72">
        <v>44562</v>
      </c>
      <c r="AT607" s="72">
        <v>44859</v>
      </c>
      <c r="AU607">
        <v>10</v>
      </c>
    </row>
    <row r="608" spans="1:47">
      <c r="A608" t="s">
        <v>4057</v>
      </c>
      <c r="B608">
        <v>2</v>
      </c>
      <c r="C608" s="72">
        <v>44831</v>
      </c>
      <c r="D608">
        <v>40</v>
      </c>
      <c r="E608" s="173">
        <v>0.6875</v>
      </c>
      <c r="F608" t="s">
        <v>109</v>
      </c>
      <c r="G608" t="s">
        <v>27</v>
      </c>
      <c r="H608" t="s">
        <v>140</v>
      </c>
      <c r="I608" t="s">
        <v>87</v>
      </c>
      <c r="J608" t="s">
        <v>618</v>
      </c>
      <c r="K608" t="s">
        <v>2052</v>
      </c>
      <c r="L608" t="s">
        <v>108</v>
      </c>
      <c r="M608" t="s">
        <v>1029</v>
      </c>
      <c r="N608">
        <v>967555800</v>
      </c>
      <c r="O608" t="s">
        <v>771</v>
      </c>
      <c r="P608" s="154">
        <v>13030094</v>
      </c>
      <c r="Q608" t="s">
        <v>138</v>
      </c>
      <c r="R608" t="s">
        <v>79</v>
      </c>
      <c r="S608" t="s">
        <v>4058</v>
      </c>
      <c r="T608" t="s">
        <v>4059</v>
      </c>
      <c r="U608" t="s">
        <v>4060</v>
      </c>
      <c r="V608" t="s">
        <v>4061</v>
      </c>
      <c r="W608" t="s">
        <v>101</v>
      </c>
      <c r="X608" t="s">
        <v>102</v>
      </c>
      <c r="Y608" s="229">
        <v>1695</v>
      </c>
      <c r="Z608" s="176">
        <v>0</v>
      </c>
      <c r="AA608">
        <v>269</v>
      </c>
      <c r="AB608" t="s">
        <v>2932</v>
      </c>
      <c r="AC608" t="s">
        <v>39</v>
      </c>
      <c r="AD608" s="45"/>
      <c r="AE608" s="245"/>
      <c r="AF608" s="180"/>
      <c r="AG608" s="180"/>
      <c r="AH608" s="180"/>
      <c r="AI608" s="180"/>
      <c r="AJ608" s="180"/>
      <c r="AK608" s="180"/>
      <c r="AL608">
        <v>9</v>
      </c>
      <c r="AM608">
        <v>2022</v>
      </c>
      <c r="AN608" s="180"/>
      <c r="AP608" t="str">
        <f>IF(BD_Bloqueados[[#This Row],[Analista ]]&lt;&gt;"Ana C",MID(BD_Bloqueados[[#This Row],[ID]],3,5),MID(BD_Bloqueados[[#This Row],[ID]],4,5))</f>
        <v>27022</v>
      </c>
      <c r="AQ608">
        <v>297</v>
      </c>
      <c r="AR608">
        <v>2022</v>
      </c>
      <c r="AS608" s="72">
        <v>44562</v>
      </c>
      <c r="AT608" s="72">
        <v>44858</v>
      </c>
      <c r="AU608">
        <v>10</v>
      </c>
    </row>
    <row r="609" spans="1:47">
      <c r="A609" t="s">
        <v>4052</v>
      </c>
      <c r="B609">
        <v>2</v>
      </c>
      <c r="C609" s="72">
        <v>44830</v>
      </c>
      <c r="D609">
        <v>40</v>
      </c>
      <c r="E609" s="173">
        <v>0.77083333333333337</v>
      </c>
      <c r="F609" t="s">
        <v>109</v>
      </c>
      <c r="G609" t="s">
        <v>23</v>
      </c>
      <c r="H609" t="s">
        <v>139</v>
      </c>
      <c r="I609" t="s">
        <v>87</v>
      </c>
      <c r="J609" t="s">
        <v>595</v>
      </c>
      <c r="K609" t="s">
        <v>1402</v>
      </c>
      <c r="L609" t="s">
        <v>108</v>
      </c>
      <c r="M609" t="s">
        <v>1029</v>
      </c>
      <c r="N609">
        <v>967555800</v>
      </c>
      <c r="O609" t="s">
        <v>94</v>
      </c>
      <c r="P609" s="154">
        <v>12001397</v>
      </c>
      <c r="Q609" t="s">
        <v>138</v>
      </c>
      <c r="R609" t="s">
        <v>585</v>
      </c>
      <c r="S609" t="s">
        <v>4053</v>
      </c>
      <c r="T609" t="s">
        <v>4054</v>
      </c>
      <c r="U609" t="s">
        <v>4055</v>
      </c>
      <c r="V609" t="s">
        <v>4056</v>
      </c>
      <c r="W609" t="s">
        <v>101</v>
      </c>
      <c r="X609" t="s">
        <v>129</v>
      </c>
      <c r="Y609" s="229">
        <v>950</v>
      </c>
      <c r="Z609" s="176">
        <v>498180</v>
      </c>
      <c r="AA609">
        <v>269</v>
      </c>
      <c r="AB609" t="s">
        <v>2308</v>
      </c>
      <c r="AC609" t="s">
        <v>1252</v>
      </c>
      <c r="AD609" s="239"/>
      <c r="AE609" s="244"/>
      <c r="AF609" s="180"/>
      <c r="AG609" s="180"/>
      <c r="AH609" s="180"/>
      <c r="AI609" s="180"/>
      <c r="AJ609" s="180"/>
      <c r="AK609" s="180"/>
      <c r="AL609">
        <v>9</v>
      </c>
      <c r="AM609">
        <v>2022</v>
      </c>
      <c r="AN609" s="180" t="s">
        <v>1253</v>
      </c>
      <c r="AP609" t="str">
        <f>IF(BD_Bloqueados[[#This Row],[Analista ]]&lt;&gt;"Ana C",MID(BD_Bloqueados[[#This Row],[ID]],3,5),MID(BD_Bloqueados[[#This Row],[ID]],4,5))</f>
        <v>26922</v>
      </c>
      <c r="AQ609">
        <v>290</v>
      </c>
      <c r="AR609">
        <v>2022</v>
      </c>
      <c r="AS609" s="72">
        <v>44562</v>
      </c>
      <c r="AT609" s="72">
        <v>44851</v>
      </c>
      <c r="AU609">
        <v>10</v>
      </c>
    </row>
    <row r="610" spans="1:47">
      <c r="A610" t="s">
        <v>4062</v>
      </c>
      <c r="B610">
        <v>2</v>
      </c>
      <c r="C610" s="72">
        <v>44830</v>
      </c>
      <c r="D610">
        <v>40</v>
      </c>
      <c r="E610" s="173">
        <v>0.6875</v>
      </c>
      <c r="F610" t="s">
        <v>109</v>
      </c>
      <c r="G610" t="s">
        <v>27</v>
      </c>
      <c r="H610" t="s">
        <v>140</v>
      </c>
      <c r="I610" t="s">
        <v>87</v>
      </c>
      <c r="J610" t="s">
        <v>618</v>
      </c>
      <c r="K610" t="s">
        <v>2052</v>
      </c>
      <c r="L610" t="s">
        <v>77</v>
      </c>
      <c r="M610" t="s">
        <v>714</v>
      </c>
      <c r="N610">
        <v>77961510</v>
      </c>
      <c r="O610" t="s">
        <v>315</v>
      </c>
      <c r="P610" s="154">
        <v>10003283</v>
      </c>
      <c r="Q610" t="s">
        <v>138</v>
      </c>
      <c r="R610" t="s">
        <v>79</v>
      </c>
      <c r="S610" t="s">
        <v>4063</v>
      </c>
      <c r="T610" t="s">
        <v>4064</v>
      </c>
      <c r="U610" t="s">
        <v>4065</v>
      </c>
      <c r="V610" t="s">
        <v>4066</v>
      </c>
      <c r="W610" t="s">
        <v>101</v>
      </c>
      <c r="X610" t="s">
        <v>1518</v>
      </c>
      <c r="Y610" s="229">
        <v>160</v>
      </c>
      <c r="Z610" s="176">
        <v>0</v>
      </c>
      <c r="AA610" t="s">
        <v>4067</v>
      </c>
      <c r="AB610" t="s">
        <v>2932</v>
      </c>
      <c r="AC610" t="s">
        <v>39</v>
      </c>
      <c r="AD610" s="45"/>
      <c r="AE610" s="245"/>
      <c r="AF610" s="180"/>
      <c r="AG610" s="180"/>
      <c r="AH610" s="180"/>
      <c r="AI610" s="180"/>
      <c r="AJ610" s="180"/>
      <c r="AK610" s="180"/>
      <c r="AL610">
        <v>9</v>
      </c>
      <c r="AM610">
        <v>2022</v>
      </c>
      <c r="AN610" s="180"/>
      <c r="AP610" t="str">
        <f>IF(BD_Bloqueados[[#This Row],[Analista ]]&lt;&gt;"Ana C",MID(BD_Bloqueados[[#This Row],[ID]],3,5),MID(BD_Bloqueados[[#This Row],[ID]],4,5))</f>
        <v>26922</v>
      </c>
      <c r="AQ610">
        <v>290</v>
      </c>
      <c r="AR610">
        <v>2022</v>
      </c>
      <c r="AS610" s="72">
        <v>44562</v>
      </c>
      <c r="AT610" s="72">
        <v>44851</v>
      </c>
      <c r="AU610">
        <v>10</v>
      </c>
    </row>
    <row r="611" spans="1:47">
      <c r="A611" t="s">
        <v>4068</v>
      </c>
      <c r="B611">
        <v>2</v>
      </c>
      <c r="C611" s="72">
        <v>44830</v>
      </c>
      <c r="D611">
        <v>40</v>
      </c>
      <c r="E611" s="173">
        <v>0.5</v>
      </c>
      <c r="F611" t="s">
        <v>78</v>
      </c>
      <c r="G611" t="s">
        <v>26</v>
      </c>
      <c r="H611" t="s">
        <v>165</v>
      </c>
      <c r="I611" t="s">
        <v>116</v>
      </c>
      <c r="J611" t="s">
        <v>567</v>
      </c>
      <c r="K611" t="s">
        <v>4069</v>
      </c>
      <c r="L611" t="s">
        <v>108</v>
      </c>
      <c r="M611" t="s">
        <v>1029</v>
      </c>
      <c r="N611">
        <v>967555800</v>
      </c>
      <c r="O611" t="s">
        <v>751</v>
      </c>
      <c r="P611" s="154">
        <v>13030605</v>
      </c>
      <c r="Q611" t="s">
        <v>80</v>
      </c>
      <c r="R611" t="s">
        <v>596</v>
      </c>
      <c r="S611" t="s">
        <v>4070</v>
      </c>
      <c r="T611" t="s">
        <v>4071</v>
      </c>
      <c r="U611" t="s">
        <v>4072</v>
      </c>
      <c r="V611" t="s">
        <v>4073</v>
      </c>
      <c r="W611" t="s">
        <v>101</v>
      </c>
      <c r="X611" t="s">
        <v>156</v>
      </c>
      <c r="Y611" s="229">
        <v>810</v>
      </c>
      <c r="Z611" s="176">
        <v>1377</v>
      </c>
      <c r="AA611">
        <v>269</v>
      </c>
      <c r="AB611" t="s">
        <v>4051</v>
      </c>
      <c r="AC611" t="s">
        <v>1252</v>
      </c>
      <c r="AD611" s="239"/>
      <c r="AE611" s="244"/>
      <c r="AF611" s="180"/>
      <c r="AG611" s="180"/>
      <c r="AH611" s="180"/>
      <c r="AI611" s="180"/>
      <c r="AJ611" s="180"/>
      <c r="AK611" s="180"/>
      <c r="AL611">
        <v>9</v>
      </c>
      <c r="AM611">
        <v>2022</v>
      </c>
      <c r="AN611" s="180" t="s">
        <v>4074</v>
      </c>
      <c r="AP611" t="str">
        <f>IF(BD_Bloqueados[[#This Row],[Analista ]]&lt;&gt;"Ana C",MID(BD_Bloqueados[[#This Row],[ID]],3,5),MID(BD_Bloqueados[[#This Row],[ID]],4,5))</f>
        <v>26922</v>
      </c>
      <c r="AQ611">
        <v>288</v>
      </c>
      <c r="AR611">
        <v>2022</v>
      </c>
      <c r="AS611" s="72">
        <v>44562</v>
      </c>
      <c r="AT611" s="72">
        <v>44849</v>
      </c>
      <c r="AU611">
        <v>10</v>
      </c>
    </row>
    <row r="612" spans="1:47">
      <c r="A612" t="s">
        <v>4075</v>
      </c>
      <c r="B612">
        <v>2</v>
      </c>
      <c r="C612" s="72">
        <v>44830</v>
      </c>
      <c r="D612">
        <v>40</v>
      </c>
      <c r="E612" s="173">
        <v>0.4375</v>
      </c>
      <c r="F612" t="s">
        <v>78</v>
      </c>
      <c r="G612" t="s">
        <v>23</v>
      </c>
      <c r="H612" t="s">
        <v>139</v>
      </c>
      <c r="I612" t="s">
        <v>116</v>
      </c>
      <c r="J612" t="s">
        <v>567</v>
      </c>
      <c r="K612" t="s">
        <v>2153</v>
      </c>
      <c r="L612" t="s">
        <v>108</v>
      </c>
      <c r="M612" t="s">
        <v>1029</v>
      </c>
      <c r="N612">
        <v>967555800</v>
      </c>
      <c r="O612" t="s">
        <v>94</v>
      </c>
      <c r="P612" s="154">
        <v>12001397</v>
      </c>
      <c r="Q612" t="s">
        <v>138</v>
      </c>
      <c r="R612" t="s">
        <v>589</v>
      </c>
      <c r="S612" t="s">
        <v>4076</v>
      </c>
      <c r="T612" t="s">
        <v>4077</v>
      </c>
      <c r="U612" t="s">
        <v>4078</v>
      </c>
      <c r="V612" t="s">
        <v>4079</v>
      </c>
      <c r="W612" t="s">
        <v>101</v>
      </c>
      <c r="X612" t="s">
        <v>102</v>
      </c>
      <c r="Y612" s="229">
        <v>2851</v>
      </c>
      <c r="Z612" s="176">
        <v>0</v>
      </c>
      <c r="AA612">
        <v>269</v>
      </c>
      <c r="AB612" t="s">
        <v>1356</v>
      </c>
      <c r="AC612" t="s">
        <v>1252</v>
      </c>
      <c r="AD612" s="45"/>
      <c r="AE612" s="283"/>
      <c r="AF612" s="180"/>
      <c r="AG612" s="180"/>
      <c r="AH612" s="180"/>
      <c r="AI612" s="180"/>
      <c r="AJ612" s="180"/>
      <c r="AK612" s="180"/>
      <c r="AL612">
        <v>9</v>
      </c>
      <c r="AM612">
        <v>2022</v>
      </c>
      <c r="AN612" s="180" t="s">
        <v>4080</v>
      </c>
      <c r="AP612" t="str">
        <f>IF(BD_Bloqueados[[#This Row],[Analista ]]&lt;&gt;"Ana C",MID(BD_Bloqueados[[#This Row],[ID]],3,5),MID(BD_Bloqueados[[#This Row],[ID]],4,5))</f>
        <v>26922</v>
      </c>
      <c r="AQ612">
        <v>287</v>
      </c>
      <c r="AR612">
        <v>2022</v>
      </c>
      <c r="AS612" s="72">
        <v>44562</v>
      </c>
      <c r="AT612" s="72">
        <v>44848</v>
      </c>
      <c r="AU612">
        <v>10</v>
      </c>
    </row>
    <row r="613" spans="1:47" ht="15" thickBot="1">
      <c r="A613" s="153" t="s">
        <v>4409</v>
      </c>
      <c r="B613" s="153">
        <v>2</v>
      </c>
      <c r="C613" s="72">
        <v>44828</v>
      </c>
      <c r="D613" s="153">
        <v>39</v>
      </c>
      <c r="E613" s="174">
        <v>0.5625</v>
      </c>
      <c r="F613" s="153" t="s">
        <v>109</v>
      </c>
      <c r="G613" s="153" t="s">
        <v>27</v>
      </c>
      <c r="H613" s="153" t="s">
        <v>209</v>
      </c>
      <c r="I613" s="153" t="s">
        <v>116</v>
      </c>
      <c r="J613" s="153" t="s">
        <v>618</v>
      </c>
      <c r="K613" s="153" t="s">
        <v>4081</v>
      </c>
      <c r="L613" s="153" t="s">
        <v>108</v>
      </c>
      <c r="M613" s="153" t="s">
        <v>1029</v>
      </c>
      <c r="N613" s="153">
        <v>967555800</v>
      </c>
      <c r="O613" s="153" t="s">
        <v>99</v>
      </c>
      <c r="P613" s="175">
        <v>13001756</v>
      </c>
      <c r="Q613" s="153" t="s">
        <v>206</v>
      </c>
      <c r="R613" s="153" t="s">
        <v>640</v>
      </c>
      <c r="S613" s="153" t="s">
        <v>4082</v>
      </c>
      <c r="T613" s="153" t="s">
        <v>4083</v>
      </c>
      <c r="U613" s="153" t="s">
        <v>4084</v>
      </c>
      <c r="V613" s="153" t="s">
        <v>4085</v>
      </c>
      <c r="W613" s="153" t="s">
        <v>101</v>
      </c>
      <c r="X613" s="153" t="s">
        <v>156</v>
      </c>
      <c r="Y613" s="235">
        <v>13440</v>
      </c>
      <c r="Z613" s="177">
        <v>0</v>
      </c>
      <c r="AA613" s="153">
        <v>264</v>
      </c>
      <c r="AB613" t="s">
        <v>640</v>
      </c>
      <c r="AC613" t="s">
        <v>1252</v>
      </c>
      <c r="AD613" s="239"/>
      <c r="AE613" s="244"/>
      <c r="AF613" s="180"/>
      <c r="AG613" s="180"/>
      <c r="AH613" s="180"/>
      <c r="AI613" s="180"/>
      <c r="AJ613" s="180"/>
      <c r="AK613" s="180"/>
      <c r="AL613">
        <v>9</v>
      </c>
      <c r="AM613">
        <v>2022</v>
      </c>
      <c r="AN613" s="180" t="s">
        <v>1253</v>
      </c>
      <c r="AP613" t="str">
        <f>IF(BD_Bloqueados[[#This Row],[Analista ]]&lt;&gt;"Ana C",MID(BD_Bloqueados[[#This Row],[ID]],3,5),MID(BD_Bloqueados[[#This Row],[ID]],4,5))</f>
        <v>26722</v>
      </c>
      <c r="AQ613">
        <v>222</v>
      </c>
      <c r="AR613">
        <v>2022</v>
      </c>
      <c r="AS613" s="72">
        <v>44562</v>
      </c>
      <c r="AT613" s="72">
        <v>44783</v>
      </c>
      <c r="AU613">
        <v>8</v>
      </c>
    </row>
    <row r="614" spans="1:47">
      <c r="A614" t="s">
        <v>4086</v>
      </c>
      <c r="B614">
        <v>2</v>
      </c>
      <c r="C614" s="72">
        <v>44827</v>
      </c>
      <c r="D614">
        <v>39</v>
      </c>
      <c r="E614" s="173">
        <v>4.1666666666666664E-2</v>
      </c>
      <c r="F614" t="s">
        <v>136</v>
      </c>
      <c r="G614" t="s">
        <v>22</v>
      </c>
      <c r="H614" t="s">
        <v>164</v>
      </c>
      <c r="I614" t="s">
        <v>190</v>
      </c>
      <c r="J614" t="s">
        <v>169</v>
      </c>
      <c r="K614" t="s">
        <v>1798</v>
      </c>
      <c r="L614" t="s">
        <v>108</v>
      </c>
      <c r="M614" t="s">
        <v>1029</v>
      </c>
      <c r="N614">
        <v>967555800</v>
      </c>
      <c r="O614" t="s">
        <v>123</v>
      </c>
      <c r="P614" s="154">
        <v>13030401</v>
      </c>
      <c r="Q614" t="s">
        <v>206</v>
      </c>
      <c r="R614" t="s">
        <v>578</v>
      </c>
      <c r="S614" t="s">
        <v>4087</v>
      </c>
      <c r="T614" t="s">
        <v>4088</v>
      </c>
      <c r="U614" t="s">
        <v>4089</v>
      </c>
      <c r="V614" t="s">
        <v>4090</v>
      </c>
      <c r="W614" t="s">
        <v>101</v>
      </c>
      <c r="X614" t="s">
        <v>102</v>
      </c>
      <c r="Y614" s="229">
        <v>7905</v>
      </c>
      <c r="Z614" s="176">
        <v>0</v>
      </c>
      <c r="AA614" t="s">
        <v>4091</v>
      </c>
      <c r="AB614" t="s">
        <v>1810</v>
      </c>
      <c r="AC614" t="s">
        <v>1252</v>
      </c>
      <c r="AD614" s="45"/>
      <c r="AE614" s="245"/>
      <c r="AF614" s="180"/>
      <c r="AG614" s="180"/>
      <c r="AH614" s="180"/>
      <c r="AI614" s="180"/>
      <c r="AJ614" s="180"/>
      <c r="AK614" s="180"/>
      <c r="AL614">
        <v>9</v>
      </c>
      <c r="AM614">
        <v>2022</v>
      </c>
      <c r="AN614" s="180" t="s">
        <v>1611</v>
      </c>
      <c r="AP614" t="str">
        <f>IF(BD_Bloqueados[[#This Row],[Analista ]]&lt;&gt;"Ana C",MID(BD_Bloqueados[[#This Row],[ID]],3,5),MID(BD_Bloqueados[[#This Row],[ID]],4,5))</f>
        <v>26622</v>
      </c>
      <c r="AQ614">
        <v>222</v>
      </c>
      <c r="AR614">
        <v>2022</v>
      </c>
      <c r="AS614" s="72">
        <v>44562</v>
      </c>
      <c r="AT614" s="72">
        <v>44783</v>
      </c>
      <c r="AU614">
        <v>8</v>
      </c>
    </row>
    <row r="615" spans="1:47">
      <c r="A615" t="s">
        <v>4092</v>
      </c>
      <c r="B615">
        <v>2</v>
      </c>
      <c r="C615" s="72">
        <v>44817</v>
      </c>
      <c r="D615">
        <v>38</v>
      </c>
      <c r="E615" s="173">
        <v>0.75</v>
      </c>
      <c r="F615" t="s">
        <v>109</v>
      </c>
      <c r="G615" t="s">
        <v>29</v>
      </c>
      <c r="H615" t="s">
        <v>211</v>
      </c>
      <c r="I615" t="s">
        <v>581</v>
      </c>
      <c r="J615" t="s">
        <v>117</v>
      </c>
      <c r="K615" t="s">
        <v>4093</v>
      </c>
      <c r="L615" t="s">
        <v>108</v>
      </c>
      <c r="M615" t="s">
        <v>1029</v>
      </c>
      <c r="N615">
        <v>967555800</v>
      </c>
      <c r="O615" t="s">
        <v>235</v>
      </c>
      <c r="P615" s="154">
        <v>13030557</v>
      </c>
      <c r="Q615" t="s">
        <v>80</v>
      </c>
      <c r="R615" t="s">
        <v>589</v>
      </c>
      <c r="S615" t="s">
        <v>4094</v>
      </c>
      <c r="T615" t="s">
        <v>4095</v>
      </c>
      <c r="U615" t="s">
        <v>4096</v>
      </c>
      <c r="V615" t="s">
        <v>4097</v>
      </c>
      <c r="W615" t="s">
        <v>101</v>
      </c>
      <c r="X615" t="s">
        <v>156</v>
      </c>
      <c r="Y615" s="229">
        <f>3712*0.43</f>
        <v>1596.16</v>
      </c>
      <c r="Z615" s="176">
        <v>50438.656000000003</v>
      </c>
      <c r="AA615">
        <v>256</v>
      </c>
      <c r="AB615" t="s">
        <v>4051</v>
      </c>
      <c r="AC615" t="s">
        <v>1349</v>
      </c>
      <c r="AD615" s="239"/>
      <c r="AE615" s="244"/>
      <c r="AF615" s="180"/>
      <c r="AG615" s="180"/>
      <c r="AH615" s="180"/>
      <c r="AI615" s="180"/>
      <c r="AJ615" s="180"/>
      <c r="AK615" s="180"/>
      <c r="AL615">
        <v>9</v>
      </c>
      <c r="AM615">
        <v>2022</v>
      </c>
      <c r="AN615" s="180"/>
      <c r="AP615" t="str">
        <f>IF(BD_Bloqueados[[#This Row],[Analista ]]&lt;&gt;"Ana C",MID(BD_Bloqueados[[#This Row],[ID]],3,5),MID(BD_Bloqueados[[#This Row],[ID]],4,5))</f>
        <v>25622</v>
      </c>
      <c r="AQ615">
        <v>269</v>
      </c>
      <c r="AR615">
        <v>2022</v>
      </c>
      <c r="AS615" s="72">
        <v>44562</v>
      </c>
      <c r="AT615" s="72">
        <v>44830</v>
      </c>
      <c r="AU615">
        <v>9</v>
      </c>
    </row>
    <row r="616" spans="1:47">
      <c r="A616" t="s">
        <v>3970</v>
      </c>
      <c r="B616">
        <v>2</v>
      </c>
      <c r="C616" s="72">
        <v>44904</v>
      </c>
      <c r="D616">
        <v>38</v>
      </c>
      <c r="E616" s="173">
        <v>0.35416666666666669</v>
      </c>
      <c r="F616" t="s">
        <v>78</v>
      </c>
      <c r="G616" t="s">
        <v>29</v>
      </c>
      <c r="H616" t="s">
        <v>83</v>
      </c>
      <c r="I616" t="s">
        <v>143</v>
      </c>
      <c r="J616" t="s">
        <v>117</v>
      </c>
      <c r="K616" t="s">
        <v>3937</v>
      </c>
      <c r="L616" t="s">
        <v>77</v>
      </c>
      <c r="M616" t="s">
        <v>575</v>
      </c>
      <c r="N616">
        <v>76618520</v>
      </c>
      <c r="O616" t="s">
        <v>466</v>
      </c>
      <c r="P616" s="154">
        <v>10000132</v>
      </c>
      <c r="Q616" t="s">
        <v>138</v>
      </c>
      <c r="R616" t="s">
        <v>110</v>
      </c>
      <c r="S616" t="s">
        <v>3971</v>
      </c>
      <c r="T616" t="s">
        <v>3972</v>
      </c>
      <c r="U616" t="s">
        <v>3973</v>
      </c>
      <c r="W616" t="s">
        <v>101</v>
      </c>
      <c r="X616" t="s">
        <v>129</v>
      </c>
      <c r="Y616" s="229">
        <v>260</v>
      </c>
      <c r="Z616" s="176">
        <v>514800</v>
      </c>
      <c r="AA616">
        <v>351502</v>
      </c>
      <c r="AB616" t="s">
        <v>3425</v>
      </c>
      <c r="AC616" t="s">
        <v>2792</v>
      </c>
      <c r="AD616" s="45"/>
      <c r="AE616" s="245"/>
      <c r="AF616" s="180"/>
      <c r="AG616" s="180"/>
      <c r="AH616" s="180"/>
      <c r="AI616" s="180"/>
      <c r="AJ616" s="180"/>
      <c r="AK616" s="180"/>
      <c r="AL616">
        <v>9</v>
      </c>
      <c r="AM616">
        <v>2022</v>
      </c>
      <c r="AN616" s="180"/>
      <c r="AP616" t="str">
        <f>IF(BD_Bloqueados[[#This Row],[Analista ]]&lt;&gt;"Ana C",MID(BD_Bloqueados[[#This Row],[ID]],3,5),MID(BD_Bloqueados[[#This Row],[ID]],4,5))</f>
        <v>25522</v>
      </c>
      <c r="AQ616">
        <v>270</v>
      </c>
      <c r="AR616">
        <v>2022</v>
      </c>
      <c r="AS616" s="72">
        <v>44562</v>
      </c>
      <c r="AT616" s="72">
        <v>44831</v>
      </c>
      <c r="AU616">
        <v>9</v>
      </c>
    </row>
    <row r="617" spans="1:47">
      <c r="A617" t="s">
        <v>3974</v>
      </c>
      <c r="B617">
        <v>2</v>
      </c>
      <c r="C617" s="72">
        <v>44904</v>
      </c>
      <c r="D617">
        <v>38</v>
      </c>
      <c r="E617" s="173">
        <v>0.30208333333333331</v>
      </c>
      <c r="F617" t="s">
        <v>78</v>
      </c>
      <c r="G617" t="s">
        <v>29</v>
      </c>
      <c r="H617" t="s">
        <v>83</v>
      </c>
      <c r="I617" t="s">
        <v>143</v>
      </c>
      <c r="J617" t="s">
        <v>117</v>
      </c>
      <c r="K617" t="s">
        <v>3975</v>
      </c>
      <c r="L617" t="s">
        <v>77</v>
      </c>
      <c r="M617" t="s">
        <v>575</v>
      </c>
      <c r="N617">
        <v>76618520</v>
      </c>
      <c r="O617" t="s">
        <v>593</v>
      </c>
      <c r="P617" s="154">
        <v>10004345</v>
      </c>
      <c r="Q617" t="s">
        <v>138</v>
      </c>
      <c r="R617" t="s">
        <v>110</v>
      </c>
      <c r="S617" t="s">
        <v>3976</v>
      </c>
      <c r="T617" t="s">
        <v>3977</v>
      </c>
      <c r="U617" t="s">
        <v>3978</v>
      </c>
      <c r="V617" t="s">
        <v>3979</v>
      </c>
      <c r="W617" t="s">
        <v>101</v>
      </c>
      <c r="X617" t="s">
        <v>129</v>
      </c>
      <c r="Y617" s="229"/>
      <c r="Z617" s="176">
        <v>0</v>
      </c>
      <c r="AA617">
        <v>351502</v>
      </c>
      <c r="AB617" t="s">
        <v>3980</v>
      </c>
      <c r="AC617" t="s">
        <v>1535</v>
      </c>
      <c r="AD617" s="239"/>
      <c r="AE617" s="244"/>
      <c r="AF617" s="180"/>
      <c r="AG617" s="180"/>
      <c r="AH617" s="180"/>
      <c r="AI617" s="180"/>
      <c r="AJ617" s="180"/>
      <c r="AK617" s="180"/>
      <c r="AL617">
        <v>9</v>
      </c>
      <c r="AM617">
        <v>2022</v>
      </c>
      <c r="AN617" s="180"/>
      <c r="AP617" t="str">
        <f>IF(BD_Bloqueados[[#This Row],[Analista ]]&lt;&gt;"Ana C",MID(BD_Bloqueados[[#This Row],[ID]],3,5),MID(BD_Bloqueados[[#This Row],[ID]],4,5))</f>
        <v>25522</v>
      </c>
      <c r="AQ617">
        <v>269</v>
      </c>
      <c r="AR617">
        <v>2022</v>
      </c>
      <c r="AS617" s="72">
        <v>44562</v>
      </c>
      <c r="AT617" s="72">
        <v>44830</v>
      </c>
      <c r="AU617">
        <v>9</v>
      </c>
    </row>
    <row r="618" spans="1:47">
      <c r="A618" t="s">
        <v>4152</v>
      </c>
      <c r="B618">
        <v>2</v>
      </c>
      <c r="C618" s="72">
        <v>44782</v>
      </c>
      <c r="D618">
        <v>37</v>
      </c>
      <c r="E618" s="173">
        <v>0.52083333333333337</v>
      </c>
      <c r="F618" t="s">
        <v>78</v>
      </c>
      <c r="G618" t="s">
        <v>27</v>
      </c>
      <c r="H618" t="s">
        <v>189</v>
      </c>
      <c r="I618" t="s">
        <v>259</v>
      </c>
      <c r="J618" t="s">
        <v>117</v>
      </c>
      <c r="K618" t="s">
        <v>2316</v>
      </c>
      <c r="L618" t="s">
        <v>77</v>
      </c>
      <c r="M618" t="s">
        <v>666</v>
      </c>
      <c r="N618">
        <v>76005927</v>
      </c>
      <c r="O618" t="s">
        <v>668</v>
      </c>
      <c r="P618" s="154">
        <v>11001814</v>
      </c>
      <c r="Q618" t="s">
        <v>206</v>
      </c>
      <c r="R618" t="s">
        <v>579</v>
      </c>
      <c r="S618" t="s">
        <v>4153</v>
      </c>
      <c r="T618" t="s">
        <v>3376</v>
      </c>
      <c r="U618" t="s">
        <v>3377</v>
      </c>
      <c r="V618" t="s">
        <v>3378</v>
      </c>
      <c r="W618" t="s">
        <v>101</v>
      </c>
      <c r="X618" t="s">
        <v>1518</v>
      </c>
      <c r="Y618" s="229">
        <v>47.52</v>
      </c>
      <c r="Z618" s="176">
        <v>0</v>
      </c>
      <c r="AA618">
        <v>104702</v>
      </c>
      <c r="AB618" t="s">
        <v>2727</v>
      </c>
      <c r="AC618" t="s">
        <v>39</v>
      </c>
      <c r="AD618" s="239"/>
      <c r="AE618" s="244"/>
      <c r="AF618" s="180"/>
      <c r="AG618" s="180"/>
      <c r="AH618" s="180"/>
      <c r="AI618" s="180"/>
      <c r="AJ618" s="180"/>
      <c r="AK618" s="180"/>
      <c r="AL618">
        <v>9</v>
      </c>
      <c r="AM618">
        <v>2022</v>
      </c>
      <c r="AN618" s="180"/>
      <c r="AP618" t="str">
        <f>IF(BD_Bloqueados[[#This Row],[Analista ]]&lt;&gt;"Ana C",MID(BD_Bloqueados[[#This Row],[ID]],3,5),MID(BD_Bloqueados[[#This Row],[ID]],4,5))</f>
        <v>25122</v>
      </c>
      <c r="AQ618">
        <v>269</v>
      </c>
      <c r="AR618">
        <v>2022</v>
      </c>
      <c r="AS618" s="72">
        <v>44562</v>
      </c>
      <c r="AT618" s="72">
        <v>44830</v>
      </c>
      <c r="AU618">
        <v>9</v>
      </c>
    </row>
    <row r="619" spans="1:47">
      <c r="A619" t="s">
        <v>4154</v>
      </c>
      <c r="B619">
        <v>2</v>
      </c>
      <c r="C619" s="72">
        <v>44782</v>
      </c>
      <c r="D619">
        <v>37</v>
      </c>
      <c r="E619" s="173">
        <v>0.47916666666666669</v>
      </c>
      <c r="F619" t="s">
        <v>78</v>
      </c>
      <c r="G619" t="s">
        <v>27</v>
      </c>
      <c r="H619" t="s">
        <v>189</v>
      </c>
      <c r="I619" t="s">
        <v>259</v>
      </c>
      <c r="J619" t="s">
        <v>117</v>
      </c>
      <c r="K619" t="s">
        <v>2316</v>
      </c>
      <c r="L619" t="s">
        <v>77</v>
      </c>
      <c r="M619" t="s">
        <v>666</v>
      </c>
      <c r="N619">
        <v>76005927</v>
      </c>
      <c r="O619" t="s">
        <v>405</v>
      </c>
      <c r="P619" s="154">
        <v>11001630</v>
      </c>
      <c r="Q619" t="s">
        <v>206</v>
      </c>
      <c r="R619" t="s">
        <v>579</v>
      </c>
      <c r="S619" t="s">
        <v>4155</v>
      </c>
      <c r="T619" t="s">
        <v>3376</v>
      </c>
      <c r="U619" t="s">
        <v>3377</v>
      </c>
      <c r="V619" t="s">
        <v>3378</v>
      </c>
      <c r="W619" t="s">
        <v>101</v>
      </c>
      <c r="X619" t="s">
        <v>1518</v>
      </c>
      <c r="Y619" s="229">
        <v>56</v>
      </c>
      <c r="Z619" s="176">
        <v>0</v>
      </c>
      <c r="AA619">
        <v>90054723995</v>
      </c>
      <c r="AB619" t="s">
        <v>2727</v>
      </c>
      <c r="AC619" t="s">
        <v>39</v>
      </c>
      <c r="AD619" s="45"/>
      <c r="AE619" s="245"/>
      <c r="AF619" s="180"/>
      <c r="AG619" s="180"/>
      <c r="AH619" s="180"/>
      <c r="AI619" s="180"/>
      <c r="AJ619" s="180"/>
      <c r="AK619" s="180"/>
      <c r="AL619">
        <v>9</v>
      </c>
      <c r="AM619">
        <v>2022</v>
      </c>
      <c r="AN619" s="180"/>
      <c r="AP619" t="str">
        <f>IF(BD_Bloqueados[[#This Row],[Analista ]]&lt;&gt;"Ana C",MID(BD_Bloqueados[[#This Row],[ID]],3,5),MID(BD_Bloqueados[[#This Row],[ID]],4,5))</f>
        <v>25122</v>
      </c>
      <c r="AQ619">
        <v>269</v>
      </c>
      <c r="AR619">
        <v>2022</v>
      </c>
      <c r="AS619" s="72">
        <v>44562</v>
      </c>
      <c r="AT619" s="72">
        <v>44830</v>
      </c>
      <c r="AU619">
        <v>9</v>
      </c>
    </row>
    <row r="620" spans="1:47">
      <c r="A620" t="s">
        <v>4264</v>
      </c>
      <c r="B620">
        <v>2</v>
      </c>
      <c r="C620" s="72">
        <v>44690</v>
      </c>
      <c r="D620">
        <v>37</v>
      </c>
      <c r="E620" s="173">
        <v>0.68263888888888891</v>
      </c>
      <c r="F620" t="s">
        <v>109</v>
      </c>
      <c r="G620" t="s">
        <v>27</v>
      </c>
      <c r="H620" t="s">
        <v>189</v>
      </c>
      <c r="I620" t="s">
        <v>248</v>
      </c>
      <c r="J620" t="s">
        <v>117</v>
      </c>
      <c r="K620" t="s">
        <v>4265</v>
      </c>
      <c r="L620" t="s">
        <v>77</v>
      </c>
      <c r="M620" t="s">
        <v>666</v>
      </c>
      <c r="N620">
        <v>76005927</v>
      </c>
      <c r="O620" t="s">
        <v>423</v>
      </c>
      <c r="P620" s="154">
        <v>11001628</v>
      </c>
      <c r="Q620" t="s">
        <v>35</v>
      </c>
      <c r="R620" t="s">
        <v>4266</v>
      </c>
      <c r="S620" t="s">
        <v>4267</v>
      </c>
      <c r="T620" t="s">
        <v>3376</v>
      </c>
      <c r="U620" t="s">
        <v>4268</v>
      </c>
      <c r="V620" t="s">
        <v>3378</v>
      </c>
      <c r="W620" t="s">
        <v>101</v>
      </c>
      <c r="X620" t="s">
        <v>101</v>
      </c>
      <c r="Y620" s="232"/>
      <c r="Z620" s="176">
        <v>0</v>
      </c>
      <c r="AA620">
        <v>104033</v>
      </c>
      <c r="AB620" t="s">
        <v>2727</v>
      </c>
      <c r="AC620" t="s">
        <v>39</v>
      </c>
      <c r="AD620" s="239"/>
      <c r="AE620" s="244"/>
      <c r="AF620" s="180"/>
      <c r="AG620" s="180"/>
      <c r="AH620" s="180"/>
      <c r="AI620" s="180"/>
      <c r="AJ620" s="180"/>
      <c r="AK620" s="180"/>
      <c r="AL620">
        <v>9</v>
      </c>
      <c r="AM620">
        <v>2022</v>
      </c>
      <c r="AN620" s="180"/>
      <c r="AP620" t="str">
        <f>IF(BD_Bloqueados[[#This Row],[Analista ]]&lt;&gt;"Ana C",MID(BD_Bloqueados[[#This Row],[ID]],3,5),MID(BD_Bloqueados[[#This Row],[ID]],4,5))</f>
        <v>24822</v>
      </c>
      <c r="AQ620">
        <v>267</v>
      </c>
      <c r="AR620">
        <v>2022</v>
      </c>
      <c r="AS620" s="72">
        <v>44562</v>
      </c>
      <c r="AT620" s="72">
        <v>44828</v>
      </c>
      <c r="AU620">
        <v>9</v>
      </c>
    </row>
    <row r="621" spans="1:47">
      <c r="A621" t="s">
        <v>4315</v>
      </c>
      <c r="B621">
        <v>2</v>
      </c>
      <c r="C621" s="72">
        <v>44570</v>
      </c>
      <c r="D621">
        <v>36</v>
      </c>
      <c r="E621" s="173">
        <v>0.41666666666666669</v>
      </c>
      <c r="F621" t="s">
        <v>78</v>
      </c>
      <c r="G621" t="s">
        <v>31</v>
      </c>
      <c r="H621" t="s">
        <v>84</v>
      </c>
      <c r="I621" t="s">
        <v>581</v>
      </c>
      <c r="J621" t="s">
        <v>1804</v>
      </c>
      <c r="K621" t="s">
        <v>4316</v>
      </c>
      <c r="L621" t="s">
        <v>108</v>
      </c>
      <c r="M621" t="s">
        <v>1029</v>
      </c>
      <c r="N621">
        <v>967555800</v>
      </c>
      <c r="O621" t="s">
        <v>97</v>
      </c>
      <c r="P621" s="154">
        <v>13030492</v>
      </c>
      <c r="Q621" t="s">
        <v>185</v>
      </c>
      <c r="R621" t="s">
        <v>600</v>
      </c>
      <c r="S621" t="s">
        <v>4317</v>
      </c>
      <c r="T621" t="s">
        <v>4318</v>
      </c>
      <c r="U621" t="s">
        <v>4319</v>
      </c>
      <c r="V621" t="s">
        <v>4320</v>
      </c>
      <c r="W621" t="s">
        <v>101</v>
      </c>
      <c r="X621" t="s">
        <v>156</v>
      </c>
      <c r="Y621" s="232">
        <v>2376</v>
      </c>
      <c r="Z621" s="176">
        <v>632728.80000000005</v>
      </c>
      <c r="AA621">
        <v>243</v>
      </c>
      <c r="AB621" t="s">
        <v>4321</v>
      </c>
      <c r="AC621" t="s">
        <v>3227</v>
      </c>
      <c r="AD621" s="45"/>
      <c r="AE621" s="245"/>
      <c r="AF621" s="180"/>
      <c r="AG621" s="180"/>
      <c r="AH621" s="180"/>
      <c r="AI621" s="180"/>
      <c r="AJ621" s="180"/>
      <c r="AK621" s="180"/>
      <c r="AL621">
        <v>9</v>
      </c>
      <c r="AM621">
        <v>2022</v>
      </c>
      <c r="AN621" s="180"/>
      <c r="AP621" t="str">
        <f>IF(BD_Bloqueados[[#This Row],[Analista ]]&lt;&gt;"Ana C",MID(BD_Bloqueados[[#This Row],[ID]],3,5),MID(BD_Bloqueados[[#This Row],[ID]],4,5))</f>
        <v>24422</v>
      </c>
      <c r="AQ621">
        <v>266</v>
      </c>
      <c r="AR621">
        <v>2022</v>
      </c>
      <c r="AS621" s="72">
        <v>44562</v>
      </c>
      <c r="AT621" s="72">
        <v>44827</v>
      </c>
      <c r="AU621">
        <v>9</v>
      </c>
    </row>
    <row r="622" spans="1:47">
      <c r="A622" t="s">
        <v>4107</v>
      </c>
      <c r="B622">
        <v>2</v>
      </c>
      <c r="C622" s="72">
        <v>44802</v>
      </c>
      <c r="D622">
        <v>36</v>
      </c>
      <c r="E622" s="173">
        <v>0.64930555555555558</v>
      </c>
      <c r="F622" t="s">
        <v>109</v>
      </c>
      <c r="G622" t="s">
        <v>28</v>
      </c>
      <c r="H622" t="s">
        <v>81</v>
      </c>
      <c r="I622" t="s">
        <v>615</v>
      </c>
      <c r="J622" t="s">
        <v>117</v>
      </c>
      <c r="K622" t="s">
        <v>1077</v>
      </c>
      <c r="L622" t="s">
        <v>77</v>
      </c>
      <c r="M622" t="s">
        <v>714</v>
      </c>
      <c r="N622">
        <v>77961510</v>
      </c>
      <c r="O622" t="s">
        <v>494</v>
      </c>
      <c r="P622" s="154">
        <v>10000294</v>
      </c>
      <c r="Q622" t="s">
        <v>80</v>
      </c>
      <c r="R622" t="s">
        <v>608</v>
      </c>
      <c r="S622" t="s">
        <v>4108</v>
      </c>
      <c r="T622" t="s">
        <v>4109</v>
      </c>
      <c r="U622" t="s">
        <v>4110</v>
      </c>
      <c r="V622" t="s">
        <v>4111</v>
      </c>
      <c r="W622" t="s">
        <v>101</v>
      </c>
      <c r="X622" t="s">
        <v>1518</v>
      </c>
      <c r="Y622" s="229">
        <v>366</v>
      </c>
      <c r="Z622" s="176">
        <v>0</v>
      </c>
      <c r="AA622" t="s">
        <v>4112</v>
      </c>
      <c r="AB622" t="s">
        <v>2727</v>
      </c>
      <c r="AC622" t="s">
        <v>39</v>
      </c>
      <c r="AD622" s="239"/>
      <c r="AE622" s="244"/>
      <c r="AF622" s="180"/>
      <c r="AG622" s="180"/>
      <c r="AH622" s="180"/>
      <c r="AI622" s="180"/>
      <c r="AJ622" s="180"/>
      <c r="AK622" s="180"/>
      <c r="AL622">
        <v>8</v>
      </c>
      <c r="AM622">
        <v>2022</v>
      </c>
      <c r="AN622" s="180"/>
      <c r="AP622" t="str">
        <f>IF(BD_Bloqueados[[#This Row],[Analista ]]&lt;&gt;"Ana C",MID(BD_Bloqueados[[#This Row],[ID]],3,5),MID(BD_Bloqueados[[#This Row],[ID]],4,5))</f>
        <v>24122</v>
      </c>
      <c r="AQ622">
        <v>256</v>
      </c>
      <c r="AR622">
        <v>2022</v>
      </c>
      <c r="AS622" s="72">
        <v>44562</v>
      </c>
      <c r="AT622" s="72">
        <v>44817</v>
      </c>
      <c r="AU622">
        <v>9</v>
      </c>
    </row>
    <row r="623" spans="1:47">
      <c r="A623" t="s">
        <v>4113</v>
      </c>
      <c r="B623">
        <v>2</v>
      </c>
      <c r="C623" s="72">
        <v>44802</v>
      </c>
      <c r="D623">
        <v>36</v>
      </c>
      <c r="E623" s="173">
        <v>0.41666666666666669</v>
      </c>
      <c r="F623" t="s">
        <v>78</v>
      </c>
      <c r="G623" t="s">
        <v>27</v>
      </c>
      <c r="H623" t="s">
        <v>209</v>
      </c>
      <c r="I623" t="s">
        <v>591</v>
      </c>
      <c r="J623" t="s">
        <v>618</v>
      </c>
      <c r="K623" t="s">
        <v>4114</v>
      </c>
      <c r="L623" t="s">
        <v>108</v>
      </c>
      <c r="M623" t="s">
        <v>1029</v>
      </c>
      <c r="N623">
        <v>967555800</v>
      </c>
      <c r="O623" t="s">
        <v>127</v>
      </c>
      <c r="P623" s="154">
        <v>13030317</v>
      </c>
      <c r="Q623" t="s">
        <v>138</v>
      </c>
      <c r="R623" t="s">
        <v>589</v>
      </c>
      <c r="S623" t="s">
        <v>4115</v>
      </c>
      <c r="T623" t="s">
        <v>4116</v>
      </c>
      <c r="U623" t="s">
        <v>4117</v>
      </c>
      <c r="V623" t="s">
        <v>4118</v>
      </c>
      <c r="W623" t="s">
        <v>101</v>
      </c>
      <c r="X623" t="s">
        <v>156</v>
      </c>
      <c r="Y623" s="229">
        <v>280</v>
      </c>
      <c r="Z623" s="176">
        <v>62943.999999999993</v>
      </c>
      <c r="AA623">
        <v>241</v>
      </c>
      <c r="AB623" t="s">
        <v>1290</v>
      </c>
      <c r="AC623" t="s">
        <v>3148</v>
      </c>
      <c r="AD623" s="45"/>
      <c r="AE623" s="245"/>
      <c r="AF623" s="180"/>
      <c r="AG623" s="180"/>
      <c r="AH623" s="180"/>
      <c r="AI623" s="180"/>
      <c r="AJ623" s="180"/>
      <c r="AK623" s="180"/>
      <c r="AL623">
        <v>8</v>
      </c>
      <c r="AM623">
        <v>2022</v>
      </c>
      <c r="AN623" s="180"/>
      <c r="AP623" t="str">
        <f>IF(BD_Bloqueados[[#This Row],[Analista ]]&lt;&gt;"Ana C",MID(BD_Bloqueados[[#This Row],[ID]],3,5),MID(BD_Bloqueados[[#This Row],[ID]],4,5))</f>
        <v>24122</v>
      </c>
      <c r="AQ623">
        <v>221</v>
      </c>
      <c r="AR623">
        <v>2022</v>
      </c>
      <c r="AS623" s="72">
        <v>44562</v>
      </c>
      <c r="AT623" s="72">
        <v>44782</v>
      </c>
      <c r="AU623">
        <v>8</v>
      </c>
    </row>
    <row r="624" spans="1:47">
      <c r="A624" t="s">
        <v>2556</v>
      </c>
      <c r="B624">
        <v>2</v>
      </c>
      <c r="C624" s="72">
        <v>44796</v>
      </c>
      <c r="D624">
        <v>35</v>
      </c>
      <c r="E624" s="173">
        <v>0.1875</v>
      </c>
      <c r="F624" t="s">
        <v>136</v>
      </c>
      <c r="G624" t="s">
        <v>22</v>
      </c>
      <c r="H624" t="s">
        <v>164</v>
      </c>
      <c r="I624" t="s">
        <v>87</v>
      </c>
      <c r="J624" t="s">
        <v>169</v>
      </c>
      <c r="K624" t="s">
        <v>2557</v>
      </c>
      <c r="L624" t="s">
        <v>108</v>
      </c>
      <c r="M624" t="s">
        <v>1029</v>
      </c>
      <c r="N624">
        <v>967555800</v>
      </c>
      <c r="O624" t="s">
        <v>93</v>
      </c>
      <c r="P624" s="154">
        <v>12001396</v>
      </c>
      <c r="Q624" t="s">
        <v>206</v>
      </c>
      <c r="R624" t="s">
        <v>578</v>
      </c>
      <c r="S624" t="s">
        <v>2558</v>
      </c>
      <c r="T624" t="s">
        <v>2559</v>
      </c>
      <c r="U624" t="s">
        <v>2560</v>
      </c>
      <c r="V624" t="s">
        <v>2561</v>
      </c>
      <c r="W624" t="s">
        <v>101</v>
      </c>
      <c r="X624" t="s">
        <v>129</v>
      </c>
      <c r="Y624" s="229">
        <v>2880</v>
      </c>
      <c r="Z624" s="176">
        <v>1700640</v>
      </c>
      <c r="AA624">
        <v>235</v>
      </c>
      <c r="AB624" t="s">
        <v>1810</v>
      </c>
      <c r="AC624" t="s">
        <v>1252</v>
      </c>
      <c r="AD624" s="239"/>
      <c r="AE624" s="244"/>
      <c r="AF624" s="180"/>
      <c r="AG624" s="180"/>
      <c r="AH624" s="180"/>
      <c r="AI624" s="180"/>
      <c r="AJ624" s="180"/>
      <c r="AK624" s="180"/>
      <c r="AL624" s="306">
        <v>8</v>
      </c>
      <c r="AM624" s="306">
        <v>2022</v>
      </c>
      <c r="AN624" s="180" t="s">
        <v>1611</v>
      </c>
      <c r="AP624" t="str">
        <f>IF(BD_Bloqueados[[#This Row],[Analista ]]&lt;&gt;"Ana C",MID(BD_Bloqueados[[#This Row],[ID]],3,5),MID(BD_Bloqueados[[#This Row],[ID]],4,5))</f>
        <v>23522</v>
      </c>
      <c r="AQ624">
        <v>221</v>
      </c>
      <c r="AR624">
        <v>2022</v>
      </c>
      <c r="AS624" s="72">
        <v>44562</v>
      </c>
      <c r="AT624" s="72">
        <v>44782</v>
      </c>
      <c r="AU624">
        <v>8</v>
      </c>
    </row>
    <row r="625" spans="1:47" ht="15" thickBot="1">
      <c r="A625" t="s">
        <v>4119</v>
      </c>
      <c r="B625">
        <v>2</v>
      </c>
      <c r="C625" s="72">
        <v>44796</v>
      </c>
      <c r="D625">
        <v>35</v>
      </c>
      <c r="E625" s="173">
        <v>0.4375</v>
      </c>
      <c r="F625" t="s">
        <v>78</v>
      </c>
      <c r="G625" t="s">
        <v>27</v>
      </c>
      <c r="H625" t="s">
        <v>209</v>
      </c>
      <c r="I625" t="s">
        <v>248</v>
      </c>
      <c r="J625" t="s">
        <v>618</v>
      </c>
      <c r="K625" t="s">
        <v>1136</v>
      </c>
      <c r="L625" t="s">
        <v>108</v>
      </c>
      <c r="M625" t="s">
        <v>1029</v>
      </c>
      <c r="N625">
        <v>967555800</v>
      </c>
      <c r="O625" t="s">
        <v>127</v>
      </c>
      <c r="P625" s="154">
        <v>13030317</v>
      </c>
      <c r="Q625" t="s">
        <v>206</v>
      </c>
      <c r="R625" t="s">
        <v>589</v>
      </c>
      <c r="S625" t="s">
        <v>4120</v>
      </c>
      <c r="T625" t="s">
        <v>4121</v>
      </c>
      <c r="U625" t="s">
        <v>4122</v>
      </c>
      <c r="V625" t="s">
        <v>4123</v>
      </c>
      <c r="W625" t="s">
        <v>101</v>
      </c>
      <c r="X625" t="s">
        <v>156</v>
      </c>
      <c r="Y625" s="229">
        <v>1620</v>
      </c>
      <c r="Z625" s="176">
        <v>360936</v>
      </c>
      <c r="AA625">
        <v>235</v>
      </c>
      <c r="AB625" t="s">
        <v>1714</v>
      </c>
      <c r="AC625" t="s">
        <v>1349</v>
      </c>
      <c r="AD625" s="45"/>
      <c r="AE625" s="245"/>
      <c r="AF625" s="180"/>
      <c r="AG625" s="180"/>
      <c r="AH625" s="180"/>
      <c r="AI625" s="180"/>
      <c r="AJ625" s="180"/>
      <c r="AK625" s="180"/>
      <c r="AL625">
        <v>8</v>
      </c>
      <c r="AM625">
        <v>2022</v>
      </c>
      <c r="AN625" s="180"/>
      <c r="AP625" t="str">
        <f>IF(BD_Bloqueados[[#This Row],[Analista ]]&lt;&gt;"Ana C",MID(BD_Bloqueados[[#This Row],[ID]],3,5),MID(BD_Bloqueados[[#This Row],[ID]],4,5))</f>
        <v>23522</v>
      </c>
      <c r="AQ625">
        <v>241</v>
      </c>
      <c r="AR625">
        <v>2022</v>
      </c>
      <c r="AS625" s="72">
        <v>44562</v>
      </c>
      <c r="AT625" s="72">
        <v>44802</v>
      </c>
      <c r="AU625">
        <v>8</v>
      </c>
    </row>
    <row r="626" spans="1:47">
      <c r="A626" t="s">
        <v>4124</v>
      </c>
      <c r="B626">
        <v>2</v>
      </c>
      <c r="C626" s="72">
        <v>44796</v>
      </c>
      <c r="D626">
        <v>35</v>
      </c>
      <c r="E626" s="173">
        <v>0.4375</v>
      </c>
      <c r="F626" t="s">
        <v>78</v>
      </c>
      <c r="G626" t="s">
        <v>27</v>
      </c>
      <c r="H626" t="s">
        <v>209</v>
      </c>
      <c r="I626" t="s">
        <v>248</v>
      </c>
      <c r="J626" t="s">
        <v>618</v>
      </c>
      <c r="K626" t="s">
        <v>1136</v>
      </c>
      <c r="L626" t="s">
        <v>108</v>
      </c>
      <c r="M626" t="s">
        <v>1029</v>
      </c>
      <c r="N626">
        <v>967555800</v>
      </c>
      <c r="O626" t="s">
        <v>99</v>
      </c>
      <c r="P626" s="154">
        <v>13001756</v>
      </c>
      <c r="Q626" t="s">
        <v>206</v>
      </c>
      <c r="R626" t="s">
        <v>589</v>
      </c>
      <c r="S626" t="s">
        <v>4125</v>
      </c>
      <c r="T626" t="s">
        <v>4126</v>
      </c>
      <c r="U626" t="s">
        <v>4127</v>
      </c>
      <c r="V626" t="s">
        <v>4128</v>
      </c>
      <c r="W626" t="s">
        <v>101</v>
      </c>
      <c r="X626" s="178" t="s">
        <v>156</v>
      </c>
      <c r="Y626" s="229">
        <v>2268</v>
      </c>
      <c r="Z626" s="176">
        <v>520052.39999999997</v>
      </c>
      <c r="AA626">
        <v>235</v>
      </c>
      <c r="AB626" t="s">
        <v>1714</v>
      </c>
      <c r="AC626" t="s">
        <v>1349</v>
      </c>
      <c r="AD626" s="282"/>
      <c r="AE626" s="284"/>
      <c r="AF626" s="180"/>
      <c r="AG626" s="180"/>
      <c r="AH626" s="180"/>
      <c r="AI626" s="180"/>
      <c r="AJ626" s="180"/>
      <c r="AK626" s="180"/>
      <c r="AL626">
        <v>8</v>
      </c>
      <c r="AM626">
        <v>2022</v>
      </c>
      <c r="AN626" s="180"/>
      <c r="AP626" t="str">
        <f>IF(BD_Bloqueados[[#This Row],[Analista ]]&lt;&gt;"Ana C",MID(BD_Bloqueados[[#This Row],[ID]],3,5),MID(BD_Bloqueados[[#This Row],[ID]],4,5))</f>
        <v>23522</v>
      </c>
      <c r="AQ626">
        <v>241</v>
      </c>
      <c r="AR626">
        <v>2022</v>
      </c>
      <c r="AS626" s="72">
        <v>44562</v>
      </c>
      <c r="AT626" s="72">
        <v>44802</v>
      </c>
      <c r="AU626">
        <v>8</v>
      </c>
    </row>
    <row r="627" spans="1:47" ht="15" thickBot="1">
      <c r="A627" s="153" t="s">
        <v>4129</v>
      </c>
      <c r="B627" s="153">
        <v>2</v>
      </c>
      <c r="C627" s="72">
        <v>44791</v>
      </c>
      <c r="D627" s="153">
        <v>34</v>
      </c>
      <c r="E627" s="174">
        <v>0.4861111111111111</v>
      </c>
      <c r="F627" s="153" t="s">
        <v>78</v>
      </c>
      <c r="G627" s="153" t="s">
        <v>27</v>
      </c>
      <c r="H627" s="153" t="s">
        <v>140</v>
      </c>
      <c r="I627" s="153" t="s">
        <v>615</v>
      </c>
      <c r="J627" s="153" t="s">
        <v>618</v>
      </c>
      <c r="K627" s="153" t="s">
        <v>4130</v>
      </c>
      <c r="L627" s="153" t="s">
        <v>77</v>
      </c>
      <c r="M627" s="153" t="s">
        <v>717</v>
      </c>
      <c r="N627" s="153">
        <v>96954210</v>
      </c>
      <c r="O627" s="153" t="s">
        <v>507</v>
      </c>
      <c r="P627" s="175">
        <v>10002457</v>
      </c>
      <c r="Q627" s="153" t="s">
        <v>138</v>
      </c>
      <c r="R627" s="153" t="s">
        <v>79</v>
      </c>
      <c r="S627" s="153" t="s">
        <v>4131</v>
      </c>
      <c r="T627" s="153" t="s">
        <v>4132</v>
      </c>
      <c r="U627" s="153" t="s">
        <v>4133</v>
      </c>
      <c r="V627" s="153" t="s">
        <v>3210</v>
      </c>
      <c r="W627" s="153" t="s">
        <v>101</v>
      </c>
      <c r="X627" s="153" t="s">
        <v>129</v>
      </c>
      <c r="Y627" s="235">
        <v>810</v>
      </c>
      <c r="Z627" s="177">
        <v>0</v>
      </c>
      <c r="AA627" s="153" t="s">
        <v>4134</v>
      </c>
      <c r="AB627" s="153" t="s">
        <v>2932</v>
      </c>
      <c r="AC627" s="153" t="s">
        <v>39</v>
      </c>
      <c r="AD627" s="45"/>
      <c r="AE627" s="245"/>
      <c r="AF627" s="180"/>
      <c r="AG627" s="180"/>
      <c r="AH627" s="180"/>
      <c r="AI627" s="180"/>
      <c r="AJ627" s="180"/>
      <c r="AK627" s="180"/>
      <c r="AL627">
        <v>8</v>
      </c>
      <c r="AM627">
        <v>2022</v>
      </c>
      <c r="AN627" s="180"/>
      <c r="AP627" t="str">
        <f>IF(BD_Bloqueados[[#This Row],[Analista ]]&lt;&gt;"Ana C",MID(BD_Bloqueados[[#This Row],[ID]],3,5),MID(BD_Bloqueados[[#This Row],[ID]],4,5))</f>
        <v>23022</v>
      </c>
      <c r="AQ627">
        <v>235</v>
      </c>
      <c r="AR627">
        <v>2022</v>
      </c>
      <c r="AS627" s="72">
        <v>44562</v>
      </c>
      <c r="AT627" s="72">
        <v>44796</v>
      </c>
      <c r="AU627">
        <v>8</v>
      </c>
    </row>
    <row r="628" spans="1:47">
      <c r="A628" t="s">
        <v>4135</v>
      </c>
      <c r="B628">
        <v>2</v>
      </c>
      <c r="C628" s="72">
        <v>44791</v>
      </c>
      <c r="D628">
        <v>34</v>
      </c>
      <c r="E628" s="173">
        <v>0.83333333333333337</v>
      </c>
      <c r="F628" t="s">
        <v>109</v>
      </c>
      <c r="G628" t="s">
        <v>28</v>
      </c>
      <c r="H628" t="s">
        <v>81</v>
      </c>
      <c r="I628" t="s">
        <v>581</v>
      </c>
      <c r="J628" t="s">
        <v>117</v>
      </c>
      <c r="K628" t="s">
        <v>4136</v>
      </c>
      <c r="L628" t="s">
        <v>77</v>
      </c>
      <c r="M628" t="s">
        <v>722</v>
      </c>
      <c r="N628">
        <v>96549220</v>
      </c>
      <c r="O628" t="s">
        <v>498</v>
      </c>
      <c r="P628" s="154">
        <v>10003296</v>
      </c>
      <c r="Q628" t="s">
        <v>206</v>
      </c>
      <c r="R628" t="s">
        <v>579</v>
      </c>
      <c r="S628" t="s">
        <v>4137</v>
      </c>
      <c r="T628" t="s">
        <v>4138</v>
      </c>
      <c r="U628" t="s">
        <v>4139</v>
      </c>
      <c r="V628" t="s">
        <v>4140</v>
      </c>
      <c r="W628" t="s">
        <v>101</v>
      </c>
      <c r="X628" t="s">
        <v>1518</v>
      </c>
      <c r="Y628" s="229">
        <v>488</v>
      </c>
      <c r="Z628" s="176">
        <v>0</v>
      </c>
      <c r="AA628">
        <v>39985</v>
      </c>
      <c r="AB628" t="s">
        <v>2727</v>
      </c>
      <c r="AC628" t="s">
        <v>39</v>
      </c>
      <c r="AD628" s="239"/>
      <c r="AE628" s="244"/>
      <c r="AF628" s="180"/>
      <c r="AG628" s="180"/>
      <c r="AH628" s="180"/>
      <c r="AI628" s="180"/>
      <c r="AJ628" s="180"/>
      <c r="AK628" s="180"/>
      <c r="AL628">
        <v>8</v>
      </c>
      <c r="AM628">
        <v>2022</v>
      </c>
      <c r="AN628" s="180"/>
      <c r="AP628" t="str">
        <f>IF(BD_Bloqueados[[#This Row],[Analista ]]&lt;&gt;"Ana C",MID(BD_Bloqueados[[#This Row],[ID]],3,5),MID(BD_Bloqueados[[#This Row],[ID]],4,5))</f>
        <v>23022</v>
      </c>
      <c r="AQ628">
        <v>235</v>
      </c>
      <c r="AR628">
        <v>2022</v>
      </c>
      <c r="AS628" s="72">
        <v>44562</v>
      </c>
      <c r="AT628" s="72">
        <v>44796</v>
      </c>
      <c r="AU628">
        <v>8</v>
      </c>
    </row>
    <row r="629" spans="1:47">
      <c r="A629" t="s">
        <v>4141</v>
      </c>
      <c r="B629">
        <v>2</v>
      </c>
      <c r="C629" s="72">
        <v>44791</v>
      </c>
      <c r="D629">
        <v>34</v>
      </c>
      <c r="E629" s="173">
        <v>0.45</v>
      </c>
      <c r="F629" t="s">
        <v>78</v>
      </c>
      <c r="G629" t="s">
        <v>23</v>
      </c>
      <c r="H629" t="s">
        <v>81</v>
      </c>
      <c r="I629" t="s">
        <v>190</v>
      </c>
      <c r="J629" t="s">
        <v>1783</v>
      </c>
      <c r="K629" t="s">
        <v>2984</v>
      </c>
      <c r="L629" t="s">
        <v>108</v>
      </c>
      <c r="M629" t="s">
        <v>1029</v>
      </c>
      <c r="N629">
        <v>967555800</v>
      </c>
      <c r="O629" t="s">
        <v>265</v>
      </c>
      <c r="P629" s="154">
        <v>13030402</v>
      </c>
      <c r="Q629" t="s">
        <v>206</v>
      </c>
      <c r="R629" t="s">
        <v>226</v>
      </c>
      <c r="S629" t="s">
        <v>4142</v>
      </c>
      <c r="T629" t="s">
        <v>4143</v>
      </c>
      <c r="U629" t="s">
        <v>4144</v>
      </c>
      <c r="V629" t="s">
        <v>4145</v>
      </c>
      <c r="W629" t="s">
        <v>101</v>
      </c>
      <c r="X629" t="s">
        <v>156</v>
      </c>
      <c r="Y629" s="229">
        <v>22556</v>
      </c>
      <c r="Z629" s="176">
        <v>331573.2</v>
      </c>
      <c r="AA629">
        <v>230</v>
      </c>
      <c r="AB629" t="s">
        <v>3068</v>
      </c>
      <c r="AC629" t="s">
        <v>2216</v>
      </c>
      <c r="AD629" s="239"/>
      <c r="AE629" s="244"/>
      <c r="AF629" s="180"/>
      <c r="AG629" s="180"/>
      <c r="AH629" s="180"/>
      <c r="AI629" s="180"/>
      <c r="AJ629" s="180"/>
      <c r="AK629" s="180"/>
      <c r="AL629">
        <v>8</v>
      </c>
      <c r="AM629">
        <v>2022</v>
      </c>
      <c r="AN629" s="180"/>
      <c r="AP629" t="str">
        <f>IF(BD_Bloqueados[[#This Row],[Analista ]]&lt;&gt;"Ana C",MID(BD_Bloqueados[[#This Row],[ID]],3,5),MID(BD_Bloqueados[[#This Row],[ID]],4,5))</f>
        <v>23022</v>
      </c>
      <c r="AQ629">
        <v>230</v>
      </c>
      <c r="AR629">
        <v>2022</v>
      </c>
      <c r="AS629" s="72">
        <v>44562</v>
      </c>
      <c r="AT629" s="72">
        <v>44791</v>
      </c>
      <c r="AU629">
        <v>8</v>
      </c>
    </row>
    <row r="630" spans="1:47">
      <c r="A630" t="s">
        <v>3063</v>
      </c>
      <c r="B630">
        <v>2</v>
      </c>
      <c r="C630" s="72">
        <v>44791</v>
      </c>
      <c r="D630">
        <v>34</v>
      </c>
      <c r="E630" s="173">
        <v>0.45</v>
      </c>
      <c r="F630" t="s">
        <v>78</v>
      </c>
      <c r="G630" t="s">
        <v>23</v>
      </c>
      <c r="H630" t="s">
        <v>81</v>
      </c>
      <c r="I630" t="s">
        <v>190</v>
      </c>
      <c r="J630" t="s">
        <v>1783</v>
      </c>
      <c r="K630" t="s">
        <v>2984</v>
      </c>
      <c r="L630" t="s">
        <v>108</v>
      </c>
      <c r="M630" t="s">
        <v>1029</v>
      </c>
      <c r="N630">
        <v>967555800</v>
      </c>
      <c r="O630" t="s">
        <v>265</v>
      </c>
      <c r="P630" s="154">
        <v>13030402</v>
      </c>
      <c r="Q630" t="s">
        <v>206</v>
      </c>
      <c r="R630" t="s">
        <v>226</v>
      </c>
      <c r="S630" t="s">
        <v>3064</v>
      </c>
      <c r="T630" t="s">
        <v>3065</v>
      </c>
      <c r="U630" t="s">
        <v>3066</v>
      </c>
      <c r="V630" t="s">
        <v>3067</v>
      </c>
      <c r="W630" t="s">
        <v>101</v>
      </c>
      <c r="X630" t="s">
        <v>129</v>
      </c>
      <c r="Y630" s="229">
        <v>972</v>
      </c>
      <c r="Z630" s="176">
        <v>538099.20000000007</v>
      </c>
      <c r="AA630">
        <v>230</v>
      </c>
      <c r="AB630" t="s">
        <v>3068</v>
      </c>
      <c r="AC630" t="s">
        <v>2216</v>
      </c>
      <c r="AD630" s="45"/>
      <c r="AE630" s="245"/>
      <c r="AF630" s="180"/>
      <c r="AG630" s="180"/>
      <c r="AH630" s="180"/>
      <c r="AI630" s="180"/>
      <c r="AJ630" s="180"/>
      <c r="AK630" s="180"/>
      <c r="AL630">
        <v>8</v>
      </c>
      <c r="AM630">
        <v>2022</v>
      </c>
      <c r="AN630" s="180"/>
      <c r="AP630" t="str">
        <f>IF(BD_Bloqueados[[#This Row],[Analista ]]&lt;&gt;"Ana C",MID(BD_Bloqueados[[#This Row],[ID]],3,5),MID(BD_Bloqueados[[#This Row],[ID]],4,5))</f>
        <v>23022</v>
      </c>
      <c r="AQ630">
        <v>230</v>
      </c>
      <c r="AR630">
        <v>2022</v>
      </c>
      <c r="AS630" s="72">
        <v>44562</v>
      </c>
      <c r="AT630" s="72">
        <v>44791</v>
      </c>
      <c r="AU630">
        <v>8</v>
      </c>
    </row>
    <row r="631" spans="1:47">
      <c r="A631" t="s">
        <v>4146</v>
      </c>
      <c r="B631">
        <v>2</v>
      </c>
      <c r="C631" s="72">
        <v>44789</v>
      </c>
      <c r="D631">
        <v>34</v>
      </c>
      <c r="E631" s="173">
        <v>0.70833333333333337</v>
      </c>
      <c r="F631" t="s">
        <v>109</v>
      </c>
      <c r="G631" t="s">
        <v>29</v>
      </c>
      <c r="H631" t="s">
        <v>166</v>
      </c>
      <c r="I631" t="s">
        <v>581</v>
      </c>
      <c r="J631" t="s">
        <v>618</v>
      </c>
      <c r="K631" t="s">
        <v>4147</v>
      </c>
      <c r="L631" t="s">
        <v>108</v>
      </c>
      <c r="M631" t="s">
        <v>1029</v>
      </c>
      <c r="N631">
        <v>967555800</v>
      </c>
      <c r="O631" t="s">
        <v>193</v>
      </c>
      <c r="P631" s="154">
        <v>13030558</v>
      </c>
      <c r="Q631" t="s">
        <v>185</v>
      </c>
      <c r="R631" t="s">
        <v>600</v>
      </c>
      <c r="S631" t="s">
        <v>4148</v>
      </c>
      <c r="T631" t="s">
        <v>4149</v>
      </c>
      <c r="U631" t="s">
        <v>4150</v>
      </c>
      <c r="V631" t="s">
        <v>4151</v>
      </c>
      <c r="W631" t="s">
        <v>101</v>
      </c>
      <c r="X631" t="s">
        <v>156</v>
      </c>
      <c r="Y631" s="229">
        <v>1651.2</v>
      </c>
      <c r="Z631" s="176">
        <v>92467.199999999997</v>
      </c>
      <c r="AA631">
        <v>228</v>
      </c>
      <c r="AB631" t="s">
        <v>2740</v>
      </c>
      <c r="AC631" t="s">
        <v>1252</v>
      </c>
      <c r="AD631" s="45"/>
      <c r="AE631" s="245"/>
      <c r="AF631" s="180"/>
      <c r="AG631" s="180"/>
      <c r="AH631" s="180"/>
      <c r="AI631" s="180"/>
      <c r="AJ631" s="180"/>
      <c r="AK631" s="180"/>
      <c r="AL631">
        <v>8</v>
      </c>
      <c r="AM631">
        <v>2022</v>
      </c>
      <c r="AN631" s="180" t="s">
        <v>1505</v>
      </c>
      <c r="AP631" t="str">
        <f>IF(BD_Bloqueados[[#This Row],[Analista ]]&lt;&gt;"Ana C",MID(BD_Bloqueados[[#This Row],[ID]],3,5),MID(BD_Bloqueados[[#This Row],[ID]],4,5))</f>
        <v>22822</v>
      </c>
      <c r="AQ631">
        <v>230</v>
      </c>
      <c r="AR631">
        <v>2022</v>
      </c>
      <c r="AS631" s="72">
        <v>44562</v>
      </c>
      <c r="AT631" s="72">
        <v>44791</v>
      </c>
      <c r="AU631">
        <v>8</v>
      </c>
    </row>
    <row r="632" spans="1:47">
      <c r="A632" t="s">
        <v>4040</v>
      </c>
      <c r="B632">
        <v>2</v>
      </c>
      <c r="C632" s="72">
        <v>44842</v>
      </c>
      <c r="D632">
        <v>33</v>
      </c>
      <c r="E632" s="173">
        <v>0.56944444444444442</v>
      </c>
      <c r="F632" t="s">
        <v>109</v>
      </c>
      <c r="G632" t="s">
        <v>28</v>
      </c>
      <c r="H632" t="s">
        <v>81</v>
      </c>
      <c r="I632" t="s">
        <v>615</v>
      </c>
      <c r="J632" t="s">
        <v>618</v>
      </c>
      <c r="K632" t="s">
        <v>1077</v>
      </c>
      <c r="L632" t="s">
        <v>77</v>
      </c>
      <c r="M632" t="s">
        <v>722</v>
      </c>
      <c r="N632">
        <v>96549220</v>
      </c>
      <c r="O632" t="s">
        <v>498</v>
      </c>
      <c r="P632" s="154">
        <v>10003296</v>
      </c>
      <c r="Q632" t="s">
        <v>206</v>
      </c>
      <c r="R632" t="s">
        <v>579</v>
      </c>
      <c r="S632" t="s">
        <v>4041</v>
      </c>
      <c r="T632" t="s">
        <v>4042</v>
      </c>
      <c r="U632" t="s">
        <v>4043</v>
      </c>
      <c r="V632" t="s">
        <v>4044</v>
      </c>
      <c r="W632" t="s">
        <v>101</v>
      </c>
      <c r="X632" t="s">
        <v>1518</v>
      </c>
      <c r="Y632" s="229">
        <v>620</v>
      </c>
      <c r="Z632" s="176">
        <v>0</v>
      </c>
      <c r="AA632">
        <v>39889</v>
      </c>
      <c r="AB632" t="s">
        <v>2727</v>
      </c>
      <c r="AC632" t="s">
        <v>39</v>
      </c>
      <c r="AD632" s="45"/>
      <c r="AE632" s="245"/>
      <c r="AF632" s="180"/>
      <c r="AG632" s="180"/>
      <c r="AH632" s="180"/>
      <c r="AI632" s="180"/>
      <c r="AJ632" s="180"/>
      <c r="AK632" s="180"/>
      <c r="AL632">
        <v>8</v>
      </c>
      <c r="AM632">
        <v>2022</v>
      </c>
      <c r="AN632" s="180"/>
      <c r="AP632" t="str">
        <f>IF(BD_Bloqueados[[#This Row],[Analista ]]&lt;&gt;"Ana C",MID(BD_Bloqueados[[#This Row],[ID]],3,5),MID(BD_Bloqueados[[#This Row],[ID]],4,5))</f>
        <v>22222</v>
      </c>
      <c r="AQ632">
        <v>230</v>
      </c>
      <c r="AR632">
        <v>2022</v>
      </c>
      <c r="AS632" s="72">
        <v>44562</v>
      </c>
      <c r="AT632" s="72">
        <v>44791</v>
      </c>
      <c r="AU632">
        <v>8</v>
      </c>
    </row>
    <row r="633" spans="1:47">
      <c r="A633" t="s">
        <v>4045</v>
      </c>
      <c r="B633">
        <v>2</v>
      </c>
      <c r="C633" s="72">
        <v>44842</v>
      </c>
      <c r="D633">
        <v>33</v>
      </c>
      <c r="E633" s="173">
        <v>0.77777777777777779</v>
      </c>
      <c r="F633" t="s">
        <v>109</v>
      </c>
      <c r="G633" t="s">
        <v>27</v>
      </c>
      <c r="H633" t="s">
        <v>209</v>
      </c>
      <c r="I633" t="s">
        <v>581</v>
      </c>
      <c r="J633" t="s">
        <v>618</v>
      </c>
      <c r="K633" t="s">
        <v>4046</v>
      </c>
      <c r="L633" t="s">
        <v>108</v>
      </c>
      <c r="M633" t="s">
        <v>1029</v>
      </c>
      <c r="N633">
        <v>967555800</v>
      </c>
      <c r="O633" t="s">
        <v>154</v>
      </c>
      <c r="P633" s="154">
        <v>13030471</v>
      </c>
      <c r="Q633" t="s">
        <v>80</v>
      </c>
      <c r="R633" t="s">
        <v>589</v>
      </c>
      <c r="S633" t="s">
        <v>4047</v>
      </c>
      <c r="T633" t="s">
        <v>4048</v>
      </c>
      <c r="U633" t="s">
        <v>4049</v>
      </c>
      <c r="V633" t="s">
        <v>4050</v>
      </c>
      <c r="W633" t="s">
        <v>101</v>
      </c>
      <c r="X633" t="s">
        <v>156</v>
      </c>
      <c r="Y633" s="229">
        <v>372</v>
      </c>
      <c r="Z633" s="176">
        <v>18711.600000000002</v>
      </c>
      <c r="AA633">
        <v>222</v>
      </c>
      <c r="AB633" t="s">
        <v>4051</v>
      </c>
      <c r="AC633" t="s">
        <v>1349</v>
      </c>
      <c r="AD633" s="239"/>
      <c r="AE633" s="244"/>
      <c r="AF633" s="180"/>
      <c r="AG633" s="180"/>
      <c r="AH633" s="180"/>
      <c r="AI633" s="180"/>
      <c r="AJ633" s="180"/>
      <c r="AK633" s="180"/>
      <c r="AL633">
        <v>8</v>
      </c>
      <c r="AM633">
        <v>2022</v>
      </c>
      <c r="AN633" s="180"/>
      <c r="AP633" t="str">
        <f>IF(BD_Bloqueados[[#This Row],[Analista ]]&lt;&gt;"Ana C",MID(BD_Bloqueados[[#This Row],[ID]],3,5),MID(BD_Bloqueados[[#This Row],[ID]],4,5))</f>
        <v>22222</v>
      </c>
      <c r="AQ633">
        <v>228</v>
      </c>
      <c r="AR633">
        <v>2022</v>
      </c>
      <c r="AS633" s="72">
        <v>44562</v>
      </c>
      <c r="AT633" s="72">
        <v>44789</v>
      </c>
      <c r="AU633">
        <v>8</v>
      </c>
    </row>
    <row r="634" spans="1:47">
      <c r="A634" t="s">
        <v>4098</v>
      </c>
      <c r="B634">
        <v>2</v>
      </c>
      <c r="C634" s="72">
        <v>44812</v>
      </c>
      <c r="D634">
        <v>33</v>
      </c>
      <c r="E634" s="173">
        <v>0.59722222222222221</v>
      </c>
      <c r="F634" t="s">
        <v>109</v>
      </c>
      <c r="G634" t="s">
        <v>28</v>
      </c>
      <c r="H634" t="s">
        <v>81</v>
      </c>
      <c r="I634" t="s">
        <v>615</v>
      </c>
      <c r="J634" t="s">
        <v>618</v>
      </c>
      <c r="K634" t="s">
        <v>1048</v>
      </c>
      <c r="L634" t="s">
        <v>77</v>
      </c>
      <c r="M634" t="s">
        <v>575</v>
      </c>
      <c r="N634">
        <v>76618520</v>
      </c>
      <c r="O634" t="s">
        <v>466</v>
      </c>
      <c r="P634" s="154">
        <v>10000132</v>
      </c>
      <c r="Q634" t="s">
        <v>206</v>
      </c>
      <c r="R634" t="s">
        <v>110</v>
      </c>
      <c r="S634" t="s">
        <v>4099</v>
      </c>
      <c r="T634" t="s">
        <v>4100</v>
      </c>
      <c r="U634" t="s">
        <v>4101</v>
      </c>
      <c r="W634" t="s">
        <v>101</v>
      </c>
      <c r="X634" t="s">
        <v>129</v>
      </c>
      <c r="Y634" s="229">
        <v>125</v>
      </c>
      <c r="Z634" s="176">
        <v>294525</v>
      </c>
      <c r="AA634">
        <v>311103</v>
      </c>
      <c r="AB634" t="s">
        <v>3980</v>
      </c>
      <c r="AC634" t="s">
        <v>1535</v>
      </c>
      <c r="AD634" s="45"/>
      <c r="AE634" s="245"/>
      <c r="AF634" s="180"/>
      <c r="AG634" s="180"/>
      <c r="AH634" s="180"/>
      <c r="AI634" s="180"/>
      <c r="AJ634" s="180"/>
      <c r="AK634" s="180"/>
      <c r="AL634">
        <v>8</v>
      </c>
      <c r="AM634">
        <v>2022</v>
      </c>
      <c r="AN634" s="180"/>
      <c r="AP634" t="str">
        <f>IF(BD_Bloqueados[[#This Row],[Analista ]]&lt;&gt;"Ana C",MID(BD_Bloqueados[[#This Row],[ID]],3,5),MID(BD_Bloqueados[[#This Row],[ID]],4,5))</f>
        <v>22122</v>
      </c>
      <c r="AQ634">
        <v>251</v>
      </c>
      <c r="AR634">
        <v>2022</v>
      </c>
      <c r="AS634" s="72">
        <v>44562</v>
      </c>
      <c r="AT634" s="72">
        <v>44812</v>
      </c>
      <c r="AU634">
        <v>9</v>
      </c>
    </row>
    <row r="635" spans="1:47">
      <c r="A635" t="s">
        <v>4102</v>
      </c>
      <c r="B635">
        <v>2</v>
      </c>
      <c r="C635" s="72">
        <v>44812</v>
      </c>
      <c r="D635">
        <v>33</v>
      </c>
      <c r="E635" s="173">
        <v>0.67499999999999993</v>
      </c>
      <c r="F635" t="s">
        <v>109</v>
      </c>
      <c r="G635" t="s">
        <v>27</v>
      </c>
      <c r="H635" t="s">
        <v>209</v>
      </c>
      <c r="I635" t="s">
        <v>87</v>
      </c>
      <c r="J635" t="s">
        <v>117</v>
      </c>
      <c r="K635" t="s">
        <v>4081</v>
      </c>
      <c r="L635" t="s">
        <v>108</v>
      </c>
      <c r="M635" t="s">
        <v>1029</v>
      </c>
      <c r="N635">
        <v>967555800</v>
      </c>
      <c r="O635" t="s">
        <v>179</v>
      </c>
      <c r="P635" s="154">
        <v>13030505</v>
      </c>
      <c r="Q635" t="s">
        <v>80</v>
      </c>
      <c r="R635" t="s">
        <v>589</v>
      </c>
      <c r="S635" t="s">
        <v>4103</v>
      </c>
      <c r="T635" t="s">
        <v>4104</v>
      </c>
      <c r="U635" t="s">
        <v>4105</v>
      </c>
      <c r="V635" t="s">
        <v>4106</v>
      </c>
      <c r="W635" t="s">
        <v>101</v>
      </c>
      <c r="X635" t="s">
        <v>156</v>
      </c>
      <c r="Y635" s="229">
        <v>384</v>
      </c>
      <c r="Z635" s="176">
        <v>19315.2</v>
      </c>
      <c r="AB635" t="s">
        <v>4051</v>
      </c>
      <c r="AC635" t="s">
        <v>1349</v>
      </c>
      <c r="AD635" s="239"/>
      <c r="AE635" s="244"/>
      <c r="AF635" s="180"/>
      <c r="AG635" s="180"/>
      <c r="AH635" s="180"/>
      <c r="AI635" s="180"/>
      <c r="AJ635" s="180"/>
      <c r="AK635" s="180"/>
      <c r="AL635">
        <v>8</v>
      </c>
      <c r="AM635">
        <v>2022</v>
      </c>
      <c r="AN635" s="180"/>
      <c r="AP635" t="str">
        <f>IF(BD_Bloqueados[[#This Row],[Analista ]]&lt;&gt;"Ana C",MID(BD_Bloqueados[[#This Row],[ID]],3,5),MID(BD_Bloqueados[[#This Row],[ID]],4,5))</f>
        <v>22122</v>
      </c>
      <c r="AQ635">
        <v>251</v>
      </c>
      <c r="AR635">
        <v>2022</v>
      </c>
      <c r="AS635" s="72">
        <v>44562</v>
      </c>
      <c r="AT635" s="72">
        <v>44812</v>
      </c>
      <c r="AU635">
        <v>9</v>
      </c>
    </row>
    <row r="636" spans="1:47">
      <c r="A636" t="s">
        <v>4156</v>
      </c>
      <c r="B636">
        <v>2</v>
      </c>
      <c r="C636" s="72">
        <v>44812</v>
      </c>
      <c r="D636">
        <v>33</v>
      </c>
      <c r="E636" s="173">
        <v>0.18055555555555555</v>
      </c>
      <c r="F636" t="s">
        <v>136</v>
      </c>
      <c r="G636" t="s">
        <v>27</v>
      </c>
      <c r="H636" t="s">
        <v>140</v>
      </c>
      <c r="I636" t="s">
        <v>248</v>
      </c>
      <c r="J636" t="s">
        <v>117</v>
      </c>
      <c r="K636" t="s">
        <v>2527</v>
      </c>
      <c r="L636" t="s">
        <v>77</v>
      </c>
      <c r="M636" t="s">
        <v>706</v>
      </c>
      <c r="N636">
        <v>81145500</v>
      </c>
      <c r="O636" t="s">
        <v>513</v>
      </c>
      <c r="P636" s="154">
        <v>10000521</v>
      </c>
      <c r="Q636" t="s">
        <v>138</v>
      </c>
      <c r="R636" t="s">
        <v>79</v>
      </c>
      <c r="S636" t="s">
        <v>4157</v>
      </c>
      <c r="T636" t="s">
        <v>4158</v>
      </c>
      <c r="U636" t="s">
        <v>4159</v>
      </c>
      <c r="V636" t="s">
        <v>4160</v>
      </c>
      <c r="W636" t="s">
        <v>101</v>
      </c>
      <c r="X636" t="s">
        <v>1518</v>
      </c>
      <c r="Y636" s="229">
        <v>70</v>
      </c>
      <c r="Z636" s="176">
        <v>0</v>
      </c>
      <c r="AA636" t="s">
        <v>4161</v>
      </c>
      <c r="AB636" t="s">
        <v>2932</v>
      </c>
      <c r="AC636" t="s">
        <v>39</v>
      </c>
      <c r="AD636" s="45"/>
      <c r="AE636" s="245"/>
      <c r="AF636" s="180"/>
      <c r="AG636" s="180"/>
      <c r="AH636" s="180"/>
      <c r="AI636" s="180"/>
      <c r="AJ636" s="180"/>
      <c r="AK636" s="180"/>
      <c r="AL636">
        <v>8</v>
      </c>
      <c r="AM636">
        <v>2022</v>
      </c>
      <c r="AN636" s="180"/>
      <c r="AP636" t="str">
        <f>IF(BD_Bloqueados[[#This Row],[Analista ]]&lt;&gt;"Ana C",MID(BD_Bloqueados[[#This Row],[ID]],3,5),MID(BD_Bloqueados[[#This Row],[ID]],4,5))</f>
        <v>22122</v>
      </c>
      <c r="AQ636">
        <v>221</v>
      </c>
      <c r="AR636">
        <v>2022</v>
      </c>
      <c r="AS636" s="72">
        <v>44562</v>
      </c>
      <c r="AT636" s="72">
        <v>44782</v>
      </c>
      <c r="AU636">
        <v>8</v>
      </c>
    </row>
    <row r="637" spans="1:47">
      <c r="A637" t="s">
        <v>4241</v>
      </c>
      <c r="B637">
        <v>2</v>
      </c>
      <c r="C637" s="72">
        <v>44720</v>
      </c>
      <c r="D637">
        <v>32</v>
      </c>
      <c r="E637" s="173">
        <v>0.25347222222222221</v>
      </c>
      <c r="F637" t="s">
        <v>136</v>
      </c>
      <c r="G637" t="s">
        <v>27</v>
      </c>
      <c r="H637" t="s">
        <v>189</v>
      </c>
      <c r="I637" t="s">
        <v>87</v>
      </c>
      <c r="J637" t="s">
        <v>618</v>
      </c>
      <c r="K637" t="s">
        <v>1232</v>
      </c>
      <c r="L637" t="s">
        <v>108</v>
      </c>
      <c r="M637" t="s">
        <v>1029</v>
      </c>
      <c r="N637">
        <v>967555800</v>
      </c>
      <c r="O637" t="s">
        <v>771</v>
      </c>
      <c r="P637" s="154">
        <v>13030094</v>
      </c>
      <c r="Q637" t="s">
        <v>185</v>
      </c>
      <c r="R637" t="s">
        <v>600</v>
      </c>
      <c r="S637" t="s">
        <v>4242</v>
      </c>
      <c r="T637" t="s">
        <v>4243</v>
      </c>
      <c r="U637" t="s">
        <v>4244</v>
      </c>
      <c r="V637" t="s">
        <v>4245</v>
      </c>
      <c r="W637" t="s">
        <v>101</v>
      </c>
      <c r="X637" t="s">
        <v>156</v>
      </c>
      <c r="Y637" s="229">
        <v>3025</v>
      </c>
      <c r="Z637" s="176">
        <v>271645</v>
      </c>
      <c r="AA637" t="s">
        <v>4246</v>
      </c>
      <c r="AB637" t="s">
        <v>2740</v>
      </c>
      <c r="AC637" t="s">
        <v>1252</v>
      </c>
      <c r="AD637" s="239"/>
      <c r="AE637" s="244"/>
      <c r="AF637" s="180"/>
      <c r="AG637" s="180"/>
      <c r="AH637" s="180"/>
      <c r="AI637" s="180"/>
      <c r="AJ637" s="180"/>
      <c r="AK637" s="180"/>
      <c r="AL637">
        <v>8</v>
      </c>
      <c r="AM637">
        <v>2022</v>
      </c>
      <c r="AN637" s="180" t="s">
        <v>1505</v>
      </c>
      <c r="AP637" t="str">
        <f>IF(BD_Bloqueados[[#This Row],[Analista ]]&lt;&gt;"Ana C",MID(BD_Bloqueados[[#This Row],[ID]],3,5),MID(BD_Bloqueados[[#This Row],[ID]],4,5))</f>
        <v>21822</v>
      </c>
      <c r="AQ637">
        <v>189</v>
      </c>
      <c r="AR637">
        <v>2022</v>
      </c>
      <c r="AS637" s="72">
        <v>44562</v>
      </c>
      <c r="AT637" s="72">
        <v>44750</v>
      </c>
      <c r="AU637">
        <v>7</v>
      </c>
    </row>
    <row r="638" spans="1:47">
      <c r="A638" t="s">
        <v>4310</v>
      </c>
      <c r="B638">
        <v>2</v>
      </c>
      <c r="C638" s="72">
        <v>44600</v>
      </c>
      <c r="D638">
        <v>32</v>
      </c>
      <c r="E638" s="173">
        <v>0.41666666666666669</v>
      </c>
      <c r="F638" t="s">
        <v>78</v>
      </c>
      <c r="G638" t="s">
        <v>28</v>
      </c>
      <c r="H638" t="s">
        <v>81</v>
      </c>
      <c r="I638" t="s">
        <v>143</v>
      </c>
      <c r="J638" t="s">
        <v>117</v>
      </c>
      <c r="K638" t="s">
        <v>1387</v>
      </c>
      <c r="L638" t="s">
        <v>77</v>
      </c>
      <c r="M638" t="s">
        <v>722</v>
      </c>
      <c r="N638">
        <v>96549220</v>
      </c>
      <c r="O638" t="s">
        <v>498</v>
      </c>
      <c r="P638" s="154">
        <v>10003296</v>
      </c>
      <c r="Q638" t="s">
        <v>206</v>
      </c>
      <c r="R638" t="s">
        <v>579</v>
      </c>
      <c r="S638" t="s">
        <v>4311</v>
      </c>
      <c r="T638" t="s">
        <v>4312</v>
      </c>
      <c r="U638" t="s">
        <v>4313</v>
      </c>
      <c r="V638" t="s">
        <v>4314</v>
      </c>
      <c r="W638" t="s">
        <v>101</v>
      </c>
      <c r="X638" t="s">
        <v>1518</v>
      </c>
      <c r="Y638" s="229">
        <v>596</v>
      </c>
      <c r="Z638" s="176">
        <v>0</v>
      </c>
      <c r="AA638">
        <v>39651</v>
      </c>
      <c r="AB638" t="s">
        <v>2727</v>
      </c>
      <c r="AC638" t="s">
        <v>39</v>
      </c>
      <c r="AD638" s="45"/>
      <c r="AE638" s="245"/>
      <c r="AF638" s="180"/>
      <c r="AG638" s="180"/>
      <c r="AH638" s="180"/>
      <c r="AI638" s="180"/>
      <c r="AJ638" s="180"/>
      <c r="AK638" s="180"/>
      <c r="AL638">
        <v>8</v>
      </c>
      <c r="AM638">
        <v>2022</v>
      </c>
      <c r="AN638" s="180"/>
      <c r="AP638" t="str">
        <f>IF(BD_Bloqueados[[#This Row],[Analista ]]&lt;&gt;"Ana C",MID(BD_Bloqueados[[#This Row],[ID]],3,5),MID(BD_Bloqueados[[#This Row],[ID]],4,5))</f>
        <v>21422</v>
      </c>
      <c r="AQ638">
        <v>159</v>
      </c>
      <c r="AR638">
        <v>2022</v>
      </c>
      <c r="AS638" s="72">
        <v>44562</v>
      </c>
      <c r="AT638" s="72">
        <v>44720</v>
      </c>
      <c r="AU638">
        <v>6</v>
      </c>
    </row>
    <row r="639" spans="1:47">
      <c r="A639" t="s">
        <v>4173</v>
      </c>
      <c r="B639">
        <v>2</v>
      </c>
      <c r="C639" s="72">
        <v>44768</v>
      </c>
      <c r="D639">
        <v>31</v>
      </c>
      <c r="E639" s="173">
        <v>0.67499999999999993</v>
      </c>
      <c r="F639" t="s">
        <v>109</v>
      </c>
      <c r="G639" t="s">
        <v>27</v>
      </c>
      <c r="H639" t="s">
        <v>209</v>
      </c>
      <c r="I639" t="s">
        <v>87</v>
      </c>
      <c r="J639" t="s">
        <v>117</v>
      </c>
      <c r="K639" t="s">
        <v>4081</v>
      </c>
      <c r="L639" t="s">
        <v>108</v>
      </c>
      <c r="M639" t="s">
        <v>1029</v>
      </c>
      <c r="N639">
        <v>967555800</v>
      </c>
      <c r="O639" t="s">
        <v>99</v>
      </c>
      <c r="P639" s="154">
        <v>13001756</v>
      </c>
      <c r="Q639" t="s">
        <v>80</v>
      </c>
      <c r="R639" t="s">
        <v>589</v>
      </c>
      <c r="S639" t="s">
        <v>4174</v>
      </c>
      <c r="T639" t="s">
        <v>4175</v>
      </c>
      <c r="U639" t="s">
        <v>4176</v>
      </c>
      <c r="V639" t="s">
        <v>4177</v>
      </c>
      <c r="W639" t="s">
        <v>101</v>
      </c>
      <c r="X639" t="s">
        <v>156</v>
      </c>
      <c r="Y639" s="229">
        <v>3380</v>
      </c>
      <c r="Z639" s="176">
        <v>0</v>
      </c>
      <c r="AA639">
        <v>206</v>
      </c>
      <c r="AB639" t="s">
        <v>4051</v>
      </c>
      <c r="AC639" t="s">
        <v>1349</v>
      </c>
      <c r="AD639" s="239"/>
      <c r="AE639" s="244"/>
      <c r="AF639" s="180"/>
      <c r="AG639" s="180"/>
      <c r="AH639" s="180"/>
      <c r="AI639" s="180"/>
      <c r="AJ639" s="180"/>
      <c r="AK639" s="180"/>
      <c r="AL639">
        <v>7</v>
      </c>
      <c r="AM639">
        <v>2022</v>
      </c>
      <c r="AN639" s="180"/>
      <c r="AP639" t="str">
        <f>IF(BD_Bloqueados[[#This Row],[Analista ]]&lt;&gt;"Ana C",MID(BD_Bloqueados[[#This Row],[ID]],3,5),MID(BD_Bloqueados[[#This Row],[ID]],4,5))</f>
        <v>20722</v>
      </c>
      <c r="AQ639">
        <v>207</v>
      </c>
      <c r="AR639">
        <v>2022</v>
      </c>
      <c r="AS639" s="72">
        <v>44562</v>
      </c>
      <c r="AT639" s="72">
        <v>44768</v>
      </c>
      <c r="AU639">
        <v>7</v>
      </c>
    </row>
    <row r="640" spans="1:47" ht="15" thickBot="1">
      <c r="A640" t="s">
        <v>4178</v>
      </c>
      <c r="B640">
        <v>2</v>
      </c>
      <c r="C640" s="72">
        <v>44767</v>
      </c>
      <c r="D640">
        <v>31</v>
      </c>
      <c r="E640" s="173">
        <v>0.44444444444444442</v>
      </c>
      <c r="F640" t="s">
        <v>78</v>
      </c>
      <c r="G640" t="s">
        <v>28</v>
      </c>
      <c r="H640" t="s">
        <v>81</v>
      </c>
      <c r="I640" t="s">
        <v>248</v>
      </c>
      <c r="J640" t="s">
        <v>117</v>
      </c>
      <c r="K640" t="s">
        <v>1569</v>
      </c>
      <c r="L640" t="s">
        <v>77</v>
      </c>
      <c r="M640" t="s">
        <v>575</v>
      </c>
      <c r="N640">
        <v>76618520</v>
      </c>
      <c r="O640" t="s">
        <v>466</v>
      </c>
      <c r="P640" s="154">
        <v>10000132</v>
      </c>
      <c r="Q640" t="s">
        <v>206</v>
      </c>
      <c r="R640" t="s">
        <v>110</v>
      </c>
      <c r="S640" t="s">
        <v>4179</v>
      </c>
      <c r="T640" t="s">
        <v>2518</v>
      </c>
      <c r="U640" t="s">
        <v>4180</v>
      </c>
      <c r="W640" t="s">
        <v>101</v>
      </c>
      <c r="X640" t="s">
        <v>129</v>
      </c>
      <c r="Y640" s="229">
        <v>25</v>
      </c>
      <c r="Z640" s="176">
        <v>58904.999999999993</v>
      </c>
      <c r="AA640" s="135">
        <v>291103</v>
      </c>
      <c r="AB640" s="135" t="s">
        <v>3980</v>
      </c>
      <c r="AC640" s="135" t="s">
        <v>1535</v>
      </c>
      <c r="AD640" s="240"/>
      <c r="AE640" s="245"/>
      <c r="AF640" s="180"/>
      <c r="AG640" s="180"/>
      <c r="AH640" s="180"/>
      <c r="AI640" s="180"/>
      <c r="AJ640" s="180"/>
      <c r="AK640" s="180"/>
      <c r="AL640">
        <v>7</v>
      </c>
      <c r="AM640">
        <v>2022</v>
      </c>
      <c r="AN640" s="180"/>
      <c r="AP640" t="str">
        <f>IF(BD_Bloqueados[[#This Row],[Analista ]]&lt;&gt;"Ana C",MID(BD_Bloqueados[[#This Row],[ID]],3,5),MID(BD_Bloqueados[[#This Row],[ID]],4,5))</f>
        <v>20622</v>
      </c>
      <c r="AQ640">
        <v>206</v>
      </c>
      <c r="AR640">
        <v>2022</v>
      </c>
      <c r="AS640" s="72">
        <v>44562</v>
      </c>
      <c r="AT640" s="72">
        <v>44767</v>
      </c>
      <c r="AU640">
        <v>7</v>
      </c>
    </row>
    <row r="641" spans="1:47">
      <c r="A641" t="s">
        <v>4181</v>
      </c>
      <c r="B641">
        <v>2</v>
      </c>
      <c r="C641" s="72">
        <v>44763</v>
      </c>
      <c r="D641">
        <v>30</v>
      </c>
      <c r="E641" s="173">
        <v>0.875</v>
      </c>
      <c r="F641" t="s">
        <v>136</v>
      </c>
      <c r="G641" t="s">
        <v>634</v>
      </c>
      <c r="H641" t="s">
        <v>713</v>
      </c>
      <c r="I641" t="s">
        <v>143</v>
      </c>
      <c r="J641" t="s">
        <v>268</v>
      </c>
      <c r="K641" t="s">
        <v>4182</v>
      </c>
      <c r="L641" t="s">
        <v>77</v>
      </c>
      <c r="M641" t="s">
        <v>650</v>
      </c>
      <c r="N641">
        <v>80186300</v>
      </c>
      <c r="O641" t="s">
        <v>521</v>
      </c>
      <c r="P641" s="154">
        <v>10000359</v>
      </c>
      <c r="Q641" t="s">
        <v>138</v>
      </c>
      <c r="R641" t="s">
        <v>79</v>
      </c>
      <c r="S641" t="s">
        <v>4183</v>
      </c>
      <c r="T641" t="s">
        <v>4184</v>
      </c>
      <c r="U641" t="s">
        <v>4185</v>
      </c>
      <c r="W641" t="s">
        <v>101</v>
      </c>
      <c r="X641" t="s">
        <v>102</v>
      </c>
      <c r="Y641" s="229">
        <v>646.20000000000005</v>
      </c>
      <c r="Z641" s="176">
        <v>0</v>
      </c>
      <c r="AA641" s="135" t="s">
        <v>4186</v>
      </c>
      <c r="AB641" t="s">
        <v>2932</v>
      </c>
      <c r="AC641" t="s">
        <v>39</v>
      </c>
      <c r="AD641" s="282"/>
      <c r="AE641" s="284"/>
      <c r="AF641" s="180"/>
      <c r="AG641" s="180"/>
      <c r="AH641" s="180"/>
      <c r="AI641" s="180"/>
      <c r="AJ641" s="180"/>
      <c r="AK641" s="180"/>
      <c r="AL641">
        <v>7</v>
      </c>
      <c r="AM641">
        <v>2022</v>
      </c>
      <c r="AN641" s="180"/>
      <c r="AP641" t="str">
        <f>IF(BD_Bloqueados[[#This Row],[Analista ]]&lt;&gt;"Ana C",MID(BD_Bloqueados[[#This Row],[ID]],3,5),MID(BD_Bloqueados[[#This Row],[ID]],4,5))</f>
        <v>20222</v>
      </c>
      <c r="AQ641">
        <v>202</v>
      </c>
      <c r="AR641">
        <v>2022</v>
      </c>
      <c r="AS641" s="72">
        <v>44562</v>
      </c>
      <c r="AT641" s="72">
        <v>44763</v>
      </c>
      <c r="AU641">
        <v>7</v>
      </c>
    </row>
    <row r="642" spans="1:47" ht="15" thickBot="1">
      <c r="A642" s="153" t="s">
        <v>4187</v>
      </c>
      <c r="B642" s="153">
        <v>2</v>
      </c>
      <c r="C642" s="72">
        <v>44763</v>
      </c>
      <c r="D642" s="153">
        <v>30</v>
      </c>
      <c r="E642" s="174">
        <v>0.35416666666666669</v>
      </c>
      <c r="F642" s="153" t="s">
        <v>78</v>
      </c>
      <c r="G642" s="153" t="s">
        <v>634</v>
      </c>
      <c r="H642" s="153" t="s">
        <v>713</v>
      </c>
      <c r="I642" s="153" t="s">
        <v>116</v>
      </c>
      <c r="J642" s="153" t="s">
        <v>268</v>
      </c>
      <c r="K642" s="153" t="s">
        <v>4188</v>
      </c>
      <c r="L642" s="153" t="s">
        <v>77</v>
      </c>
      <c r="M642" s="153" t="s">
        <v>705</v>
      </c>
      <c r="N642" s="153">
        <v>76057769</v>
      </c>
      <c r="O642" s="153" t="s">
        <v>469</v>
      </c>
      <c r="P642" s="175">
        <v>10003478</v>
      </c>
      <c r="Q642" s="153" t="s">
        <v>138</v>
      </c>
      <c r="R642" s="153" t="s">
        <v>110</v>
      </c>
      <c r="S642" s="153" t="s">
        <v>4189</v>
      </c>
      <c r="T642" s="153" t="s">
        <v>4190</v>
      </c>
      <c r="U642" s="153" t="s">
        <v>4191</v>
      </c>
      <c r="V642" s="153" t="s">
        <v>4192</v>
      </c>
      <c r="W642" s="153" t="s">
        <v>101</v>
      </c>
      <c r="X642" s="153" t="s">
        <v>1518</v>
      </c>
      <c r="Y642" s="235">
        <v>344</v>
      </c>
      <c r="Z642" s="177">
        <v>0</v>
      </c>
      <c r="AA642" s="238">
        <v>4192722</v>
      </c>
      <c r="AB642" s="238" t="s">
        <v>2215</v>
      </c>
      <c r="AC642" s="238" t="s">
        <v>39</v>
      </c>
      <c r="AD642" s="241"/>
      <c r="AE642" s="244"/>
      <c r="AF642" s="180"/>
      <c r="AG642" s="180"/>
      <c r="AH642" s="180"/>
      <c r="AI642" s="180"/>
      <c r="AJ642" s="180"/>
      <c r="AK642" s="180"/>
      <c r="AL642">
        <v>7</v>
      </c>
      <c r="AM642">
        <v>2022</v>
      </c>
      <c r="AN642" s="180"/>
      <c r="AP642" t="str">
        <f>IF(BD_Bloqueados[[#This Row],[Analista ]]&lt;&gt;"Ana C",MID(BD_Bloqueados[[#This Row],[ID]],3,5),MID(BD_Bloqueados[[#This Row],[ID]],4,5))</f>
        <v>20222</v>
      </c>
      <c r="AQ642">
        <v>202</v>
      </c>
      <c r="AR642">
        <v>2022</v>
      </c>
      <c r="AS642" s="72">
        <v>44562</v>
      </c>
      <c r="AT642" s="72">
        <v>44763</v>
      </c>
      <c r="AU642">
        <v>7</v>
      </c>
    </row>
    <row r="643" spans="1:47">
      <c r="A643" t="s">
        <v>4193</v>
      </c>
      <c r="B643">
        <v>2</v>
      </c>
      <c r="C643" s="72">
        <v>44763</v>
      </c>
      <c r="D643">
        <v>30</v>
      </c>
      <c r="E643" s="173">
        <v>0.35416666666666669</v>
      </c>
      <c r="F643" t="s">
        <v>78</v>
      </c>
      <c r="G643" t="s">
        <v>28</v>
      </c>
      <c r="H643" t="s">
        <v>165</v>
      </c>
      <c r="I643" t="s">
        <v>116</v>
      </c>
      <c r="J643" t="s">
        <v>117</v>
      </c>
      <c r="K643" t="s">
        <v>4194</v>
      </c>
      <c r="L643" t="s">
        <v>108</v>
      </c>
      <c r="M643" t="s">
        <v>1029</v>
      </c>
      <c r="N643">
        <v>967555800</v>
      </c>
      <c r="O643" t="s">
        <v>351</v>
      </c>
      <c r="P643" s="154">
        <v>12001365</v>
      </c>
      <c r="Q643" t="s">
        <v>138</v>
      </c>
      <c r="R643" t="s">
        <v>110</v>
      </c>
      <c r="S643" t="s">
        <v>4195</v>
      </c>
      <c r="T643" t="s">
        <v>4196</v>
      </c>
      <c r="U643" t="s">
        <v>3209</v>
      </c>
      <c r="V643" t="s">
        <v>4197</v>
      </c>
      <c r="W643" t="s">
        <v>101</v>
      </c>
      <c r="X643" t="s">
        <v>129</v>
      </c>
      <c r="Y643" s="229">
        <f>11100*0.035</f>
        <v>388.50000000000006</v>
      </c>
      <c r="Z643" s="176">
        <v>0</v>
      </c>
      <c r="AA643" s="135">
        <v>202</v>
      </c>
      <c r="AB643" s="135" t="s">
        <v>2215</v>
      </c>
      <c r="AC643" s="135" t="s">
        <v>39</v>
      </c>
      <c r="AD643" s="240"/>
      <c r="AE643" s="245"/>
      <c r="AF643" s="180"/>
      <c r="AG643" s="180"/>
      <c r="AH643" s="180"/>
      <c r="AI643" s="180"/>
      <c r="AJ643" s="180"/>
      <c r="AK643" s="180"/>
      <c r="AL643">
        <v>7</v>
      </c>
      <c r="AM643">
        <v>2022</v>
      </c>
      <c r="AN643" s="180"/>
      <c r="AP643" t="str">
        <f>IF(BD_Bloqueados[[#This Row],[Analista ]]&lt;&gt;"Ana C",MID(BD_Bloqueados[[#This Row],[ID]],3,5),MID(BD_Bloqueados[[#This Row],[ID]],4,5))</f>
        <v>20222</v>
      </c>
      <c r="AQ643">
        <v>202</v>
      </c>
      <c r="AR643">
        <v>2022</v>
      </c>
      <c r="AS643" s="72">
        <v>44562</v>
      </c>
      <c r="AT643" s="72">
        <v>44763</v>
      </c>
      <c r="AU643">
        <v>7</v>
      </c>
    </row>
    <row r="644" spans="1:47">
      <c r="A644" t="s">
        <v>4198</v>
      </c>
      <c r="B644">
        <v>2</v>
      </c>
      <c r="C644" s="72">
        <v>44763</v>
      </c>
      <c r="D644">
        <v>30</v>
      </c>
      <c r="E644" s="173">
        <v>0.77777777777777779</v>
      </c>
      <c r="F644" t="s">
        <v>109</v>
      </c>
      <c r="G644" t="s">
        <v>27</v>
      </c>
      <c r="H644" t="s">
        <v>189</v>
      </c>
      <c r="I644" t="s">
        <v>87</v>
      </c>
      <c r="J644" t="s">
        <v>117</v>
      </c>
      <c r="K644" t="s">
        <v>4199</v>
      </c>
      <c r="L644" t="s">
        <v>108</v>
      </c>
      <c r="M644" t="s">
        <v>1029</v>
      </c>
      <c r="N644">
        <v>967555800</v>
      </c>
      <c r="O644" t="s">
        <v>217</v>
      </c>
      <c r="P644" s="154">
        <v>13030104</v>
      </c>
      <c r="Q644" t="s">
        <v>138</v>
      </c>
      <c r="R644" t="s">
        <v>589</v>
      </c>
      <c r="S644" t="s">
        <v>4200</v>
      </c>
      <c r="T644" t="s">
        <v>4201</v>
      </c>
      <c r="U644" t="s">
        <v>4202</v>
      </c>
      <c r="V644" t="s">
        <v>4203</v>
      </c>
      <c r="W644" t="s">
        <v>101</v>
      </c>
      <c r="X644" t="s">
        <v>156</v>
      </c>
      <c r="Y644" s="229">
        <v>157.5</v>
      </c>
      <c r="Z644" s="176">
        <v>98232.065217391311</v>
      </c>
      <c r="AA644" s="135">
        <v>202</v>
      </c>
      <c r="AB644" t="s">
        <v>1290</v>
      </c>
      <c r="AC644" s="135" t="s">
        <v>1252</v>
      </c>
      <c r="AD644" s="240"/>
      <c r="AE644" s="245"/>
      <c r="AF644" s="180"/>
      <c r="AG644" s="180"/>
      <c r="AH644" s="180"/>
      <c r="AI644" s="180"/>
      <c r="AJ644" s="180"/>
      <c r="AK644" s="180"/>
      <c r="AL644">
        <v>7</v>
      </c>
      <c r="AM644">
        <v>2022</v>
      </c>
      <c r="AN644" s="180" t="s">
        <v>1611</v>
      </c>
      <c r="AP644" t="str">
        <f>IF(BD_Bloqueados[[#This Row],[Analista ]]&lt;&gt;"Ana C",MID(BD_Bloqueados[[#This Row],[ID]],3,5),MID(BD_Bloqueados[[#This Row],[ID]],4,5))</f>
        <v>20222</v>
      </c>
      <c r="AQ644">
        <v>202</v>
      </c>
      <c r="AR644">
        <v>2022</v>
      </c>
      <c r="AS644" s="72">
        <v>44562</v>
      </c>
      <c r="AT644" s="72">
        <v>44763</v>
      </c>
      <c r="AU644">
        <v>7</v>
      </c>
    </row>
    <row r="645" spans="1:47">
      <c r="A645" t="s">
        <v>4269</v>
      </c>
      <c r="B645">
        <v>2</v>
      </c>
      <c r="C645" s="72">
        <v>44763</v>
      </c>
      <c r="D645">
        <v>30</v>
      </c>
      <c r="E645" s="173">
        <v>0.35416666666666669</v>
      </c>
      <c r="F645" t="s">
        <v>78</v>
      </c>
      <c r="G645" t="s">
        <v>28</v>
      </c>
      <c r="H645" t="s">
        <v>165</v>
      </c>
      <c r="I645" t="s">
        <v>116</v>
      </c>
      <c r="J645" t="s">
        <v>117</v>
      </c>
      <c r="K645" t="s">
        <v>4194</v>
      </c>
      <c r="L645" t="s">
        <v>108</v>
      </c>
      <c r="M645" t="s">
        <v>1029</v>
      </c>
      <c r="N645">
        <v>967555800</v>
      </c>
      <c r="O645" t="s">
        <v>263</v>
      </c>
      <c r="P645" s="154">
        <v>13030282</v>
      </c>
      <c r="Q645" t="s">
        <v>138</v>
      </c>
      <c r="R645" t="s">
        <v>110</v>
      </c>
      <c r="S645" t="s">
        <v>4270</v>
      </c>
      <c r="T645" t="s">
        <v>4271</v>
      </c>
      <c r="U645" t="s">
        <v>1178</v>
      </c>
      <c r="V645" t="s">
        <v>4272</v>
      </c>
      <c r="W645" t="s">
        <v>101</v>
      </c>
      <c r="X645" t="s">
        <v>129</v>
      </c>
      <c r="Y645" s="229">
        <v>735</v>
      </c>
      <c r="Z645" s="176">
        <v>2428967.1000000006</v>
      </c>
      <c r="AA645" s="135">
        <v>202</v>
      </c>
      <c r="AB645" s="135" t="s">
        <v>2215</v>
      </c>
      <c r="AC645" s="135" t="s">
        <v>39</v>
      </c>
      <c r="AD645" s="241">
        <v>0.35</v>
      </c>
      <c r="AE645" s="244" t="s">
        <v>1292</v>
      </c>
      <c r="AF645" s="180"/>
      <c r="AG645" s="180">
        <v>107.086</v>
      </c>
      <c r="AH645" s="180">
        <v>931.1</v>
      </c>
      <c r="AI645" s="180">
        <v>107.919</v>
      </c>
      <c r="AJ645" s="180">
        <v>10.545999999999999</v>
      </c>
      <c r="AK645" s="180"/>
      <c r="AL645">
        <v>7</v>
      </c>
      <c r="AM645">
        <v>2022</v>
      </c>
      <c r="AN645" s="180"/>
      <c r="AP645" t="str">
        <f>IF(BD_Bloqueados[[#This Row],[Analista ]]&lt;&gt;"Ana C",MID(BD_Bloqueados[[#This Row],[ID]],3,5),MID(BD_Bloqueados[[#This Row],[ID]],4,5))</f>
        <v>20222</v>
      </c>
      <c r="AQ645">
        <v>280</v>
      </c>
      <c r="AR645">
        <v>2022</v>
      </c>
      <c r="AS645" s="72">
        <v>44562</v>
      </c>
      <c r="AT645" s="72">
        <v>44841</v>
      </c>
      <c r="AU645">
        <v>10</v>
      </c>
    </row>
    <row r="646" spans="1:47">
      <c r="A646" t="s">
        <v>4162</v>
      </c>
      <c r="B646">
        <v>2</v>
      </c>
      <c r="C646" s="72">
        <v>44780</v>
      </c>
      <c r="D646">
        <v>28</v>
      </c>
      <c r="E646" s="173">
        <v>0.73611111111111116</v>
      </c>
      <c r="F646" t="s">
        <v>109</v>
      </c>
      <c r="G646" t="s">
        <v>30</v>
      </c>
      <c r="H646" t="s">
        <v>30</v>
      </c>
      <c r="I646" t="s">
        <v>259</v>
      </c>
      <c r="J646" t="s">
        <v>268</v>
      </c>
      <c r="K646" t="s">
        <v>4163</v>
      </c>
      <c r="L646" t="s">
        <v>77</v>
      </c>
      <c r="M646" t="s">
        <v>705</v>
      </c>
      <c r="N646">
        <v>76057769</v>
      </c>
      <c r="O646" t="s">
        <v>469</v>
      </c>
      <c r="P646" s="154">
        <v>10003478</v>
      </c>
      <c r="Q646" t="s">
        <v>138</v>
      </c>
      <c r="R646" t="s">
        <v>79</v>
      </c>
      <c r="S646" t="s">
        <v>4164</v>
      </c>
      <c r="T646" t="s">
        <v>4165</v>
      </c>
      <c r="U646" t="s">
        <v>4166</v>
      </c>
      <c r="V646" t="s">
        <v>4167</v>
      </c>
      <c r="W646" t="s">
        <v>101</v>
      </c>
      <c r="X646" t="s">
        <v>102</v>
      </c>
      <c r="Y646" s="229">
        <v>193</v>
      </c>
      <c r="Z646" s="176">
        <v>0</v>
      </c>
      <c r="AA646" s="135">
        <v>4182622</v>
      </c>
      <c r="AB646" t="s">
        <v>2932</v>
      </c>
      <c r="AC646" t="s">
        <v>39</v>
      </c>
      <c r="AD646" s="45"/>
      <c r="AE646" s="245"/>
      <c r="AF646" s="180"/>
      <c r="AG646" s="180"/>
      <c r="AH646" s="180"/>
      <c r="AI646" s="180"/>
      <c r="AJ646" s="180"/>
      <c r="AK646" s="180"/>
      <c r="AL646">
        <v>7</v>
      </c>
      <c r="AM646">
        <v>2022</v>
      </c>
      <c r="AN646" s="180"/>
      <c r="AP646" t="str">
        <f>IF(BD_Bloqueados[[#This Row],[Analista ]]&lt;&gt;"Ana C",MID(BD_Bloqueados[[#This Row],[ID]],3,5),MID(BD_Bloqueados[[#This Row],[ID]],4,5))</f>
        <v>18922</v>
      </c>
      <c r="AQ646">
        <v>280</v>
      </c>
      <c r="AR646">
        <v>2022</v>
      </c>
      <c r="AS646" s="72">
        <v>44562</v>
      </c>
      <c r="AT646" s="72">
        <v>44841</v>
      </c>
      <c r="AU646">
        <v>10</v>
      </c>
    </row>
    <row r="647" spans="1:47">
      <c r="A647" t="s">
        <v>4297</v>
      </c>
      <c r="B647">
        <v>2</v>
      </c>
      <c r="C647" s="72">
        <v>44658</v>
      </c>
      <c r="D647">
        <v>28</v>
      </c>
      <c r="E647" s="173">
        <v>0.16805555555555554</v>
      </c>
      <c r="F647" t="s">
        <v>136</v>
      </c>
      <c r="G647" t="s">
        <v>27</v>
      </c>
      <c r="H647" t="s">
        <v>140</v>
      </c>
      <c r="I647" t="s">
        <v>87</v>
      </c>
      <c r="J647" t="s">
        <v>117</v>
      </c>
      <c r="K647" t="s">
        <v>4298</v>
      </c>
      <c r="L647" t="s">
        <v>77</v>
      </c>
      <c r="M647" t="s">
        <v>706</v>
      </c>
      <c r="N647">
        <v>81145500</v>
      </c>
      <c r="O647" t="s">
        <v>897</v>
      </c>
      <c r="P647" s="154">
        <v>10004293</v>
      </c>
      <c r="Q647" t="s">
        <v>206</v>
      </c>
      <c r="R647" t="s">
        <v>579</v>
      </c>
      <c r="S647" t="s">
        <v>4299</v>
      </c>
      <c r="T647" t="s">
        <v>4300</v>
      </c>
      <c r="U647" t="s">
        <v>4301</v>
      </c>
      <c r="V647" t="s">
        <v>4302</v>
      </c>
      <c r="W647" t="s">
        <v>101</v>
      </c>
      <c r="X647" t="s">
        <v>1518</v>
      </c>
      <c r="Y647" s="229">
        <v>1024.28</v>
      </c>
      <c r="Z647" s="176">
        <v>0</v>
      </c>
      <c r="AA647" s="135" t="s">
        <v>4303</v>
      </c>
      <c r="AB647" t="s">
        <v>2727</v>
      </c>
      <c r="AC647" s="135" t="s">
        <v>39</v>
      </c>
      <c r="AD647" s="241"/>
      <c r="AE647" s="244"/>
      <c r="AF647" s="180"/>
      <c r="AG647" s="180"/>
      <c r="AH647" s="180"/>
      <c r="AI647" s="180"/>
      <c r="AJ647" s="180"/>
      <c r="AK647" s="180"/>
      <c r="AL647">
        <v>7</v>
      </c>
      <c r="AM647">
        <v>2022</v>
      </c>
      <c r="AN647" s="180"/>
      <c r="AP647" t="str">
        <f>IF(BD_Bloqueados[[#This Row],[Analista ]]&lt;&gt;"Ana C",MID(BD_Bloqueados[[#This Row],[ID]],3,5),MID(BD_Bloqueados[[#This Row],[ID]],4,5))</f>
        <v>18522</v>
      </c>
      <c r="AQ647">
        <v>280</v>
      </c>
      <c r="AR647">
        <v>2022</v>
      </c>
      <c r="AS647" s="72">
        <v>44562</v>
      </c>
      <c r="AT647" s="72">
        <v>44841</v>
      </c>
      <c r="AU647">
        <v>10</v>
      </c>
    </row>
    <row r="648" spans="1:47">
      <c r="A648" t="s">
        <v>4322</v>
      </c>
      <c r="B648">
        <v>2</v>
      </c>
      <c r="C648" s="72">
        <v>44568</v>
      </c>
      <c r="D648">
        <v>27</v>
      </c>
      <c r="E648" s="173">
        <v>0.51527777777777783</v>
      </c>
      <c r="F648" t="s">
        <v>78</v>
      </c>
      <c r="G648" t="s">
        <v>28</v>
      </c>
      <c r="H648" t="s">
        <v>210</v>
      </c>
      <c r="I648" t="s">
        <v>87</v>
      </c>
      <c r="J648" t="s">
        <v>117</v>
      </c>
      <c r="K648" t="s">
        <v>4323</v>
      </c>
      <c r="L648" t="s">
        <v>77</v>
      </c>
      <c r="M648" t="s">
        <v>650</v>
      </c>
      <c r="N648">
        <v>80186300</v>
      </c>
      <c r="O648" t="s">
        <v>521</v>
      </c>
      <c r="P648" s="154">
        <v>10000359</v>
      </c>
      <c r="Q648" t="s">
        <v>80</v>
      </c>
      <c r="R648" t="s">
        <v>608</v>
      </c>
      <c r="S648" t="s">
        <v>4324</v>
      </c>
      <c r="T648" t="s">
        <v>4138</v>
      </c>
      <c r="U648" t="s">
        <v>4325</v>
      </c>
      <c r="V648" t="s">
        <v>4326</v>
      </c>
      <c r="W648" t="s">
        <v>101</v>
      </c>
      <c r="X648" t="s">
        <v>1518</v>
      </c>
      <c r="Y648" s="229">
        <v>405.9</v>
      </c>
      <c r="Z648" s="176">
        <v>0</v>
      </c>
      <c r="AA648" s="135">
        <v>226204</v>
      </c>
      <c r="AB648" s="135" t="s">
        <v>2727</v>
      </c>
      <c r="AC648" s="135" t="s">
        <v>39</v>
      </c>
      <c r="AD648" s="240"/>
      <c r="AE648" s="245"/>
      <c r="AF648" s="180"/>
      <c r="AG648" s="180"/>
      <c r="AH648" s="180"/>
      <c r="AI648" s="180"/>
      <c r="AJ648" s="180"/>
      <c r="AK648" s="180"/>
      <c r="AL648">
        <v>7</v>
      </c>
      <c r="AM648">
        <v>2022</v>
      </c>
      <c r="AN648" s="180"/>
      <c r="AP648" t="str">
        <f>IF(BD_Bloqueados[[#This Row],[Analista ]]&lt;&gt;"Ana C",MID(BD_Bloqueados[[#This Row],[ID]],3,5),MID(BD_Bloqueados[[#This Row],[ID]],4,5))</f>
        <v>18222</v>
      </c>
      <c r="AQ648">
        <v>127</v>
      </c>
      <c r="AR648">
        <v>2022</v>
      </c>
      <c r="AS648" s="72">
        <v>44562</v>
      </c>
      <c r="AT648" s="72">
        <v>44688</v>
      </c>
      <c r="AU648">
        <v>5</v>
      </c>
    </row>
    <row r="649" spans="1:47">
      <c r="A649" t="s">
        <v>4327</v>
      </c>
      <c r="B649">
        <v>2</v>
      </c>
      <c r="C649" s="72">
        <v>44568</v>
      </c>
      <c r="D649">
        <v>27</v>
      </c>
      <c r="E649" s="173">
        <v>0.5</v>
      </c>
      <c r="F649" t="s">
        <v>78</v>
      </c>
      <c r="G649" t="s">
        <v>23</v>
      </c>
      <c r="H649" t="s">
        <v>207</v>
      </c>
      <c r="I649" t="s">
        <v>609</v>
      </c>
      <c r="J649" t="s">
        <v>144</v>
      </c>
      <c r="K649" t="s">
        <v>4328</v>
      </c>
      <c r="L649" t="s">
        <v>108</v>
      </c>
      <c r="M649" t="s">
        <v>1029</v>
      </c>
      <c r="N649">
        <v>967555800</v>
      </c>
      <c r="O649" t="s">
        <v>265</v>
      </c>
      <c r="P649" s="154">
        <v>13030402</v>
      </c>
      <c r="Q649" t="s">
        <v>80</v>
      </c>
      <c r="R649" t="s">
        <v>589</v>
      </c>
      <c r="S649" t="s">
        <v>4329</v>
      </c>
      <c r="T649" t="s">
        <v>4330</v>
      </c>
      <c r="U649" t="s">
        <v>4331</v>
      </c>
      <c r="V649" t="s">
        <v>4332</v>
      </c>
      <c r="W649" t="s">
        <v>101</v>
      </c>
      <c r="X649" t="s">
        <v>156</v>
      </c>
      <c r="Y649" s="229">
        <v>218</v>
      </c>
      <c r="Z649" s="176">
        <v>4970.3999999999996</v>
      </c>
      <c r="AA649" s="135">
        <v>181</v>
      </c>
      <c r="AB649" s="135" t="s">
        <v>4051</v>
      </c>
      <c r="AC649" t="s">
        <v>1349</v>
      </c>
      <c r="AD649" s="241"/>
      <c r="AE649" s="244"/>
      <c r="AF649" s="180"/>
      <c r="AG649" s="180"/>
      <c r="AH649" s="180"/>
      <c r="AI649" s="180"/>
      <c r="AJ649" s="180"/>
      <c r="AK649" s="180"/>
      <c r="AL649">
        <v>7</v>
      </c>
      <c r="AM649">
        <v>2022</v>
      </c>
      <c r="AN649" s="180"/>
      <c r="AP649" t="str">
        <f>IF(BD_Bloqueados[[#This Row],[Analista ]]&lt;&gt;"Ana C",MID(BD_Bloqueados[[#This Row],[ID]],3,5),MID(BD_Bloqueados[[#This Row],[ID]],4,5))</f>
        <v>18222</v>
      </c>
      <c r="AQ649">
        <v>180</v>
      </c>
      <c r="AR649">
        <v>2022</v>
      </c>
      <c r="AS649" s="72">
        <v>44562</v>
      </c>
      <c r="AT649" s="72">
        <v>44741</v>
      </c>
      <c r="AU649">
        <v>6</v>
      </c>
    </row>
    <row r="650" spans="1:47">
      <c r="A650" t="s">
        <v>4223</v>
      </c>
      <c r="B650">
        <v>2</v>
      </c>
      <c r="C650" s="72">
        <v>44741</v>
      </c>
      <c r="D650">
        <v>27</v>
      </c>
      <c r="E650" s="173">
        <v>0.4375</v>
      </c>
      <c r="F650" t="s">
        <v>78</v>
      </c>
      <c r="G650" t="s">
        <v>27</v>
      </c>
      <c r="H650" t="s">
        <v>209</v>
      </c>
      <c r="I650" t="s">
        <v>87</v>
      </c>
      <c r="J650" t="s">
        <v>117</v>
      </c>
      <c r="K650" t="s">
        <v>4224</v>
      </c>
      <c r="L650" t="s">
        <v>108</v>
      </c>
      <c r="M650" t="s">
        <v>1029</v>
      </c>
      <c r="N650">
        <v>967555800</v>
      </c>
      <c r="O650" t="s">
        <v>99</v>
      </c>
      <c r="P650" s="154">
        <v>13001756</v>
      </c>
      <c r="Q650" t="s">
        <v>206</v>
      </c>
      <c r="R650" t="s">
        <v>589</v>
      </c>
      <c r="S650" t="s">
        <v>4225</v>
      </c>
      <c r="T650" t="s">
        <v>4226</v>
      </c>
      <c r="U650" t="s">
        <v>4227</v>
      </c>
      <c r="V650" t="s">
        <v>4228</v>
      </c>
      <c r="W650" t="s">
        <v>101</v>
      </c>
      <c r="X650" t="s">
        <v>156</v>
      </c>
      <c r="Y650" s="229">
        <v>2238</v>
      </c>
      <c r="Z650" s="176">
        <v>1730197.8</v>
      </c>
      <c r="AA650">
        <v>180</v>
      </c>
      <c r="AB650" t="s">
        <v>1714</v>
      </c>
      <c r="AC650" t="s">
        <v>1349</v>
      </c>
      <c r="AD650" s="45"/>
      <c r="AE650" s="245"/>
      <c r="AF650" s="180"/>
      <c r="AG650" s="180"/>
      <c r="AH650" s="180"/>
      <c r="AI650" s="180"/>
      <c r="AJ650" s="180"/>
      <c r="AK650" s="180"/>
      <c r="AL650">
        <v>6</v>
      </c>
      <c r="AM650">
        <v>2022</v>
      </c>
      <c r="AN650" s="180"/>
      <c r="AP650" t="str">
        <f>IF(BD_Bloqueados[[#This Row],[Analista ]]&lt;&gt;"Ana C",MID(BD_Bloqueados[[#This Row],[ID]],3,5),MID(BD_Bloqueados[[#This Row],[ID]],4,5))</f>
        <v>18022</v>
      </c>
      <c r="AQ650">
        <v>167</v>
      </c>
      <c r="AR650">
        <v>2022</v>
      </c>
      <c r="AS650" s="72">
        <v>44562</v>
      </c>
      <c r="AT650" s="72">
        <v>44728</v>
      </c>
      <c r="AU650">
        <v>6</v>
      </c>
    </row>
    <row r="651" spans="1:47" ht="15" thickBot="1">
      <c r="A651" t="s">
        <v>4229</v>
      </c>
      <c r="B651">
        <v>2</v>
      </c>
      <c r="C651" s="72">
        <v>44728</v>
      </c>
      <c r="D651">
        <v>25</v>
      </c>
      <c r="E651" s="173">
        <v>0.41666666666666669</v>
      </c>
      <c r="F651" t="s">
        <v>78</v>
      </c>
      <c r="G651" t="s">
        <v>27</v>
      </c>
      <c r="H651" t="s">
        <v>209</v>
      </c>
      <c r="I651" t="s">
        <v>143</v>
      </c>
      <c r="J651" t="s">
        <v>117</v>
      </c>
      <c r="K651" t="s">
        <v>4230</v>
      </c>
      <c r="L651" t="s">
        <v>77</v>
      </c>
      <c r="M651" t="s">
        <v>708</v>
      </c>
      <c r="N651">
        <v>76188974</v>
      </c>
      <c r="O651" t="s">
        <v>541</v>
      </c>
      <c r="P651" s="154">
        <v>11001858</v>
      </c>
      <c r="Q651" t="s">
        <v>206</v>
      </c>
      <c r="R651" t="s">
        <v>579</v>
      </c>
      <c r="S651" t="s">
        <v>4231</v>
      </c>
      <c r="T651" t="s">
        <v>3376</v>
      </c>
      <c r="U651" t="s">
        <v>4232</v>
      </c>
      <c r="V651" t="s">
        <v>4233</v>
      </c>
      <c r="W651" t="s">
        <v>101</v>
      </c>
      <c r="X651" t="s">
        <v>1518</v>
      </c>
      <c r="Y651" s="229">
        <v>0</v>
      </c>
      <c r="Z651" s="176">
        <v>0</v>
      </c>
      <c r="AA651" t="s">
        <v>4234</v>
      </c>
      <c r="AB651" t="s">
        <v>2727</v>
      </c>
      <c r="AC651" t="s">
        <v>39</v>
      </c>
      <c r="AD651" s="45"/>
      <c r="AE651" s="245"/>
      <c r="AF651" s="180"/>
      <c r="AG651" s="180"/>
      <c r="AH651" s="180"/>
      <c r="AI651" s="180"/>
      <c r="AJ651" s="180"/>
      <c r="AK651" s="180"/>
      <c r="AL651">
        <v>6</v>
      </c>
      <c r="AM651">
        <v>2022</v>
      </c>
      <c r="AN651" s="180"/>
      <c r="AP651" t="str">
        <f>IF(BD_Bloqueados[[#This Row],[Analista ]]&lt;&gt;"Ana C",MID(BD_Bloqueados[[#This Row],[ID]],3,5),MID(BD_Bloqueados[[#This Row],[ID]],4,5))</f>
        <v>16722</v>
      </c>
      <c r="AQ651">
        <v>167</v>
      </c>
      <c r="AR651">
        <v>2022</v>
      </c>
      <c r="AS651" s="72">
        <v>44562</v>
      </c>
      <c r="AT651" s="72">
        <v>44728</v>
      </c>
      <c r="AU651">
        <v>6</v>
      </c>
    </row>
    <row r="652" spans="1:47">
      <c r="A652" t="s">
        <v>4235</v>
      </c>
      <c r="B652">
        <v>2</v>
      </c>
      <c r="C652" s="72">
        <v>44728</v>
      </c>
      <c r="D652">
        <v>25</v>
      </c>
      <c r="E652" s="173">
        <v>0.41666666666666669</v>
      </c>
      <c r="F652" t="s">
        <v>78</v>
      </c>
      <c r="G652" t="s">
        <v>27</v>
      </c>
      <c r="H652" t="s">
        <v>209</v>
      </c>
      <c r="I652" t="s">
        <v>143</v>
      </c>
      <c r="J652" t="s">
        <v>117</v>
      </c>
      <c r="K652" t="s">
        <v>4230</v>
      </c>
      <c r="L652" t="s">
        <v>108</v>
      </c>
      <c r="M652" t="s">
        <v>1029</v>
      </c>
      <c r="N652">
        <v>967555800</v>
      </c>
      <c r="O652" t="s">
        <v>99</v>
      </c>
      <c r="P652" s="154">
        <v>13001756</v>
      </c>
      <c r="Q652" t="s">
        <v>206</v>
      </c>
      <c r="R652" t="s">
        <v>589</v>
      </c>
      <c r="S652" t="s">
        <v>4236</v>
      </c>
      <c r="T652" t="s">
        <v>4237</v>
      </c>
      <c r="U652" t="s">
        <v>4238</v>
      </c>
      <c r="V652" t="s">
        <v>4239</v>
      </c>
      <c r="W652" t="s">
        <v>101</v>
      </c>
      <c r="X652" t="s">
        <v>156</v>
      </c>
      <c r="Y652" s="229">
        <v>2268</v>
      </c>
      <c r="Z652" s="176">
        <v>1753390.8</v>
      </c>
      <c r="AA652">
        <v>167</v>
      </c>
      <c r="AB652" t="s">
        <v>1714</v>
      </c>
      <c r="AC652" t="s">
        <v>4240</v>
      </c>
      <c r="AD652" s="239"/>
      <c r="AE652" s="284"/>
      <c r="AF652" s="180"/>
      <c r="AG652" s="180"/>
      <c r="AH652" s="180"/>
      <c r="AI652" s="180"/>
      <c r="AJ652" s="180"/>
      <c r="AK652" s="180"/>
      <c r="AL652">
        <v>6</v>
      </c>
      <c r="AM652">
        <v>2022</v>
      </c>
      <c r="AN652" s="180"/>
      <c r="AP652" t="str">
        <f>IF(BD_Bloqueados[[#This Row],[Analista ]]&lt;&gt;"Ana C",MID(BD_Bloqueados[[#This Row],[ID]],3,5),MID(BD_Bloqueados[[#This Row],[ID]],4,5))</f>
        <v>16722</v>
      </c>
      <c r="AQ652">
        <v>164</v>
      </c>
      <c r="AR652">
        <v>2022</v>
      </c>
      <c r="AS652" s="72">
        <v>44562</v>
      </c>
      <c r="AT652" s="72">
        <v>44725</v>
      </c>
      <c r="AU652">
        <v>6</v>
      </c>
    </row>
    <row r="653" spans="1:47" ht="15" thickBot="1">
      <c r="A653" s="153" t="s">
        <v>1246</v>
      </c>
      <c r="B653" s="153">
        <v>2</v>
      </c>
      <c r="C653" s="72">
        <v>44725</v>
      </c>
      <c r="D653" s="153">
        <v>25</v>
      </c>
      <c r="E653" s="174">
        <v>0.73611111111111116</v>
      </c>
      <c r="F653" s="153" t="s">
        <v>109</v>
      </c>
      <c r="G653" s="153" t="s">
        <v>27</v>
      </c>
      <c r="H653" s="153" t="s">
        <v>209</v>
      </c>
      <c r="I653" s="153" t="s">
        <v>190</v>
      </c>
      <c r="J653" s="153" t="s">
        <v>117</v>
      </c>
      <c r="K653" s="153" t="s">
        <v>1247</v>
      </c>
      <c r="L653" s="153" t="s">
        <v>108</v>
      </c>
      <c r="M653" s="153" t="s">
        <v>1029</v>
      </c>
      <c r="N653" s="153">
        <v>967555800</v>
      </c>
      <c r="O653" s="153" t="s">
        <v>99</v>
      </c>
      <c r="P653" s="175">
        <v>13001756</v>
      </c>
      <c r="Q653" s="153" t="s">
        <v>138</v>
      </c>
      <c r="R653" s="153" t="s">
        <v>640</v>
      </c>
      <c r="S653" s="153" t="s">
        <v>1248</v>
      </c>
      <c r="T653" s="153" t="s">
        <v>1249</v>
      </c>
      <c r="U653" s="153" t="s">
        <v>1250</v>
      </c>
      <c r="V653" s="153" t="s">
        <v>1251</v>
      </c>
      <c r="W653" s="153" t="s">
        <v>101</v>
      </c>
      <c r="X653" s="153" t="s">
        <v>129</v>
      </c>
      <c r="Y653" s="235">
        <v>1920</v>
      </c>
      <c r="Z653" s="177">
        <v>1484352</v>
      </c>
      <c r="AA653" s="153">
        <v>162</v>
      </c>
      <c r="AB653" t="s">
        <v>640</v>
      </c>
      <c r="AC653" t="s">
        <v>1252</v>
      </c>
      <c r="AD653" s="239"/>
      <c r="AE653" s="244"/>
      <c r="AF653" s="180"/>
      <c r="AG653" s="180"/>
      <c r="AH653" s="180"/>
      <c r="AI653" s="180"/>
      <c r="AJ653" s="180"/>
      <c r="AK653" s="180"/>
      <c r="AL653">
        <v>6</v>
      </c>
      <c r="AM653">
        <v>2022</v>
      </c>
      <c r="AN653" s="180" t="s">
        <v>1253</v>
      </c>
      <c r="AP653" t="str">
        <f>IF(BD_Bloqueados[[#This Row],[Analista ]]&lt;&gt;"Ana C",MID(BD_Bloqueados[[#This Row],[ID]],3,5),MID(BD_Bloqueados[[#This Row],[ID]],4,5))</f>
        <v>16422</v>
      </c>
      <c r="AQ653">
        <v>218</v>
      </c>
      <c r="AR653">
        <v>2022</v>
      </c>
      <c r="AS653" s="72">
        <v>44562</v>
      </c>
      <c r="AT653" s="72">
        <v>44779</v>
      </c>
      <c r="AU653">
        <v>8</v>
      </c>
    </row>
    <row r="654" spans="1:47">
      <c r="A654" t="s">
        <v>4168</v>
      </c>
      <c r="B654">
        <v>2</v>
      </c>
      <c r="C654" s="72">
        <v>44779</v>
      </c>
      <c r="D654">
        <v>24</v>
      </c>
      <c r="E654" s="173">
        <v>0.77083333333333337</v>
      </c>
      <c r="F654" t="s">
        <v>109</v>
      </c>
      <c r="G654" t="s">
        <v>29</v>
      </c>
      <c r="H654" t="s">
        <v>166</v>
      </c>
      <c r="I654" t="s">
        <v>259</v>
      </c>
      <c r="J654" t="s">
        <v>117</v>
      </c>
      <c r="K654" t="s">
        <v>4147</v>
      </c>
      <c r="L654" t="s">
        <v>108</v>
      </c>
      <c r="M654" t="s">
        <v>1029</v>
      </c>
      <c r="N654">
        <v>967555800</v>
      </c>
      <c r="O654" t="s">
        <v>119</v>
      </c>
      <c r="P654" s="154">
        <v>12001437</v>
      </c>
      <c r="Q654" t="s">
        <v>206</v>
      </c>
      <c r="R654" t="s">
        <v>579</v>
      </c>
      <c r="S654" t="s">
        <v>4169</v>
      </c>
      <c r="T654" t="s">
        <v>4170</v>
      </c>
      <c r="U654" t="s">
        <v>4171</v>
      </c>
      <c r="V654" t="s">
        <v>4172</v>
      </c>
      <c r="W654" t="s">
        <v>101</v>
      </c>
      <c r="X654" t="s">
        <v>129</v>
      </c>
      <c r="Y654" s="229">
        <f>7800*48/1000</f>
        <v>374.4</v>
      </c>
      <c r="Z654" s="176">
        <v>29989.439999999995</v>
      </c>
      <c r="AA654">
        <v>159</v>
      </c>
      <c r="AB654" t="s">
        <v>3991</v>
      </c>
      <c r="AC654" t="s">
        <v>1252</v>
      </c>
      <c r="AD654" s="45"/>
      <c r="AE654" s="245"/>
      <c r="AF654" s="180"/>
      <c r="AG654" s="180"/>
      <c r="AH654" s="180"/>
      <c r="AI654" s="180"/>
      <c r="AJ654" s="180"/>
      <c r="AK654" s="180"/>
      <c r="AL654">
        <v>6</v>
      </c>
      <c r="AM654">
        <v>2022</v>
      </c>
      <c r="AN654" s="180" t="s">
        <v>2358</v>
      </c>
      <c r="AP654" t="str">
        <f>IF(BD_Bloqueados[[#This Row],[Analista ]]&lt;&gt;"Ana C",MID(BD_Bloqueados[[#This Row],[ID]],3,5),MID(BD_Bloqueados[[#This Row],[ID]],4,5))</f>
        <v>15922</v>
      </c>
      <c r="AQ654">
        <v>151</v>
      </c>
      <c r="AR654">
        <v>2022</v>
      </c>
      <c r="AS654" s="72">
        <v>44562</v>
      </c>
      <c r="AT654" s="72">
        <v>44712</v>
      </c>
      <c r="AU654">
        <v>5</v>
      </c>
    </row>
    <row r="655" spans="1:47">
      <c r="A655" t="s">
        <v>2359</v>
      </c>
      <c r="B655">
        <v>2</v>
      </c>
      <c r="C655" s="72">
        <v>44712</v>
      </c>
      <c r="D655">
        <v>23</v>
      </c>
      <c r="E655" s="173">
        <v>4.1666666666666664E-2</v>
      </c>
      <c r="F655" t="s">
        <v>136</v>
      </c>
      <c r="G655" t="s">
        <v>27</v>
      </c>
      <c r="H655" t="s">
        <v>677</v>
      </c>
      <c r="I655" t="s">
        <v>116</v>
      </c>
      <c r="J655" t="s">
        <v>117</v>
      </c>
      <c r="K655" t="s">
        <v>1168</v>
      </c>
      <c r="L655" t="s">
        <v>108</v>
      </c>
      <c r="M655" t="s">
        <v>1029</v>
      </c>
      <c r="N655">
        <v>967555800</v>
      </c>
      <c r="O655" t="s">
        <v>769</v>
      </c>
      <c r="P655" s="154">
        <v>13030092</v>
      </c>
      <c r="Q655" t="s">
        <v>111</v>
      </c>
      <c r="R655" t="s">
        <v>627</v>
      </c>
      <c r="S655" t="s">
        <v>2360</v>
      </c>
      <c r="T655" t="s">
        <v>2361</v>
      </c>
      <c r="U655" t="s">
        <v>2362</v>
      </c>
      <c r="V655" t="s">
        <v>2363</v>
      </c>
      <c r="W655" t="s">
        <v>101</v>
      </c>
      <c r="X655" t="s">
        <v>129</v>
      </c>
      <c r="Y655" s="229">
        <v>1850</v>
      </c>
      <c r="Z655" s="176">
        <v>4364337.0786516853</v>
      </c>
      <c r="AA655" t="s">
        <v>2364</v>
      </c>
      <c r="AB655" t="s">
        <v>2365</v>
      </c>
      <c r="AC655" t="s">
        <v>1349</v>
      </c>
      <c r="AD655" s="45"/>
      <c r="AE655" s="245"/>
      <c r="AF655" s="180"/>
      <c r="AG655" s="180"/>
      <c r="AH655" s="180"/>
      <c r="AI655" s="180"/>
      <c r="AJ655" s="180"/>
      <c r="AK655" s="180"/>
      <c r="AL655" s="305">
        <v>5</v>
      </c>
      <c r="AM655" s="306">
        <v>2022</v>
      </c>
      <c r="AN655" s="180"/>
      <c r="AP655" t="str">
        <f>IF(BD_Bloqueados[[#This Row],[Analista ]]&lt;&gt;"Ana C",MID(BD_Bloqueados[[#This Row],[ID]],3,5),MID(BD_Bloqueados[[#This Row],[ID]],4,5))</f>
        <v>15122</v>
      </c>
      <c r="AQ655">
        <v>143</v>
      </c>
      <c r="AR655">
        <v>2022</v>
      </c>
      <c r="AS655" s="72">
        <v>44562</v>
      </c>
      <c r="AT655" s="72">
        <v>44704</v>
      </c>
      <c r="AU655">
        <v>5</v>
      </c>
    </row>
    <row r="656" spans="1:47">
      <c r="A656" t="s">
        <v>3361</v>
      </c>
      <c r="B656">
        <v>2</v>
      </c>
      <c r="C656" s="72">
        <v>44712</v>
      </c>
      <c r="D656">
        <v>23</v>
      </c>
      <c r="E656" s="173">
        <v>4.1666666666666664E-2</v>
      </c>
      <c r="F656" t="s">
        <v>136</v>
      </c>
      <c r="G656" t="s">
        <v>27</v>
      </c>
      <c r="H656" t="s">
        <v>677</v>
      </c>
      <c r="I656" t="s">
        <v>116</v>
      </c>
      <c r="J656" t="s">
        <v>117</v>
      </c>
      <c r="K656" t="s">
        <v>1168</v>
      </c>
      <c r="L656" t="s">
        <v>108</v>
      </c>
      <c r="M656" t="s">
        <v>1029</v>
      </c>
      <c r="N656">
        <v>967555800</v>
      </c>
      <c r="O656" t="s">
        <v>148</v>
      </c>
      <c r="P656" s="154">
        <v>13030495</v>
      </c>
      <c r="Q656" t="s">
        <v>111</v>
      </c>
      <c r="R656" t="s">
        <v>627</v>
      </c>
      <c r="S656" t="s">
        <v>3362</v>
      </c>
      <c r="T656" t="s">
        <v>2361</v>
      </c>
      <c r="U656" t="s">
        <v>3363</v>
      </c>
      <c r="V656" t="s">
        <v>3364</v>
      </c>
      <c r="W656" t="s">
        <v>101</v>
      </c>
      <c r="X656" t="s">
        <v>129</v>
      </c>
      <c r="Y656" s="229">
        <v>1250</v>
      </c>
      <c r="Z656" s="176">
        <v>1433375</v>
      </c>
      <c r="AA656" t="s">
        <v>2364</v>
      </c>
      <c r="AB656" t="s">
        <v>2365</v>
      </c>
      <c r="AC656" t="s">
        <v>1349</v>
      </c>
      <c r="AD656" s="239"/>
      <c r="AE656" s="244"/>
      <c r="AF656" s="180"/>
      <c r="AG656" s="180"/>
      <c r="AH656" s="180"/>
      <c r="AI656" s="180"/>
      <c r="AJ656" s="180"/>
      <c r="AK656" s="180"/>
      <c r="AL656">
        <v>5</v>
      </c>
      <c r="AM656">
        <v>2022</v>
      </c>
      <c r="AN656" s="180"/>
      <c r="AP656" t="str">
        <f>IF(BD_Bloqueados[[#This Row],[Analista ]]&lt;&gt;"Ana C",MID(BD_Bloqueados[[#This Row],[ID]],3,5),MID(BD_Bloqueados[[#This Row],[ID]],4,5))</f>
        <v>15122</v>
      </c>
      <c r="AQ656">
        <v>143</v>
      </c>
      <c r="AR656">
        <v>2022</v>
      </c>
      <c r="AS656" s="72">
        <v>44562</v>
      </c>
      <c r="AT656" s="72">
        <v>44704</v>
      </c>
      <c r="AU656">
        <v>5</v>
      </c>
    </row>
    <row r="657" spans="1:47">
      <c r="A657" t="s">
        <v>4280</v>
      </c>
      <c r="B657">
        <v>2</v>
      </c>
      <c r="C657" s="72">
        <v>44712</v>
      </c>
      <c r="D657">
        <v>23</v>
      </c>
      <c r="E657" s="173">
        <v>0.96736111111111101</v>
      </c>
      <c r="F657" t="s">
        <v>136</v>
      </c>
      <c r="G657" t="s">
        <v>27</v>
      </c>
      <c r="H657" t="s">
        <v>677</v>
      </c>
      <c r="I657" t="s">
        <v>116</v>
      </c>
      <c r="J657" t="s">
        <v>117</v>
      </c>
      <c r="K657" t="s">
        <v>1168</v>
      </c>
      <c r="L657" t="s">
        <v>77</v>
      </c>
      <c r="M657" t="s">
        <v>706</v>
      </c>
      <c r="N657">
        <v>81145500</v>
      </c>
      <c r="O657" t="s">
        <v>897</v>
      </c>
      <c r="P657" s="154">
        <v>10004293</v>
      </c>
      <c r="Q657" t="s">
        <v>111</v>
      </c>
      <c r="R657" t="s">
        <v>585</v>
      </c>
      <c r="S657" t="s">
        <v>4279</v>
      </c>
      <c r="T657" t="s">
        <v>4275</v>
      </c>
      <c r="U657" t="s">
        <v>4276</v>
      </c>
      <c r="V657" t="s">
        <v>4277</v>
      </c>
      <c r="W657" t="s">
        <v>101</v>
      </c>
      <c r="X657" t="s">
        <v>129</v>
      </c>
      <c r="Y657" s="229">
        <v>17.04</v>
      </c>
      <c r="Z657" s="176">
        <v>104980.03199999999</v>
      </c>
      <c r="AA657" t="s">
        <v>2364</v>
      </c>
      <c r="AB657" t="s">
        <v>2365</v>
      </c>
      <c r="AC657" t="s">
        <v>1349</v>
      </c>
      <c r="AD657" s="239"/>
      <c r="AE657" s="244"/>
      <c r="AF657" s="180"/>
      <c r="AG657" s="180"/>
      <c r="AH657" s="180"/>
      <c r="AI657" s="180"/>
      <c r="AJ657" s="180"/>
      <c r="AK657" s="180"/>
      <c r="AL657">
        <v>5</v>
      </c>
      <c r="AM657">
        <v>2022</v>
      </c>
      <c r="AN657" s="180"/>
      <c r="AP657" t="str">
        <f>IF(BD_Bloqueados[[#This Row],[Analista ]]&lt;&gt;"Ana C",MID(BD_Bloqueados[[#This Row],[ID]],3,5),MID(BD_Bloqueados[[#This Row],[ID]],4,5))</f>
        <v>15122</v>
      </c>
      <c r="AQ657">
        <v>278</v>
      </c>
      <c r="AR657">
        <v>2022</v>
      </c>
      <c r="AS657" s="72">
        <v>44562</v>
      </c>
      <c r="AT657" s="72">
        <v>44839</v>
      </c>
      <c r="AU657">
        <v>10</v>
      </c>
    </row>
    <row r="658" spans="1:47" ht="15" thickBot="1">
      <c r="A658" t="s">
        <v>4283</v>
      </c>
      <c r="B658">
        <v>2</v>
      </c>
      <c r="C658" s="72">
        <v>44712</v>
      </c>
      <c r="D658">
        <v>23</v>
      </c>
      <c r="E658" s="173">
        <v>4.1666666666666664E-2</v>
      </c>
      <c r="F658" t="s">
        <v>136</v>
      </c>
      <c r="G658" t="s">
        <v>27</v>
      </c>
      <c r="H658" t="s">
        <v>677</v>
      </c>
      <c r="I658" t="s">
        <v>116</v>
      </c>
      <c r="J658" t="s">
        <v>117</v>
      </c>
      <c r="K658" t="s">
        <v>4284</v>
      </c>
      <c r="L658" t="s">
        <v>77</v>
      </c>
      <c r="M658" t="s">
        <v>705</v>
      </c>
      <c r="N658">
        <v>76057769</v>
      </c>
      <c r="O658" t="s">
        <v>895</v>
      </c>
      <c r="P658" s="154">
        <v>10000520</v>
      </c>
      <c r="Q658" t="s">
        <v>111</v>
      </c>
      <c r="R658" t="s">
        <v>585</v>
      </c>
      <c r="S658" t="s">
        <v>4279</v>
      </c>
      <c r="T658" t="s">
        <v>2361</v>
      </c>
      <c r="U658" t="s">
        <v>4285</v>
      </c>
      <c r="V658" t="s">
        <v>129</v>
      </c>
      <c r="W658" t="s">
        <v>101</v>
      </c>
      <c r="X658" t="s">
        <v>129</v>
      </c>
      <c r="Y658" s="229">
        <v>315</v>
      </c>
      <c r="Z658" s="176">
        <v>2996437.5</v>
      </c>
      <c r="AA658" t="s">
        <v>2364</v>
      </c>
      <c r="AB658" t="s">
        <v>2365</v>
      </c>
      <c r="AC658" t="s">
        <v>1349</v>
      </c>
      <c r="AD658" s="45"/>
      <c r="AE658" s="245"/>
      <c r="AF658" s="180"/>
      <c r="AG658" s="180"/>
      <c r="AH658" s="180"/>
      <c r="AI658" s="180"/>
      <c r="AJ658" s="180"/>
      <c r="AK658" s="180"/>
      <c r="AL658">
        <v>5</v>
      </c>
      <c r="AM658">
        <v>2022</v>
      </c>
      <c r="AN658" s="180"/>
      <c r="AP658" t="str">
        <f>IF(BD_Bloqueados[[#This Row],[Analista ]]&lt;&gt;"Ana C",MID(BD_Bloqueados[[#This Row],[ID]],3,5),MID(BD_Bloqueados[[#This Row],[ID]],4,5))</f>
        <v>15122</v>
      </c>
      <c r="AQ658">
        <v>278</v>
      </c>
      <c r="AR658">
        <v>2022</v>
      </c>
      <c r="AS658" s="72">
        <v>44562</v>
      </c>
      <c r="AT658" s="72">
        <v>44839</v>
      </c>
      <c r="AU658">
        <v>10</v>
      </c>
    </row>
    <row r="659" spans="1:47">
      <c r="A659" t="s">
        <v>4287</v>
      </c>
      <c r="B659">
        <v>2</v>
      </c>
      <c r="C659" s="72">
        <v>44712</v>
      </c>
      <c r="D659">
        <v>23</v>
      </c>
      <c r="E659" s="173">
        <v>0.60416666666666663</v>
      </c>
      <c r="F659" t="s">
        <v>109</v>
      </c>
      <c r="G659" t="s">
        <v>28</v>
      </c>
      <c r="H659" t="s">
        <v>165</v>
      </c>
      <c r="I659" t="s">
        <v>248</v>
      </c>
      <c r="J659" t="s">
        <v>117</v>
      </c>
      <c r="K659" t="s">
        <v>1168</v>
      </c>
      <c r="L659" t="s">
        <v>108</v>
      </c>
      <c r="M659" t="s">
        <v>1029</v>
      </c>
      <c r="N659">
        <v>967555800</v>
      </c>
      <c r="O659" t="s">
        <v>359</v>
      </c>
      <c r="P659" s="154">
        <v>12001368</v>
      </c>
      <c r="Q659" t="s">
        <v>111</v>
      </c>
      <c r="R659" t="s">
        <v>589</v>
      </c>
      <c r="S659" t="s">
        <v>4288</v>
      </c>
      <c r="T659" t="s">
        <v>4289</v>
      </c>
      <c r="U659" t="s">
        <v>4290</v>
      </c>
      <c r="V659" t="s">
        <v>4291</v>
      </c>
      <c r="W659" t="s">
        <v>101</v>
      </c>
      <c r="X659" t="s">
        <v>102</v>
      </c>
      <c r="Y659" s="229">
        <v>532</v>
      </c>
      <c r="Z659" s="176">
        <v>0</v>
      </c>
      <c r="AA659">
        <v>125</v>
      </c>
      <c r="AB659" t="s">
        <v>1356</v>
      </c>
      <c r="AC659" t="s">
        <v>1252</v>
      </c>
      <c r="AD659" s="282"/>
      <c r="AE659" s="284"/>
      <c r="AF659" s="180"/>
      <c r="AG659" s="180"/>
      <c r="AH659" s="180"/>
      <c r="AI659" s="180"/>
      <c r="AJ659" s="180"/>
      <c r="AK659" s="180"/>
      <c r="AL659">
        <v>5</v>
      </c>
      <c r="AM659">
        <v>2022</v>
      </c>
      <c r="AN659" s="180" t="s">
        <v>1611</v>
      </c>
      <c r="AP659" t="str">
        <f>IF(BD_Bloqueados[[#This Row],[Analista ]]&lt;&gt;"Ana C",MID(BD_Bloqueados[[#This Row],[ID]],3,5),MID(BD_Bloqueados[[#This Row],[ID]],4,5))</f>
        <v>15122</v>
      </c>
      <c r="AQ659">
        <v>248</v>
      </c>
      <c r="AR659">
        <v>2022</v>
      </c>
      <c r="AS659" s="72">
        <v>44562</v>
      </c>
      <c r="AT659" s="72">
        <v>44809</v>
      </c>
      <c r="AU659">
        <v>9</v>
      </c>
    </row>
    <row r="660" spans="1:47" ht="15" thickBot="1">
      <c r="A660" s="153" t="s">
        <v>4304</v>
      </c>
      <c r="B660" s="153">
        <v>2</v>
      </c>
      <c r="C660" s="72">
        <v>44711</v>
      </c>
      <c r="D660" s="153">
        <v>23</v>
      </c>
      <c r="E660" s="174">
        <v>1</v>
      </c>
      <c r="F660" s="153" t="s">
        <v>78</v>
      </c>
      <c r="G660" s="153" t="s">
        <v>30</v>
      </c>
      <c r="H660" s="153" t="s">
        <v>30</v>
      </c>
      <c r="I660" s="153" t="s">
        <v>609</v>
      </c>
      <c r="J660" s="153" t="s">
        <v>268</v>
      </c>
      <c r="K660" s="153" t="s">
        <v>4136</v>
      </c>
      <c r="L660" s="153" t="s">
        <v>77</v>
      </c>
      <c r="M660" s="153" t="s">
        <v>663</v>
      </c>
      <c r="N660" s="153" t="s">
        <v>664</v>
      </c>
      <c r="O660" s="153" t="s">
        <v>817</v>
      </c>
      <c r="P660" s="175" t="s">
        <v>664</v>
      </c>
      <c r="Q660" s="153" t="s">
        <v>206</v>
      </c>
      <c r="R660" s="153" t="s">
        <v>580</v>
      </c>
      <c r="S660" s="153" t="s">
        <v>4305</v>
      </c>
      <c r="T660" s="153" t="s">
        <v>4306</v>
      </c>
      <c r="U660" s="153" t="s">
        <v>4307</v>
      </c>
      <c r="V660" s="153" t="s">
        <v>4308</v>
      </c>
      <c r="W660" s="153" t="s">
        <v>101</v>
      </c>
      <c r="X660" s="153" t="s">
        <v>1518</v>
      </c>
      <c r="Y660" s="235">
        <v>0</v>
      </c>
      <c r="Z660" s="177">
        <v>0</v>
      </c>
      <c r="AA660" s="153" t="s">
        <v>4309</v>
      </c>
      <c r="AB660" s="153" t="s">
        <v>2727</v>
      </c>
      <c r="AC660" t="s">
        <v>39</v>
      </c>
      <c r="AD660" s="45"/>
      <c r="AE660" s="245"/>
      <c r="AF660" s="180"/>
      <c r="AG660" s="180"/>
      <c r="AH660" s="180"/>
      <c r="AI660" s="180"/>
      <c r="AJ660" s="180"/>
      <c r="AK660" s="180"/>
      <c r="AL660">
        <v>5</v>
      </c>
      <c r="AM660">
        <v>2022</v>
      </c>
      <c r="AN660" s="180"/>
      <c r="AP660" t="str">
        <f>IF(BD_Bloqueados[[#This Row],[Analista ]]&lt;&gt;"Ana C",MID(BD_Bloqueados[[#This Row],[ID]],3,5),MID(BD_Bloqueados[[#This Row],[ID]],4,5))</f>
        <v>15022</v>
      </c>
      <c r="AQ660">
        <v>202</v>
      </c>
      <c r="AR660">
        <v>2022</v>
      </c>
      <c r="AS660" s="72">
        <v>44562</v>
      </c>
      <c r="AT660" s="72">
        <v>44763</v>
      </c>
      <c r="AU660">
        <v>7</v>
      </c>
    </row>
    <row r="661" spans="1:47">
      <c r="A661" t="s">
        <v>4247</v>
      </c>
      <c r="B661">
        <v>2</v>
      </c>
      <c r="C661" s="72">
        <v>44704</v>
      </c>
      <c r="D661">
        <v>22</v>
      </c>
      <c r="E661" s="173">
        <v>0.5625</v>
      </c>
      <c r="F661" t="s">
        <v>109</v>
      </c>
      <c r="G661" t="s">
        <v>25</v>
      </c>
      <c r="H661" t="s">
        <v>164</v>
      </c>
      <c r="I661" t="s">
        <v>190</v>
      </c>
      <c r="J661" t="s">
        <v>213</v>
      </c>
      <c r="K661" t="s">
        <v>2984</v>
      </c>
      <c r="L661" t="s">
        <v>108</v>
      </c>
      <c r="M661" t="s">
        <v>1029</v>
      </c>
      <c r="N661">
        <v>967555800</v>
      </c>
      <c r="O661" t="s">
        <v>265</v>
      </c>
      <c r="P661" s="154">
        <v>13030402</v>
      </c>
      <c r="Q661" t="s">
        <v>206</v>
      </c>
      <c r="R661" t="s">
        <v>578</v>
      </c>
      <c r="S661" t="s">
        <v>4248</v>
      </c>
      <c r="T661" t="s">
        <v>4249</v>
      </c>
      <c r="U661" t="s">
        <v>4250</v>
      </c>
      <c r="V661" t="s">
        <v>4251</v>
      </c>
      <c r="W661" t="s">
        <v>101</v>
      </c>
      <c r="X661" t="s">
        <v>129</v>
      </c>
      <c r="Y661" s="229">
        <v>201.4</v>
      </c>
      <c r="Z661" s="176">
        <v>102613.3</v>
      </c>
      <c r="AA661">
        <v>143</v>
      </c>
      <c r="AB661" t="s">
        <v>1810</v>
      </c>
      <c r="AC661" t="s">
        <v>1349</v>
      </c>
      <c r="AD661" s="45"/>
      <c r="AE661" s="245"/>
      <c r="AF661" s="180"/>
      <c r="AG661" s="180"/>
      <c r="AH661" s="180"/>
      <c r="AI661" s="180"/>
      <c r="AJ661" s="180"/>
      <c r="AK661" s="180"/>
      <c r="AL661">
        <v>5</v>
      </c>
      <c r="AM661">
        <v>2022</v>
      </c>
      <c r="AN661" s="180"/>
      <c r="AP661" t="str">
        <f>IF(BD_Bloqueados[[#This Row],[Analista ]]&lt;&gt;"Ana C",MID(BD_Bloqueados[[#This Row],[ID]],3,5),MID(BD_Bloqueados[[#This Row],[ID]],4,5))</f>
        <v>14322</v>
      </c>
      <c r="AQ661">
        <v>125</v>
      </c>
      <c r="AR661">
        <v>2022</v>
      </c>
      <c r="AS661" s="72">
        <v>44562</v>
      </c>
      <c r="AT661" s="72">
        <v>44686</v>
      </c>
      <c r="AU661">
        <v>5</v>
      </c>
    </row>
    <row r="662" spans="1:47">
      <c r="A662" t="s">
        <v>4252</v>
      </c>
      <c r="B662">
        <v>2</v>
      </c>
      <c r="C662" s="72">
        <v>44704</v>
      </c>
      <c r="D662">
        <v>22</v>
      </c>
      <c r="E662" s="173">
        <v>0.54166666666666663</v>
      </c>
      <c r="F662" t="s">
        <v>109</v>
      </c>
      <c r="G662" t="s">
        <v>31</v>
      </c>
      <c r="H662" t="s">
        <v>84</v>
      </c>
      <c r="I662" t="s">
        <v>190</v>
      </c>
      <c r="J662" t="s">
        <v>213</v>
      </c>
      <c r="K662" t="s">
        <v>4253</v>
      </c>
      <c r="L662" t="s">
        <v>108</v>
      </c>
      <c r="M662" t="s">
        <v>1029</v>
      </c>
      <c r="N662">
        <v>967555800</v>
      </c>
      <c r="O662" t="s">
        <v>221</v>
      </c>
      <c r="P662" s="154">
        <v>13030431</v>
      </c>
      <c r="Q662" t="s">
        <v>206</v>
      </c>
      <c r="R662" t="s">
        <v>578</v>
      </c>
      <c r="S662" t="s">
        <v>4248</v>
      </c>
      <c r="T662" t="s">
        <v>4249</v>
      </c>
      <c r="U662" t="s">
        <v>4250</v>
      </c>
      <c r="V662" t="s">
        <v>4251</v>
      </c>
      <c r="W662" t="s">
        <v>101</v>
      </c>
      <c r="X662" t="s">
        <v>129</v>
      </c>
      <c r="Y662" s="229">
        <v>636</v>
      </c>
      <c r="Z662" s="176">
        <v>423894</v>
      </c>
      <c r="AA662">
        <v>143</v>
      </c>
      <c r="AB662" t="s">
        <v>1810</v>
      </c>
      <c r="AC662" t="s">
        <v>1349</v>
      </c>
      <c r="AD662" s="239"/>
      <c r="AE662" s="244"/>
      <c r="AF662" s="180"/>
      <c r="AG662" s="180"/>
      <c r="AH662" s="180"/>
      <c r="AI662" s="180"/>
      <c r="AJ662" s="180"/>
      <c r="AK662" s="180"/>
      <c r="AL662">
        <v>5</v>
      </c>
      <c r="AM662">
        <v>2022</v>
      </c>
      <c r="AN662" s="180"/>
      <c r="AP662" t="str">
        <f>IF(BD_Bloqueados[[#This Row],[Analista ]]&lt;&gt;"Ana C",MID(BD_Bloqueados[[#This Row],[ID]],3,5),MID(BD_Bloqueados[[#This Row],[ID]],4,5))</f>
        <v>14322</v>
      </c>
      <c r="AQ662">
        <v>125</v>
      </c>
      <c r="AR662">
        <v>2022</v>
      </c>
      <c r="AS662" s="72">
        <v>44562</v>
      </c>
      <c r="AT662" s="72">
        <v>44686</v>
      </c>
      <c r="AU662">
        <v>5</v>
      </c>
    </row>
    <row r="663" spans="1:47">
      <c r="A663" t="s">
        <v>4217</v>
      </c>
      <c r="B663">
        <v>2</v>
      </c>
      <c r="C663" s="72">
        <v>44747</v>
      </c>
      <c r="D663">
        <v>19</v>
      </c>
      <c r="E663" s="173">
        <v>0.45833333333333331</v>
      </c>
      <c r="F663" t="s">
        <v>78</v>
      </c>
      <c r="G663" t="s">
        <v>27</v>
      </c>
      <c r="H663" t="s">
        <v>189</v>
      </c>
      <c r="I663" t="s">
        <v>87</v>
      </c>
      <c r="J663" t="s">
        <v>117</v>
      </c>
      <c r="K663" t="s">
        <v>1436</v>
      </c>
      <c r="L663" t="s">
        <v>108</v>
      </c>
      <c r="M663" t="s">
        <v>1029</v>
      </c>
      <c r="N663">
        <v>967555800</v>
      </c>
      <c r="O663" t="s">
        <v>272</v>
      </c>
      <c r="P663" s="154">
        <v>13030280</v>
      </c>
      <c r="Q663" t="s">
        <v>185</v>
      </c>
      <c r="R663" t="s">
        <v>589</v>
      </c>
      <c r="S663" t="s">
        <v>4218</v>
      </c>
      <c r="T663" t="s">
        <v>4219</v>
      </c>
      <c r="U663" t="s">
        <v>4220</v>
      </c>
      <c r="V663" t="s">
        <v>4221</v>
      </c>
      <c r="W663" t="s">
        <v>101</v>
      </c>
      <c r="X663" t="s">
        <v>156</v>
      </c>
      <c r="Y663" s="229">
        <v>396</v>
      </c>
      <c r="Z663" s="176">
        <v>246330</v>
      </c>
      <c r="AA663">
        <v>127</v>
      </c>
      <c r="AB663" t="s">
        <v>1714</v>
      </c>
      <c r="AC663" t="s">
        <v>1252</v>
      </c>
      <c r="AD663" s="239"/>
      <c r="AE663" s="244"/>
      <c r="AF663" s="180"/>
      <c r="AG663" s="180"/>
      <c r="AH663" s="180"/>
      <c r="AI663" s="180"/>
      <c r="AJ663" s="180"/>
      <c r="AK663" s="180"/>
      <c r="AL663">
        <v>5</v>
      </c>
      <c r="AM663">
        <v>2022</v>
      </c>
      <c r="AN663" s="180" t="s">
        <v>4222</v>
      </c>
      <c r="AP663" t="str">
        <f>IF(BD_Bloqueados[[#This Row],[Analista ]]&lt;&gt;"Ana C",MID(BD_Bloqueados[[#This Row],[ID]],3,5),MID(BD_Bloqueados[[#This Row],[ID]],4,5))</f>
        <v>12722</v>
      </c>
      <c r="AQ663">
        <v>151</v>
      </c>
      <c r="AR663">
        <v>2022</v>
      </c>
      <c r="AS663" s="72">
        <v>44562</v>
      </c>
      <c r="AT663" s="72">
        <v>44712</v>
      </c>
      <c r="AU663">
        <v>5</v>
      </c>
    </row>
    <row r="664" spans="1:47">
      <c r="A664" t="s">
        <v>4273</v>
      </c>
      <c r="B664">
        <v>2</v>
      </c>
      <c r="C664" s="72">
        <v>44686</v>
      </c>
      <c r="D664">
        <v>19</v>
      </c>
      <c r="E664" s="173">
        <v>4.1666666666666664E-2</v>
      </c>
      <c r="F664" t="s">
        <v>136</v>
      </c>
      <c r="G664" t="s">
        <v>27</v>
      </c>
      <c r="H664" t="s">
        <v>677</v>
      </c>
      <c r="I664" t="s">
        <v>116</v>
      </c>
      <c r="J664" t="s">
        <v>117</v>
      </c>
      <c r="K664" t="s">
        <v>1168</v>
      </c>
      <c r="L664" t="s">
        <v>77</v>
      </c>
      <c r="M664" t="s">
        <v>671</v>
      </c>
      <c r="N664">
        <v>76443294</v>
      </c>
      <c r="O664" t="s">
        <v>155</v>
      </c>
      <c r="P664" s="154">
        <v>10000591</v>
      </c>
      <c r="Q664" t="s">
        <v>111</v>
      </c>
      <c r="R664" t="s">
        <v>585</v>
      </c>
      <c r="S664" t="s">
        <v>4274</v>
      </c>
      <c r="T664" t="s">
        <v>4275</v>
      </c>
      <c r="U664" t="s">
        <v>4276</v>
      </c>
      <c r="V664" t="s">
        <v>4277</v>
      </c>
      <c r="W664" t="s">
        <v>101</v>
      </c>
      <c r="X664" t="s">
        <v>129</v>
      </c>
      <c r="Y664" s="229">
        <v>2</v>
      </c>
      <c r="Z664" s="176">
        <v>5530</v>
      </c>
      <c r="AA664" t="s">
        <v>2364</v>
      </c>
      <c r="AB664" t="s">
        <v>2365</v>
      </c>
      <c r="AC664" t="s">
        <v>1349</v>
      </c>
      <c r="AD664" s="280"/>
      <c r="AE664" s="280"/>
      <c r="AF664" s="180"/>
      <c r="AG664" s="180"/>
      <c r="AH664" s="180"/>
      <c r="AI664" s="180"/>
      <c r="AJ664" s="180"/>
      <c r="AK664" s="180"/>
      <c r="AL664">
        <v>5</v>
      </c>
      <c r="AM664">
        <v>2022</v>
      </c>
      <c r="AN664" s="180"/>
      <c r="AP664" t="str">
        <f>IF(BD_Bloqueados[[#This Row],[Analista ]]&lt;&gt;"Ana C",MID(BD_Bloqueados[[#This Row],[ID]],3,5),MID(BD_Bloqueados[[#This Row],[ID]],4,5))</f>
        <v>12522</v>
      </c>
      <c r="AQ664">
        <v>125</v>
      </c>
      <c r="AR664">
        <v>2022</v>
      </c>
      <c r="AS664" s="72">
        <v>44562</v>
      </c>
      <c r="AT664" s="72">
        <v>44686</v>
      </c>
      <c r="AU664">
        <v>5</v>
      </c>
    </row>
    <row r="665" spans="1:47">
      <c r="A665" t="s">
        <v>4278</v>
      </c>
      <c r="B665">
        <v>2</v>
      </c>
      <c r="C665" s="72">
        <v>44686</v>
      </c>
      <c r="D665">
        <v>19</v>
      </c>
      <c r="E665" s="173">
        <v>4.1666666666666664E-2</v>
      </c>
      <c r="F665" t="s">
        <v>136</v>
      </c>
      <c r="G665" t="s">
        <v>27</v>
      </c>
      <c r="H665" t="s">
        <v>677</v>
      </c>
      <c r="I665" t="s">
        <v>116</v>
      </c>
      <c r="J665" t="s">
        <v>117</v>
      </c>
      <c r="K665" t="s">
        <v>1168</v>
      </c>
      <c r="L665" t="s">
        <v>77</v>
      </c>
      <c r="M665" t="s">
        <v>706</v>
      </c>
      <c r="N665">
        <v>81145500</v>
      </c>
      <c r="O665" t="s">
        <v>513</v>
      </c>
      <c r="P665" s="154">
        <v>10000521</v>
      </c>
      <c r="Q665" t="s">
        <v>111</v>
      </c>
      <c r="R665" t="s">
        <v>585</v>
      </c>
      <c r="S665" t="s">
        <v>4279</v>
      </c>
      <c r="T665" t="s">
        <v>4275</v>
      </c>
      <c r="U665" t="s">
        <v>4276</v>
      </c>
      <c r="V665" t="s">
        <v>4277</v>
      </c>
      <c r="W665" t="s">
        <v>101</v>
      </c>
      <c r="X665" t="s">
        <v>129</v>
      </c>
      <c r="Y665" s="229">
        <v>2.1</v>
      </c>
      <c r="Z665" s="176">
        <v>13918.800000000001</v>
      </c>
      <c r="AA665" t="s">
        <v>2364</v>
      </c>
      <c r="AB665" t="s">
        <v>2365</v>
      </c>
      <c r="AC665" t="s">
        <v>1349</v>
      </c>
      <c r="AD665" s="31"/>
      <c r="AE665" s="244"/>
      <c r="AF665" s="180"/>
      <c r="AG665" s="180"/>
      <c r="AH665" s="180"/>
      <c r="AI665" s="180"/>
      <c r="AJ665" s="180"/>
      <c r="AK665" s="180"/>
      <c r="AL665">
        <v>5</v>
      </c>
      <c r="AM665">
        <v>2022</v>
      </c>
      <c r="AN665" s="180"/>
      <c r="AP665" t="str">
        <f>IF(BD_Bloqueados[[#This Row],[Analista ]]&lt;&gt;"Ana C",MID(BD_Bloqueados[[#This Row],[ID]],3,5),MID(BD_Bloqueados[[#This Row],[ID]],4,5))</f>
        <v>12522</v>
      </c>
      <c r="AQ665">
        <v>151</v>
      </c>
      <c r="AR665">
        <v>2022</v>
      </c>
      <c r="AS665" s="72">
        <v>44562</v>
      </c>
      <c r="AT665" s="72">
        <v>44712</v>
      </c>
      <c r="AU665">
        <v>5</v>
      </c>
    </row>
    <row r="666" spans="1:47">
      <c r="A666" t="s">
        <v>4281</v>
      </c>
      <c r="B666">
        <v>2</v>
      </c>
      <c r="C666" s="72">
        <v>44686</v>
      </c>
      <c r="D666">
        <v>19</v>
      </c>
      <c r="E666" s="173">
        <v>4.1666666666666664E-2</v>
      </c>
      <c r="F666" t="s">
        <v>136</v>
      </c>
      <c r="G666" t="s">
        <v>27</v>
      </c>
      <c r="H666" t="s">
        <v>677</v>
      </c>
      <c r="I666" t="s">
        <v>116</v>
      </c>
      <c r="J666" t="s">
        <v>117</v>
      </c>
      <c r="K666" t="s">
        <v>1168</v>
      </c>
      <c r="L666" t="s">
        <v>77</v>
      </c>
      <c r="M666" t="s">
        <v>705</v>
      </c>
      <c r="N666">
        <v>76057769</v>
      </c>
      <c r="O666" t="s">
        <v>469</v>
      </c>
      <c r="P666" s="154">
        <v>10003478</v>
      </c>
      <c r="Q666" t="s">
        <v>111</v>
      </c>
      <c r="R666" t="s">
        <v>585</v>
      </c>
      <c r="S666" t="s">
        <v>4279</v>
      </c>
      <c r="T666" t="s">
        <v>4275</v>
      </c>
      <c r="U666" t="s">
        <v>4282</v>
      </c>
      <c r="V666" t="s">
        <v>4277</v>
      </c>
      <c r="W666" t="s">
        <v>101</v>
      </c>
      <c r="X666" t="s">
        <v>129</v>
      </c>
      <c r="Y666" s="229">
        <v>48</v>
      </c>
      <c r="Z666" s="176">
        <v>456600</v>
      </c>
      <c r="AA666" t="s">
        <v>2364</v>
      </c>
      <c r="AB666" t="s">
        <v>2365</v>
      </c>
      <c r="AC666" t="s">
        <v>1349</v>
      </c>
      <c r="AD666" s="280"/>
      <c r="AE666" s="280"/>
      <c r="AF666" s="180"/>
      <c r="AG666" s="180"/>
      <c r="AH666" s="180"/>
      <c r="AI666" s="180"/>
      <c r="AJ666" s="180"/>
      <c r="AK666" s="180"/>
      <c r="AL666">
        <v>5</v>
      </c>
      <c r="AM666">
        <v>2022</v>
      </c>
      <c r="AN666" s="180"/>
      <c r="AP666" t="str">
        <f>IF(BD_Bloqueados[[#This Row],[Analista ]]&lt;&gt;"Ana C",MID(BD_Bloqueados[[#This Row],[ID]],3,5),MID(BD_Bloqueados[[#This Row],[ID]],4,5))</f>
        <v>12522</v>
      </c>
      <c r="AQ666">
        <v>125</v>
      </c>
      <c r="AR666">
        <v>2022</v>
      </c>
      <c r="AS666" s="72">
        <v>44562</v>
      </c>
      <c r="AT666" s="72">
        <v>44686</v>
      </c>
      <c r="AU666">
        <v>5</v>
      </c>
    </row>
    <row r="667" spans="1:47">
      <c r="A667" t="s">
        <v>4286</v>
      </c>
      <c r="B667">
        <v>2</v>
      </c>
      <c r="C667" s="72">
        <v>44686</v>
      </c>
      <c r="D667">
        <v>19</v>
      </c>
      <c r="E667" s="173">
        <v>4.1666666666666664E-2</v>
      </c>
      <c r="F667" t="s">
        <v>136</v>
      </c>
      <c r="G667" t="s">
        <v>27</v>
      </c>
      <c r="H667" t="s">
        <v>677</v>
      </c>
      <c r="I667" t="s">
        <v>116</v>
      </c>
      <c r="J667" t="s">
        <v>117</v>
      </c>
      <c r="K667" t="s">
        <v>1168</v>
      </c>
      <c r="L667" t="s">
        <v>77</v>
      </c>
      <c r="M667" t="s">
        <v>742</v>
      </c>
      <c r="N667">
        <v>76006727</v>
      </c>
      <c r="O667" t="s">
        <v>509</v>
      </c>
      <c r="P667" s="154">
        <v>10003596</v>
      </c>
      <c r="Q667" t="s">
        <v>111</v>
      </c>
      <c r="R667" t="s">
        <v>585</v>
      </c>
      <c r="S667" t="s">
        <v>4279</v>
      </c>
      <c r="T667" t="s">
        <v>4275</v>
      </c>
      <c r="U667" t="s">
        <v>4276</v>
      </c>
      <c r="V667" t="s">
        <v>4277</v>
      </c>
      <c r="W667" t="s">
        <v>101</v>
      </c>
      <c r="X667" t="s">
        <v>129</v>
      </c>
      <c r="Y667" s="229">
        <v>540</v>
      </c>
      <c r="Z667" s="176">
        <v>2010690</v>
      </c>
      <c r="AA667" t="s">
        <v>2364</v>
      </c>
      <c r="AB667" t="s">
        <v>2365</v>
      </c>
      <c r="AC667" t="s">
        <v>1349</v>
      </c>
      <c r="AD667" s="31"/>
      <c r="AE667" s="31"/>
      <c r="AF667" s="180"/>
      <c r="AG667" s="180"/>
      <c r="AH667" s="180"/>
      <c r="AI667" s="180"/>
      <c r="AJ667" s="180"/>
      <c r="AK667" s="180"/>
      <c r="AL667">
        <v>5</v>
      </c>
      <c r="AM667">
        <v>2022</v>
      </c>
      <c r="AN667" s="180"/>
      <c r="AP667" t="str">
        <f>IF(BD_Bloqueados[[#This Row],[Analista ]]&lt;&gt;"Ana C",MID(BD_Bloqueados[[#This Row],[ID]],3,5),MID(BD_Bloqueados[[#This Row],[ID]],4,5))</f>
        <v>12522</v>
      </c>
      <c r="AQ667">
        <v>151</v>
      </c>
      <c r="AR667">
        <v>2022</v>
      </c>
      <c r="AS667" s="72">
        <v>44562</v>
      </c>
      <c r="AT667" s="72">
        <v>44712</v>
      </c>
      <c r="AU667">
        <v>5</v>
      </c>
    </row>
    <row r="668" spans="1:47">
      <c r="A668" t="s">
        <v>4292</v>
      </c>
      <c r="B668">
        <v>2</v>
      </c>
      <c r="C668" s="72">
        <v>44686</v>
      </c>
      <c r="D668">
        <v>19</v>
      </c>
      <c r="E668" s="173">
        <v>0.60416666666666663</v>
      </c>
      <c r="F668" t="s">
        <v>78</v>
      </c>
      <c r="G668" t="s">
        <v>22</v>
      </c>
      <c r="H668" t="s">
        <v>81</v>
      </c>
      <c r="I668" t="s">
        <v>190</v>
      </c>
      <c r="J668" t="s">
        <v>213</v>
      </c>
      <c r="K668" t="s">
        <v>2153</v>
      </c>
      <c r="L668" t="s">
        <v>108</v>
      </c>
      <c r="M668" t="s">
        <v>1029</v>
      </c>
      <c r="N668">
        <v>967555800</v>
      </c>
      <c r="O668" t="s">
        <v>149</v>
      </c>
      <c r="P668" s="154">
        <v>12001406</v>
      </c>
      <c r="Q668" t="s">
        <v>206</v>
      </c>
      <c r="R668" t="s">
        <v>596</v>
      </c>
      <c r="S668" t="s">
        <v>4293</v>
      </c>
      <c r="T668" t="s">
        <v>4294</v>
      </c>
      <c r="U668" t="s">
        <v>4295</v>
      </c>
      <c r="V668" t="s">
        <v>4296</v>
      </c>
      <c r="W668" t="s">
        <v>101</v>
      </c>
      <c r="X668" t="s">
        <v>102</v>
      </c>
      <c r="Y668" s="229">
        <v>2954</v>
      </c>
      <c r="Z668" s="176">
        <v>0</v>
      </c>
      <c r="AA668">
        <v>125</v>
      </c>
      <c r="AB668" t="s">
        <v>2625</v>
      </c>
      <c r="AC668" t="s">
        <v>1252</v>
      </c>
      <c r="AD668" s="45"/>
      <c r="AE668" s="245"/>
      <c r="AF668" s="180"/>
      <c r="AG668" s="180"/>
      <c r="AH668" s="180"/>
      <c r="AI668" s="180"/>
      <c r="AJ668" s="180"/>
      <c r="AK668" s="180"/>
      <c r="AL668">
        <v>5</v>
      </c>
      <c r="AM668">
        <v>2022</v>
      </c>
      <c r="AN668" s="180" t="s">
        <v>1283</v>
      </c>
      <c r="AP668" t="str">
        <f>IF(BD_Bloqueados[[#This Row],[Analista ]]&lt;&gt;"Ana C",MID(BD_Bloqueados[[#This Row],[ID]],3,5),MID(BD_Bloqueados[[#This Row],[ID]],4,5))</f>
        <v>12522</v>
      </c>
      <c r="AQ668">
        <v>125</v>
      </c>
      <c r="AR668">
        <v>2022</v>
      </c>
      <c r="AS668" s="72">
        <v>44562</v>
      </c>
      <c r="AT668" s="72">
        <v>44686</v>
      </c>
      <c r="AU668">
        <v>5</v>
      </c>
    </row>
    <row r="669" spans="1:47">
      <c r="A669" t="s">
        <v>3757</v>
      </c>
      <c r="B669">
        <v>2</v>
      </c>
      <c r="C669" s="72">
        <v>44633</v>
      </c>
      <c r="D669">
        <v>12</v>
      </c>
      <c r="E669" s="173">
        <v>0.6875</v>
      </c>
      <c r="F669" t="s">
        <v>109</v>
      </c>
      <c r="G669" t="s">
        <v>27</v>
      </c>
      <c r="H669" t="s">
        <v>209</v>
      </c>
      <c r="I669" t="s">
        <v>635</v>
      </c>
      <c r="J669" t="s">
        <v>618</v>
      </c>
      <c r="K669" t="s">
        <v>2334</v>
      </c>
      <c r="L669" t="s">
        <v>108</v>
      </c>
      <c r="M669" t="s">
        <v>1029</v>
      </c>
      <c r="N669">
        <v>967555800</v>
      </c>
      <c r="O669" t="s">
        <v>154</v>
      </c>
      <c r="P669" s="154">
        <v>13030471</v>
      </c>
      <c r="Q669" t="s">
        <v>80</v>
      </c>
      <c r="R669" t="s">
        <v>596</v>
      </c>
      <c r="S669" t="s">
        <v>3758</v>
      </c>
      <c r="T669" t="s">
        <v>3759</v>
      </c>
      <c r="U669" t="s">
        <v>3760</v>
      </c>
      <c r="V669" t="s">
        <v>3761</v>
      </c>
      <c r="W669" t="s">
        <v>101</v>
      </c>
      <c r="X669" t="s">
        <v>156</v>
      </c>
      <c r="Y669" s="229">
        <v>324</v>
      </c>
      <c r="Z669" s="176">
        <v>17687.484</v>
      </c>
      <c r="AA669">
        <v>72</v>
      </c>
      <c r="AB669" t="s">
        <v>1466</v>
      </c>
      <c r="AC669" t="s">
        <v>1349</v>
      </c>
      <c r="AD669" s="188">
        <v>1</v>
      </c>
      <c r="AE669" s="189" t="s">
        <v>1292</v>
      </c>
      <c r="AF669" s="189">
        <v>0</v>
      </c>
      <c r="AG669" s="189">
        <v>0</v>
      </c>
      <c r="AH669" s="189">
        <v>0</v>
      </c>
      <c r="AI669" s="189">
        <v>54.591000000000001</v>
      </c>
      <c r="AJ669" s="189">
        <v>0</v>
      </c>
      <c r="AK669" s="189">
        <v>0</v>
      </c>
      <c r="AL669">
        <v>3</v>
      </c>
      <c r="AM669">
        <v>2022</v>
      </c>
      <c r="AN669" s="180"/>
      <c r="AP669" t="str">
        <f>IF(BD_Bloqueados[[#This Row],[Analista ]]&lt;&gt;"Ana C",MID(BD_Bloqueados[[#This Row],[ID]],3,5),MID(BD_Bloqueados[[#This Row],[ID]],4,5))</f>
        <v>07222</v>
      </c>
      <c r="AQ669">
        <v>185</v>
      </c>
      <c r="AR669">
        <v>2022</v>
      </c>
      <c r="AS669" s="72">
        <v>44562</v>
      </c>
      <c r="AT669" s="72">
        <v>44746</v>
      </c>
      <c r="AU669">
        <v>7</v>
      </c>
    </row>
    <row r="670" spans="1:47">
      <c r="A670" t="s">
        <v>1782</v>
      </c>
      <c r="B670">
        <v>2</v>
      </c>
      <c r="C670" s="72">
        <v>44837</v>
      </c>
      <c r="D670">
        <v>41</v>
      </c>
      <c r="E670" s="173">
        <v>0.5</v>
      </c>
      <c r="F670" t="s">
        <v>78</v>
      </c>
      <c r="G670" t="s">
        <v>24</v>
      </c>
      <c r="H670" t="s">
        <v>82</v>
      </c>
      <c r="I670" t="s">
        <v>615</v>
      </c>
      <c r="J670" t="s">
        <v>1783</v>
      </c>
      <c r="K670" t="s">
        <v>1606</v>
      </c>
      <c r="L670" t="s">
        <v>108</v>
      </c>
      <c r="M670" t="s">
        <v>1029</v>
      </c>
      <c r="N670">
        <v>967555800</v>
      </c>
      <c r="O670" t="s">
        <v>124</v>
      </c>
      <c r="P670" s="154">
        <v>13001004</v>
      </c>
      <c r="Q670" t="s">
        <v>206</v>
      </c>
      <c r="R670" t="s">
        <v>640</v>
      </c>
      <c r="S670" t="s">
        <v>1784</v>
      </c>
      <c r="T670" t="s">
        <v>1785</v>
      </c>
      <c r="U670" t="s">
        <v>1786</v>
      </c>
      <c r="V670" t="s">
        <v>1787</v>
      </c>
      <c r="W670" t="s">
        <v>101</v>
      </c>
      <c r="X670" t="s">
        <v>129</v>
      </c>
      <c r="Y670" s="229">
        <v>1800</v>
      </c>
      <c r="Z670" s="176">
        <v>1581300</v>
      </c>
      <c r="AA670">
        <v>276</v>
      </c>
      <c r="AB670" t="s">
        <v>1550</v>
      </c>
      <c r="AC670" t="s">
        <v>1479</v>
      </c>
      <c r="AD670" s="239"/>
      <c r="AE670" s="244"/>
      <c r="AF670" s="189"/>
      <c r="AG670" s="189"/>
      <c r="AH670" s="189"/>
      <c r="AI670" s="189"/>
      <c r="AJ670" s="189"/>
      <c r="AK670" s="189"/>
      <c r="AL670" s="305">
        <v>10</v>
      </c>
      <c r="AM670" s="306">
        <v>2022</v>
      </c>
      <c r="AN670" s="180"/>
      <c r="AP670" t="str">
        <f>IF(BD_Bloqueados[[#This Row],[Analista ]]&lt;&gt;"Ana C",MID(BD_Bloqueados[[#This Row],[ID]],3,5),MID(BD_Bloqueados[[#This Row],[ID]],4,5))</f>
        <v>27622</v>
      </c>
      <c r="AQ670">
        <v>150</v>
      </c>
      <c r="AR670">
        <v>2022</v>
      </c>
      <c r="AS670" s="72">
        <v>44562</v>
      </c>
      <c r="AT670" s="72">
        <v>44711</v>
      </c>
      <c r="AU670">
        <v>5</v>
      </c>
    </row>
    <row r="671" spans="1:47">
      <c r="A671" t="s">
        <v>1528</v>
      </c>
      <c r="B671">
        <v>2</v>
      </c>
      <c r="C671" s="72">
        <v>44896</v>
      </c>
      <c r="D671">
        <v>49</v>
      </c>
      <c r="E671" s="173">
        <v>0.5</v>
      </c>
      <c r="F671" t="s">
        <v>78</v>
      </c>
      <c r="G671" t="s">
        <v>27</v>
      </c>
      <c r="H671" t="s">
        <v>189</v>
      </c>
      <c r="I671" t="s">
        <v>615</v>
      </c>
      <c r="J671" t="s">
        <v>618</v>
      </c>
      <c r="K671" t="s">
        <v>1529</v>
      </c>
      <c r="L671" t="s">
        <v>108</v>
      </c>
      <c r="M671" t="s">
        <v>1029</v>
      </c>
      <c r="N671">
        <v>967555800</v>
      </c>
      <c r="O671" t="s">
        <v>237</v>
      </c>
      <c r="P671" s="154">
        <v>13030190</v>
      </c>
      <c r="Q671" t="s">
        <v>138</v>
      </c>
      <c r="R671" t="s">
        <v>585</v>
      </c>
      <c r="S671" t="s">
        <v>1530</v>
      </c>
      <c r="T671" t="s">
        <v>1531</v>
      </c>
      <c r="U671" t="s">
        <v>1532</v>
      </c>
      <c r="V671" t="s">
        <v>1533</v>
      </c>
      <c r="W671" t="s">
        <v>101</v>
      </c>
      <c r="X671" t="s">
        <v>129</v>
      </c>
      <c r="Y671" s="229">
        <v>45</v>
      </c>
      <c r="Z671" s="176">
        <v>109896.42857142858</v>
      </c>
      <c r="AA671">
        <v>333</v>
      </c>
      <c r="AB671" t="s">
        <v>1534</v>
      </c>
      <c r="AC671" t="s">
        <v>1535</v>
      </c>
      <c r="AD671" s="239">
        <v>0.45</v>
      </c>
      <c r="AE671" s="244" t="s">
        <v>1374</v>
      </c>
      <c r="AF671" s="189">
        <v>850.28800000000001</v>
      </c>
      <c r="AG671" s="189">
        <v>267.09699999999998</v>
      </c>
      <c r="AH671" s="189">
        <v>149.124</v>
      </c>
      <c r="AI671" s="189">
        <v>68.084999999999994</v>
      </c>
      <c r="AJ671" s="189">
        <v>12.702999999999999</v>
      </c>
      <c r="AK671" s="189">
        <v>0</v>
      </c>
      <c r="AL671" s="305">
        <v>12</v>
      </c>
      <c r="AM671" s="306">
        <v>2022</v>
      </c>
      <c r="AN671" s="180"/>
      <c r="AP671" t="str">
        <f>IF(BD_Bloqueados[[#This Row],[Analista ]]&lt;&gt;"Ana C",MID(BD_Bloqueados[[#This Row],[ID]],3,5),MID(BD_Bloqueados[[#This Row],[ID]],4,5))</f>
        <v>33522</v>
      </c>
      <c r="AQ671">
        <v>214</v>
      </c>
      <c r="AR671">
        <v>2022</v>
      </c>
      <c r="AS671" s="72">
        <v>44562</v>
      </c>
      <c r="AT671" s="72">
        <v>44775</v>
      </c>
      <c r="AU671">
        <v>8</v>
      </c>
    </row>
    <row r="672" spans="1:47">
      <c r="A672" t="s">
        <v>1536</v>
      </c>
      <c r="B672">
        <v>2</v>
      </c>
      <c r="C672" s="72">
        <v>44896</v>
      </c>
      <c r="D672">
        <v>49</v>
      </c>
      <c r="E672" s="173">
        <v>0.53472222222222221</v>
      </c>
      <c r="F672" t="s">
        <v>78</v>
      </c>
      <c r="G672" t="s">
        <v>27</v>
      </c>
      <c r="H672" t="s">
        <v>189</v>
      </c>
      <c r="I672" t="s">
        <v>615</v>
      </c>
      <c r="J672" t="s">
        <v>618</v>
      </c>
      <c r="K672" t="s">
        <v>1529</v>
      </c>
      <c r="L672" t="s">
        <v>108</v>
      </c>
      <c r="M672" t="s">
        <v>1029</v>
      </c>
      <c r="N672">
        <v>967555800</v>
      </c>
      <c r="O672" t="s">
        <v>148</v>
      </c>
      <c r="P672" s="154">
        <v>13030495</v>
      </c>
      <c r="Q672" t="s">
        <v>138</v>
      </c>
      <c r="R672" t="s">
        <v>585</v>
      </c>
      <c r="S672" t="s">
        <v>1537</v>
      </c>
      <c r="T672" t="s">
        <v>1538</v>
      </c>
      <c r="U672" t="s">
        <v>1532</v>
      </c>
      <c r="V672" t="s">
        <v>1533</v>
      </c>
      <c r="W672" t="s">
        <v>101</v>
      </c>
      <c r="X672" t="s">
        <v>129</v>
      </c>
      <c r="Y672" s="229">
        <v>3.4</v>
      </c>
      <c r="Z672" s="176">
        <v>9425.0833333333339</v>
      </c>
      <c r="AA672">
        <v>316</v>
      </c>
      <c r="AB672" t="s">
        <v>1534</v>
      </c>
      <c r="AC672" t="s">
        <v>1535</v>
      </c>
      <c r="AD672" s="41">
        <v>0.45</v>
      </c>
      <c r="AE672" s="285"/>
      <c r="AF672" s="249">
        <v>850.28800000000001</v>
      </c>
      <c r="AG672" s="249">
        <v>267.09699999999998</v>
      </c>
      <c r="AH672" s="249">
        <v>149.124</v>
      </c>
      <c r="AI672" s="249">
        <v>68.084999999999994</v>
      </c>
      <c r="AJ672" s="249">
        <v>12.702999999999999</v>
      </c>
      <c r="AK672" s="249">
        <v>0</v>
      </c>
      <c r="AL672" s="305">
        <v>12</v>
      </c>
      <c r="AM672" s="306">
        <v>2022</v>
      </c>
      <c r="AN672" s="180"/>
      <c r="AP672" t="str">
        <f>IF(BD_Bloqueados[[#This Row],[Analista ]]&lt;&gt;"Ana C",MID(BD_Bloqueados[[#This Row],[ID]],3,5),MID(BD_Bloqueados[[#This Row],[ID]],4,5))</f>
        <v>33522</v>
      </c>
      <c r="AQ672">
        <v>244</v>
      </c>
      <c r="AR672">
        <v>2022</v>
      </c>
      <c r="AS672" s="72">
        <v>44562</v>
      </c>
      <c r="AT672" s="72">
        <v>44805</v>
      </c>
      <c r="AU672">
        <v>9</v>
      </c>
    </row>
    <row r="673" spans="1:47">
      <c r="A673" t="s">
        <v>1811</v>
      </c>
      <c r="B673">
        <v>2</v>
      </c>
      <c r="C673" s="72">
        <v>44896</v>
      </c>
      <c r="D673">
        <v>49</v>
      </c>
      <c r="E673" s="173">
        <v>0.53472222222222221</v>
      </c>
      <c r="F673" t="s">
        <v>78</v>
      </c>
      <c r="G673" t="s">
        <v>27</v>
      </c>
      <c r="H673" t="s">
        <v>189</v>
      </c>
      <c r="I673" t="s">
        <v>615</v>
      </c>
      <c r="J673" t="s">
        <v>618</v>
      </c>
      <c r="K673" t="s">
        <v>1529</v>
      </c>
      <c r="L673" t="s">
        <v>108</v>
      </c>
      <c r="M673" t="s">
        <v>1029</v>
      </c>
      <c r="N673">
        <v>967555800</v>
      </c>
      <c r="O673" t="s">
        <v>253</v>
      </c>
      <c r="P673" s="154">
        <v>13030191</v>
      </c>
      <c r="Q673" t="s">
        <v>138</v>
      </c>
      <c r="R673" t="s">
        <v>585</v>
      </c>
      <c r="S673" t="s">
        <v>1812</v>
      </c>
      <c r="T673" t="s">
        <v>1538</v>
      </c>
      <c r="U673" t="s">
        <v>1532</v>
      </c>
      <c r="V673" t="s">
        <v>1813</v>
      </c>
      <c r="W673" t="s">
        <v>101</v>
      </c>
      <c r="X673" t="s">
        <v>129</v>
      </c>
      <c r="Y673" s="229">
        <v>1.47</v>
      </c>
      <c r="Z673" s="176">
        <v>3975</v>
      </c>
      <c r="AA673">
        <v>327</v>
      </c>
      <c r="AB673" t="s">
        <v>1534</v>
      </c>
      <c r="AC673" t="s">
        <v>1535</v>
      </c>
      <c r="AD673" s="31"/>
      <c r="AE673" s="31"/>
      <c r="AF673" s="180"/>
      <c r="AG673" s="180"/>
      <c r="AH673" s="180"/>
      <c r="AI673" s="180"/>
      <c r="AJ673" s="180"/>
      <c r="AK673" s="180"/>
      <c r="AL673" s="305">
        <v>12</v>
      </c>
      <c r="AM673" s="306">
        <v>2022</v>
      </c>
      <c r="AN673" s="180"/>
      <c r="AP673" t="str">
        <f>IF(BD_Bloqueados[[#This Row],[Analista ]]&lt;&gt;"Ana C",MID(BD_Bloqueados[[#This Row],[ID]],3,5),MID(BD_Bloqueados[[#This Row],[ID]],4,5))</f>
        <v>33522</v>
      </c>
      <c r="AQ673">
        <v>182</v>
      </c>
      <c r="AR673">
        <v>2022</v>
      </c>
      <c r="AS673" s="72">
        <v>44562</v>
      </c>
      <c r="AT673" s="72">
        <v>44743</v>
      </c>
      <c r="AU673">
        <v>7</v>
      </c>
    </row>
    <row r="674" spans="1:47">
      <c r="A674" t="s">
        <v>1821</v>
      </c>
      <c r="B674">
        <v>2</v>
      </c>
      <c r="C674" s="72">
        <v>44896</v>
      </c>
      <c r="D674">
        <v>49</v>
      </c>
      <c r="E674" s="173">
        <v>0.53472222222222221</v>
      </c>
      <c r="F674" t="s">
        <v>78</v>
      </c>
      <c r="G674" t="s">
        <v>27</v>
      </c>
      <c r="H674" t="s">
        <v>189</v>
      </c>
      <c r="I674" t="s">
        <v>615</v>
      </c>
      <c r="J674" t="s">
        <v>618</v>
      </c>
      <c r="K674" t="s">
        <v>1529</v>
      </c>
      <c r="L674" t="s">
        <v>108</v>
      </c>
      <c r="M674" t="s">
        <v>1029</v>
      </c>
      <c r="N674">
        <v>967555800</v>
      </c>
      <c r="O674" t="s">
        <v>769</v>
      </c>
      <c r="P674" s="154">
        <v>13030092</v>
      </c>
      <c r="Q674" t="s">
        <v>138</v>
      </c>
      <c r="R674" t="s">
        <v>585</v>
      </c>
      <c r="S674" t="s">
        <v>1822</v>
      </c>
      <c r="T674" t="s">
        <v>1538</v>
      </c>
      <c r="U674" t="s">
        <v>1532</v>
      </c>
      <c r="V674" t="s">
        <v>1823</v>
      </c>
      <c r="W674" t="s">
        <v>101</v>
      </c>
      <c r="X674" t="s">
        <v>129</v>
      </c>
      <c r="Y674" s="229">
        <v>1.78</v>
      </c>
      <c r="Z674" s="176">
        <v>5277.6</v>
      </c>
      <c r="AA674">
        <v>322</v>
      </c>
      <c r="AB674" t="s">
        <v>1534</v>
      </c>
      <c r="AC674" t="s">
        <v>1535</v>
      </c>
      <c r="AD674" s="280"/>
      <c r="AE674" s="280"/>
      <c r="AF674" s="180"/>
      <c r="AG674" s="180"/>
      <c r="AH674" s="180"/>
      <c r="AI674" s="180"/>
      <c r="AJ674" s="180"/>
      <c r="AK674" s="180"/>
      <c r="AL674" s="305">
        <v>12</v>
      </c>
      <c r="AM674" s="306">
        <v>2022</v>
      </c>
      <c r="AN674" s="180"/>
      <c r="AP674" t="str">
        <f>IF(BD_Bloqueados[[#This Row],[Analista ]]&lt;&gt;"Ana C",MID(BD_Bloqueados[[#This Row],[ID]],3,5),MID(BD_Bloqueados[[#This Row],[ID]],4,5))</f>
        <v>33522</v>
      </c>
      <c r="AQ674">
        <v>182</v>
      </c>
      <c r="AR674">
        <v>2022</v>
      </c>
      <c r="AS674" s="72">
        <v>44562</v>
      </c>
      <c r="AT674" s="72">
        <v>44743</v>
      </c>
      <c r="AU674">
        <v>7</v>
      </c>
    </row>
  </sheetData>
  <sheetProtection algorithmName="SHA-512" hashValue="6ipFSeZjYMr/B2Yn1HgTcgwX59PmRoWitLsv3IABFXfTq/GRoLFdph8GqkwWQGn1e/WU7c/sCmtzDIK8HUE49w==" saltValue="G/SA2dVrvsJA5o8WEGrBug==" spinCount="100000" sheet="1" objects="1" scenarios="1"/>
  <phoneticPr fontId="9" type="noConversion"/>
  <conditionalFormatting sqref="Y302:Y338">
    <cfRule type="cellIs" dxfId="8" priority="7" operator="equal">
      <formula>0</formula>
    </cfRule>
    <cfRule type="cellIs" priority="8" operator="greaterThan">
      <formula>"Blank()"</formula>
    </cfRule>
  </conditionalFormatting>
  <conditionalFormatting sqref="X302:X338">
    <cfRule type="cellIs" dxfId="7" priority="6" operator="equal">
      <formula>"No Informado"</formula>
    </cfRule>
  </conditionalFormatting>
  <conditionalFormatting sqref="X282">
    <cfRule type="cellIs" dxfId="6" priority="5" operator="equal">
      <formula>"No Informado"</formula>
    </cfRule>
  </conditionalFormatting>
  <conditionalFormatting sqref="L130:L651">
    <cfRule type="containsText" dxfId="5" priority="4" operator="containsText" text="Bloqueo PT/SE">
      <formula>NOT(ISERROR(SEARCH("Bloqueo PT/SE",L130)))</formula>
    </cfRule>
  </conditionalFormatting>
  <conditionalFormatting sqref="L129">
    <cfRule type="containsText" dxfId="4" priority="3" operator="containsText" text="Bloqueo PT/SE">
      <formula>NOT(ISERROR(SEARCH("Bloqueo PT/SE",L129)))</formula>
    </cfRule>
  </conditionalFormatting>
  <conditionalFormatting sqref="W129">
    <cfRule type="containsText" dxfId="3" priority="2" operator="containsText" text="Bloqueo PT/SE">
      <formula>NOT(ISERROR(SEARCH("Bloqueo PT/SE",W129)))</formula>
    </cfRule>
  </conditionalFormatting>
  <pageMargins left="0.7" right="0.7" top="0.75" bottom="0.75" header="0.3" footer="0.3"/>
  <pageSetup paperSize="9" orientation="portrait" verticalDpi="599"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Volver">
                <anchor moveWithCells="1" sizeWithCells="1">
                  <from>
                    <xdr:col>0</xdr:col>
                    <xdr:colOff>0</xdr:colOff>
                    <xdr:row>0</xdr:row>
                    <xdr:rowOff>0</xdr:rowOff>
                  </from>
                  <to>
                    <xdr:col>0</xdr:col>
                    <xdr:colOff>1327150</xdr:colOff>
                    <xdr:row>0</xdr:row>
                    <xdr:rowOff>222250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ntainsText" priority="1" operator="containsText" id="{EE7EF310-817D-4668-BACB-C9728207BD6A}">
            <xm:f>NOT(ISERROR(SEARCH($L$129,W129)))</xm:f>
            <xm:f>$L$129</xm:f>
            <x14:dxf>
              <font>
                <color theme="9"/>
              </font>
              <fill>
                <patternFill>
                  <bgColor rgb="FF92D050"/>
                </patternFill>
              </fill>
            </x14:dxf>
          </x14:cfRule>
          <xm:sqref>W129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0"/>
  <dimension ref="A1"/>
  <sheetViews>
    <sheetView topLeftCell="A103" workbookViewId="0"/>
  </sheetViews>
  <sheetFormatPr baseColWidth="10" defaultColWidth="11.453125" defaultRowHeight="1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
  <sheetViews>
    <sheetView workbookViewId="0">
      <selection activeCell="B39" sqref="B39"/>
    </sheetView>
  </sheetViews>
  <sheetFormatPr baseColWidth="10" defaultColWidth="11.453125" defaultRowHeight="14.5"/>
  <sheetData>
    <row r="1" spans="1:28" ht="16.5">
      <c r="A1" t="s">
        <v>997</v>
      </c>
      <c r="B1" t="s">
        <v>36</v>
      </c>
      <c r="C1" t="s">
        <v>5</v>
      </c>
      <c r="D1" t="s">
        <v>998</v>
      </c>
      <c r="E1" t="s">
        <v>999</v>
      </c>
      <c r="F1" t="s">
        <v>18</v>
      </c>
      <c r="G1" t="s">
        <v>1000</v>
      </c>
      <c r="H1" t="s">
        <v>546</v>
      </c>
      <c r="I1" t="s">
        <v>1001</v>
      </c>
      <c r="J1" t="s">
        <v>38</v>
      </c>
      <c r="K1" t="s">
        <v>1002</v>
      </c>
      <c r="L1" t="s">
        <v>39</v>
      </c>
      <c r="M1" t="s">
        <v>40</v>
      </c>
      <c r="N1" t="s">
        <v>555</v>
      </c>
      <c r="O1" t="s">
        <v>1005</v>
      </c>
      <c r="P1" t="s">
        <v>4333</v>
      </c>
      <c r="Q1" t="s">
        <v>4334</v>
      </c>
      <c r="R1" t="s">
        <v>4335</v>
      </c>
      <c r="S1" t="s">
        <v>4336</v>
      </c>
      <c r="T1" t="s">
        <v>4337</v>
      </c>
      <c r="U1" t="s">
        <v>1008</v>
      </c>
      <c r="V1" t="s">
        <v>72</v>
      </c>
      <c r="W1" t="s">
        <v>1009</v>
      </c>
      <c r="X1" t="s">
        <v>1010</v>
      </c>
      <c r="Y1" t="s">
        <v>1011</v>
      </c>
      <c r="Z1" t="s">
        <v>1012</v>
      </c>
      <c r="AA1" t="s">
        <v>1013</v>
      </c>
      <c r="AB1" t="s">
        <v>1014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tabColor theme="9" tint="0.39997558519241921"/>
  </sheetPr>
  <dimension ref="A1:A364"/>
  <sheetViews>
    <sheetView workbookViewId="0">
      <selection activeCell="H3" sqref="H3"/>
    </sheetView>
  </sheetViews>
  <sheetFormatPr baseColWidth="10" defaultColWidth="15.453125" defaultRowHeight="14.5"/>
  <cols>
    <col min="1" max="1" width="13.54296875" customWidth="1"/>
    <col min="2" max="2" width="6.453125" customWidth="1"/>
    <col min="3" max="3" width="11.453125" bestFit="1" customWidth="1"/>
    <col min="4" max="4" width="6.54296875" customWidth="1"/>
    <col min="5" max="5" width="7" customWidth="1"/>
    <col min="6" max="6" width="13.54296875" bestFit="1" customWidth="1"/>
    <col min="7" max="7" width="19.54296875" customWidth="1"/>
    <col min="8" max="8" width="16.54296875" bestFit="1" customWidth="1"/>
    <col min="9" max="9" width="14.54296875" customWidth="1"/>
    <col min="10" max="10" width="23.453125" customWidth="1"/>
    <col min="11" max="11" width="31.453125" bestFit="1" customWidth="1"/>
    <col min="12" max="12" width="11.54296875" customWidth="1"/>
    <col min="13" max="13" width="19.54296875" customWidth="1"/>
    <col min="14" max="14" width="12.54296875" customWidth="1"/>
    <col min="15" max="15" width="16.54296875" bestFit="1" customWidth="1"/>
    <col min="16" max="16" width="25.453125" customWidth="1"/>
    <col min="17" max="17" width="16.453125" bestFit="1" customWidth="1"/>
    <col min="18" max="18" width="17.54296875" customWidth="1"/>
    <col min="19" max="19" width="32" bestFit="1" customWidth="1"/>
    <col min="20" max="20" width="30" customWidth="1"/>
    <col min="21" max="21" width="24.453125" customWidth="1"/>
    <col min="22" max="22" width="18.453125" bestFit="1" customWidth="1"/>
    <col min="23" max="23" width="20.453125" customWidth="1"/>
    <col min="24" max="24" width="18.453125" bestFit="1" customWidth="1"/>
    <col min="25" max="25" width="32.453125" customWidth="1"/>
    <col min="26" max="26" width="107.54296875" customWidth="1"/>
    <col min="27" max="27" width="16.453125" bestFit="1" customWidth="1"/>
    <col min="28" max="28" width="20.54296875" customWidth="1"/>
    <col min="29" max="29" width="55.54296875" customWidth="1"/>
    <col min="30" max="30" width="89.453125" customWidth="1"/>
    <col min="31" max="31" width="18.54296875" bestFit="1" customWidth="1"/>
    <col min="32" max="32" width="11.453125" customWidth="1"/>
    <col min="33" max="33" width="15.453125" bestFit="1" customWidth="1"/>
  </cols>
  <sheetData>
    <row r="1" ht="77.25" customHeight="1"/>
    <row r="190" ht="26.15" customHeight="1"/>
    <row r="192" ht="33.75" customHeight="1"/>
    <row r="199" ht="69" customHeight="1"/>
    <row r="209" ht="51" customHeight="1"/>
    <row r="210" ht="54.65" customHeight="1"/>
    <row r="233" ht="59.15" customHeight="1"/>
    <row r="234" ht="50.9" customHeight="1"/>
    <row r="238" ht="77.900000000000006" customHeight="1"/>
    <row r="239" ht="77.900000000000006" customHeight="1"/>
    <row r="240" ht="62.15" customHeight="1"/>
    <row r="247" ht="55.4" customHeight="1"/>
    <row r="248" ht="59.9" customHeight="1"/>
    <row r="249" ht="57" customHeight="1"/>
    <row r="250" ht="65.150000000000006" customHeight="1"/>
    <row r="251" ht="51.65" customHeight="1"/>
    <row r="252" ht="51.65" customHeight="1"/>
    <row r="253" ht="45" customHeight="1"/>
    <row r="254" ht="60" customHeight="1"/>
    <row r="262" ht="51" customHeight="1"/>
    <row r="263" ht="35.9" customHeight="1"/>
    <row r="266" ht="144.65" customHeight="1"/>
    <row r="276" ht="116.15" customHeight="1"/>
    <row r="282" ht="53.9" customHeight="1"/>
    <row r="283" ht="53.9" customHeight="1"/>
    <row r="284" ht="123" customHeight="1"/>
    <row r="285" ht="123" customHeight="1"/>
    <row r="286" ht="65.150000000000006" customHeight="1"/>
    <row r="300" ht="86.15" customHeight="1"/>
    <row r="305" ht="172.4" customHeight="1"/>
    <row r="309" ht="35.25" customHeight="1"/>
    <row r="328" ht="90.65" customHeight="1"/>
    <row r="333" ht="104.9" customHeight="1"/>
    <row r="334" ht="104.9" customHeight="1"/>
    <row r="335" ht="104.9" customHeight="1"/>
    <row r="336" ht="104.9" customHeight="1"/>
    <row r="337" ht="104.9" customHeight="1"/>
    <row r="338" ht="80.150000000000006" customHeight="1"/>
    <row r="342" ht="35.15" customHeight="1"/>
    <row r="346" ht="71.900000000000006" customHeight="1"/>
    <row r="349" ht="25.4" customHeight="1"/>
    <row r="352" ht="36" customHeight="1"/>
    <row r="356" ht="39.65" customHeight="1"/>
    <row r="364" ht="29.15" customHeight="1"/>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dimension ref="J1"/>
  <sheetViews>
    <sheetView zoomScale="70" zoomScaleNormal="70" workbookViewId="0">
      <selection activeCell="D22" sqref="D22"/>
    </sheetView>
  </sheetViews>
  <sheetFormatPr baseColWidth="10" defaultColWidth="11.453125" defaultRowHeight="14.5"/>
  <cols>
    <col min="1" max="1" width="38.54296875" customWidth="1"/>
    <col min="2" max="2" width="60.54296875" customWidth="1"/>
    <col min="3" max="3" width="29.54296875" bestFit="1" customWidth="1"/>
    <col min="4" max="7" width="255.54296875" bestFit="1" customWidth="1"/>
    <col min="8" max="8" width="45.453125" bestFit="1" customWidth="1"/>
    <col min="9" max="9" width="8.453125" customWidth="1"/>
    <col min="10" max="10" width="23.453125" hidden="1" customWidth="1"/>
    <col min="11" max="11" width="55" customWidth="1"/>
    <col min="12" max="12" width="27.54296875" customWidth="1"/>
    <col min="13" max="14" width="36.453125" customWidth="1"/>
    <col min="15" max="15" width="14.54296875" bestFit="1" customWidth="1"/>
    <col min="16" max="16" width="23.453125" bestFit="1" customWidth="1"/>
    <col min="17" max="17" width="26.54296875" bestFit="1" customWidth="1"/>
    <col min="18" max="18" width="8.453125" bestFit="1" customWidth="1"/>
    <col min="19" max="19" width="73.54296875" customWidth="1"/>
    <col min="20" max="20" width="8.453125" bestFit="1" customWidth="1"/>
    <col min="21" max="21" width="10.54296875" bestFit="1" customWidth="1"/>
    <col min="22" max="24" width="8.453125" bestFit="1" customWidth="1"/>
    <col min="25" max="25" width="10.54296875" bestFit="1" customWidth="1"/>
    <col min="26" max="28" width="8.453125" bestFit="1" customWidth="1"/>
    <col min="29" max="29" width="10.54296875" bestFit="1" customWidth="1"/>
    <col min="30" max="32" width="8.453125" bestFit="1" customWidth="1"/>
    <col min="33" max="33" width="10.54296875" bestFit="1" customWidth="1"/>
    <col min="34" max="34" width="9.54296875" bestFit="1" customWidth="1"/>
    <col min="35" max="37" width="8.453125" bestFit="1" customWidth="1"/>
    <col min="38" max="38" width="10.54296875" bestFit="1" customWidth="1"/>
    <col min="39" max="39" width="9.54296875" bestFit="1" customWidth="1"/>
    <col min="40" max="40" width="11.54296875" bestFit="1" customWidth="1"/>
    <col min="41" max="233" width="21.453125" bestFit="1" customWidth="1"/>
    <col min="234" max="234" width="11.54296875" bestFit="1"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
  <dimension ref="D3:J7"/>
  <sheetViews>
    <sheetView showGridLines="0" showRowColHeaders="0" tabSelected="1" view="pageBreakPreview" zoomScale="190" zoomScaleNormal="100" zoomScaleSheetLayoutView="190" workbookViewId="0">
      <selection activeCell="E7" sqref="E7"/>
    </sheetView>
  </sheetViews>
  <sheetFormatPr baseColWidth="10" defaultColWidth="11.453125" defaultRowHeight="14.5"/>
  <cols>
    <col min="3" max="3" width="9.453125" customWidth="1"/>
    <col min="5" max="5" width="13.453125" customWidth="1"/>
    <col min="10" max="10" width="10.54296875" customWidth="1"/>
  </cols>
  <sheetData>
    <row r="3" spans="4:10">
      <c r="D3" s="358"/>
      <c r="E3" s="358"/>
      <c r="F3" s="358"/>
      <c r="G3" s="358"/>
      <c r="H3" s="358"/>
      <c r="I3" s="358"/>
      <c r="J3" s="358"/>
    </row>
    <row r="4" spans="4:10" ht="28.4" customHeight="1">
      <c r="D4" s="358"/>
      <c r="E4" s="358"/>
      <c r="F4" s="358"/>
      <c r="G4" s="358"/>
      <c r="H4" s="358"/>
      <c r="I4" s="358"/>
      <c r="J4" s="358"/>
    </row>
    <row r="7" spans="4:10">
      <c r="E7" s="150"/>
      <c r="G7" t="s">
        <v>230</v>
      </c>
    </row>
  </sheetData>
  <mergeCells count="1">
    <mergeCell ref="D3:J4"/>
  </mergeCells>
  <pageMargins left="0.7" right="0.7" top="0.75" bottom="0.75" header="0.3" footer="0.3"/>
  <pageSetup paperSize="9" orientation="portrait" verticalDpi="599"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Iniciar">
                <anchor moveWithCells="1" sizeWithCells="1">
                  <from>
                    <xdr:col>3</xdr:col>
                    <xdr:colOff>69850</xdr:colOff>
                    <xdr:row>4</xdr:row>
                    <xdr:rowOff>146050</xdr:rowOff>
                  </from>
                  <to>
                    <xdr:col>5</xdr:col>
                    <xdr:colOff>184150</xdr:colOff>
                    <xdr:row>6</xdr:row>
                    <xdr:rowOff>76200</xdr:rowOff>
                  </to>
                </anchor>
              </controlPr>
            </control>
          </mc:Choice>
        </mc:AlternateContent>
        <mc:AlternateContent xmlns:mc="http://schemas.openxmlformats.org/markup-compatibility/2006">
          <mc:Choice Requires="x14">
            <control shapeId="7170" r:id="rId5" name="Button 2">
              <controlPr defaultSize="0" print="0" autoFill="0" autoPict="0" macro="[0]!VerBD">
                <anchor moveWithCells="1" sizeWithCells="1">
                  <from>
                    <xdr:col>7</xdr:col>
                    <xdr:colOff>336550</xdr:colOff>
                    <xdr:row>4</xdr:row>
                    <xdr:rowOff>146050</xdr:rowOff>
                  </from>
                  <to>
                    <xdr:col>9</xdr:col>
                    <xdr:colOff>723900</xdr:colOff>
                    <xdr:row>6</xdr:row>
                    <xdr:rowOff>107950</xdr:rowOff>
                  </to>
                </anchor>
              </controlPr>
            </control>
          </mc:Choice>
        </mc:AlternateContent>
        <mc:AlternateContent xmlns:mc="http://schemas.openxmlformats.org/markup-compatibility/2006">
          <mc:Choice Requires="x14">
            <control shapeId="7171" r:id="rId6" name="Button 3">
              <controlPr defaultSize="0" print="0" autoFill="0" autoPict="0" macro="[0]!VerReporte">
                <anchor moveWithCells="1" sizeWithCells="1">
                  <from>
                    <xdr:col>14</xdr:col>
                    <xdr:colOff>38100</xdr:colOff>
                    <xdr:row>3</xdr:row>
                    <xdr:rowOff>184150</xdr:rowOff>
                  </from>
                  <to>
                    <xdr:col>16</xdr:col>
                    <xdr:colOff>50800</xdr:colOff>
                    <xdr:row>4</xdr:row>
                    <xdr:rowOff>88900</xdr:rowOff>
                  </to>
                </anchor>
              </controlPr>
            </control>
          </mc:Choice>
        </mc:AlternateContent>
        <mc:AlternateContent xmlns:mc="http://schemas.openxmlformats.org/markup-compatibility/2006">
          <mc:Choice Requires="x14">
            <control shapeId="7174" r:id="rId7" name="Button 6">
              <controlPr defaultSize="0" print="0" autoFill="0" autoPict="0" macro="[0]!GestionAdministrador">
                <anchor moveWithCells="1" sizeWithCells="1">
                  <from>
                    <xdr:col>14</xdr:col>
                    <xdr:colOff>50800</xdr:colOff>
                    <xdr:row>4</xdr:row>
                    <xdr:rowOff>146050</xdr:rowOff>
                  </from>
                  <to>
                    <xdr:col>16</xdr:col>
                    <xdr:colOff>38100</xdr:colOff>
                    <xdr:row>6</xdr:row>
                    <xdr:rowOff>31750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A3D68-1975-4B2B-A410-53795F5BBCEB}">
  <sheetPr codeName="Hoja14"/>
  <dimension ref="A1"/>
  <sheetViews>
    <sheetView workbookViewId="0"/>
  </sheetViews>
  <sheetFormatPr baseColWidth="10" defaultColWidth="11.453125" defaultRowHeight="14.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6">
    <pageSetUpPr fitToPage="1"/>
  </sheetPr>
  <dimension ref="A1:G40"/>
  <sheetViews>
    <sheetView showGridLines="0" view="pageBreakPreview" zoomScale="115" zoomScaleNormal="55" zoomScaleSheetLayoutView="115" zoomScalePageLayoutView="55" workbookViewId="0">
      <selection activeCell="D2" sqref="D2"/>
    </sheetView>
  </sheetViews>
  <sheetFormatPr baseColWidth="10" defaultColWidth="11.453125" defaultRowHeight="14.5"/>
  <cols>
    <col min="1" max="1" width="26.54296875" customWidth="1"/>
    <col min="2" max="2" width="40.54296875" customWidth="1"/>
    <col min="3" max="3" width="11.54296875" customWidth="1"/>
    <col min="4" max="4" width="24.453125" customWidth="1"/>
    <col min="7" max="7" width="22.54296875" customWidth="1"/>
  </cols>
  <sheetData>
    <row r="1" spans="1:7">
      <c r="A1" s="359" t="s">
        <v>1029</v>
      </c>
      <c r="B1" s="362" t="s">
        <v>4338</v>
      </c>
      <c r="C1" s="101" t="s">
        <v>36</v>
      </c>
      <c r="D1" s="99">
        <v>2</v>
      </c>
    </row>
    <row r="2" spans="1:7">
      <c r="A2" s="360"/>
      <c r="B2" s="363"/>
      <c r="C2" s="102" t="s">
        <v>5</v>
      </c>
      <c r="D2" s="128">
        <v>45301</v>
      </c>
    </row>
    <row r="3" spans="1:7" ht="16.399999999999999" customHeight="1" thickBot="1">
      <c r="A3" s="361"/>
      <c r="B3" s="364"/>
      <c r="C3" s="103" t="s">
        <v>998</v>
      </c>
      <c r="D3" s="100">
        <v>41</v>
      </c>
    </row>
    <row r="4" spans="1:7">
      <c r="A4" s="105"/>
      <c r="B4" s="105"/>
      <c r="C4" s="106"/>
      <c r="D4" s="106"/>
    </row>
    <row r="5" spans="1:7" ht="13.4" customHeight="1" thickBot="1">
      <c r="A5" s="107"/>
      <c r="B5" s="107"/>
      <c r="C5" s="365"/>
      <c r="D5" s="365"/>
    </row>
    <row r="6" spans="1:7" ht="46.4" customHeight="1">
      <c r="A6" s="104" t="s">
        <v>4339</v>
      </c>
      <c r="B6" s="381" t="s">
        <v>4816</v>
      </c>
      <c r="C6" s="382"/>
      <c r="D6" s="383"/>
      <c r="F6" s="98"/>
      <c r="G6" s="97"/>
    </row>
    <row r="7" spans="1:7" ht="14.15" customHeight="1" thickBot="1">
      <c r="A7" s="108"/>
      <c r="B7" s="105"/>
      <c r="C7" s="367"/>
      <c r="D7" s="367"/>
    </row>
    <row r="8" spans="1:7" ht="23.15" customHeight="1">
      <c r="A8" s="89" t="s">
        <v>999</v>
      </c>
      <c r="B8" s="384">
        <v>0.50694444444444442</v>
      </c>
      <c r="C8" s="385"/>
      <c r="D8" s="386"/>
    </row>
    <row r="9" spans="1:7" ht="23.9" customHeight="1">
      <c r="A9" s="90" t="s">
        <v>18</v>
      </c>
      <c r="B9" s="387" t="s">
        <v>78</v>
      </c>
      <c r="C9" s="387"/>
      <c r="D9" s="388"/>
    </row>
    <row r="10" spans="1:7" ht="15" thickBot="1">
      <c r="A10" s="109"/>
      <c r="B10" s="105"/>
      <c r="C10" s="106"/>
      <c r="D10" s="106"/>
    </row>
    <row r="11" spans="1:7" ht="24" customHeight="1">
      <c r="A11" s="112" t="s">
        <v>1000</v>
      </c>
      <c r="B11" s="389" t="s">
        <v>25</v>
      </c>
      <c r="C11" s="389"/>
      <c r="D11" s="390"/>
    </row>
    <row r="12" spans="1:7" ht="24" customHeight="1">
      <c r="A12" s="113" t="s">
        <v>4340</v>
      </c>
      <c r="B12" s="373" t="s">
        <v>81</v>
      </c>
      <c r="C12" s="373"/>
      <c r="D12" s="374"/>
    </row>
    <row r="13" spans="1:7" ht="24" customHeight="1">
      <c r="A13" s="114" t="s">
        <v>4341</v>
      </c>
      <c r="B13" s="373" t="s">
        <v>567</v>
      </c>
      <c r="C13" s="373"/>
      <c r="D13" s="374"/>
    </row>
    <row r="14" spans="1:7" ht="24" customHeight="1" thickBot="1">
      <c r="A14" s="115" t="s">
        <v>1002</v>
      </c>
      <c r="B14" s="375" t="s">
        <v>4817</v>
      </c>
      <c r="C14" s="375"/>
      <c r="D14" s="376"/>
    </row>
    <row r="15" spans="1:7" ht="16" thickBot="1">
      <c r="A15" s="110"/>
      <c r="B15" s="106"/>
      <c r="C15" s="367"/>
      <c r="D15" s="367"/>
    </row>
    <row r="16" spans="1:7" ht="16" thickBot="1">
      <c r="A16" s="111" t="s">
        <v>4333</v>
      </c>
      <c r="B16" s="391" t="s">
        <v>108</v>
      </c>
      <c r="C16" s="391"/>
      <c r="D16" s="392"/>
    </row>
    <row r="17" spans="1:4" ht="16" thickBot="1">
      <c r="A17" s="110"/>
      <c r="B17" s="106"/>
      <c r="C17" s="106"/>
      <c r="D17" s="106"/>
    </row>
    <row r="18" spans="1:4" ht="15.5">
      <c r="A18" s="116" t="s">
        <v>39</v>
      </c>
      <c r="B18" s="393" t="s">
        <v>1029</v>
      </c>
      <c r="C18" s="379"/>
      <c r="D18" s="380"/>
    </row>
    <row r="19" spans="1:4" ht="16" thickBot="1">
      <c r="A19" s="115" t="s">
        <v>4342</v>
      </c>
      <c r="B19" s="394">
        <v>967555800</v>
      </c>
      <c r="C19" s="377"/>
      <c r="D19" s="378"/>
    </row>
    <row r="20" spans="1:4" ht="16" thickBot="1">
      <c r="A20" s="117"/>
      <c r="B20" s="106"/>
      <c r="C20" s="367"/>
      <c r="D20" s="367"/>
    </row>
    <row r="21" spans="1:4" ht="15.5">
      <c r="A21" s="94" t="s">
        <v>4343</v>
      </c>
      <c r="B21" s="379" t="s">
        <v>255</v>
      </c>
      <c r="C21" s="379"/>
      <c r="D21" s="380"/>
    </row>
    <row r="22" spans="1:4" ht="16.399999999999999" customHeight="1">
      <c r="A22" s="95" t="s">
        <v>4344</v>
      </c>
      <c r="B22" s="372">
        <v>13030177</v>
      </c>
      <c r="C22" s="372"/>
      <c r="D22" s="395"/>
    </row>
    <row r="23" spans="1:4" ht="16" thickBot="1">
      <c r="A23" s="96" t="s">
        <v>4345</v>
      </c>
      <c r="B23" s="377">
        <v>123</v>
      </c>
      <c r="C23" s="377"/>
      <c r="D23" s="378"/>
    </row>
    <row r="24" spans="1:4" ht="16" thickBot="1">
      <c r="A24" s="110"/>
      <c r="B24" s="106"/>
      <c r="C24" s="367"/>
      <c r="D24" s="367"/>
    </row>
    <row r="25" spans="1:4" ht="15.5">
      <c r="A25" s="93" t="s">
        <v>4346</v>
      </c>
      <c r="B25" s="379" t="s">
        <v>608</v>
      </c>
      <c r="C25" s="379"/>
      <c r="D25" s="380"/>
    </row>
    <row r="26" spans="1:4" ht="16" thickBot="1">
      <c r="A26" s="90" t="s">
        <v>4347</v>
      </c>
      <c r="B26" s="377" t="s">
        <v>80</v>
      </c>
      <c r="C26" s="377"/>
      <c r="D26" s="378"/>
    </row>
    <row r="27" spans="1:4" ht="16" thickBot="1">
      <c r="A27" s="108"/>
      <c r="B27" s="106"/>
      <c r="C27" s="367"/>
      <c r="D27" s="367"/>
    </row>
    <row r="28" spans="1:4" ht="49.5" customHeight="1">
      <c r="A28" s="93" t="s">
        <v>1009</v>
      </c>
      <c r="B28" s="370" t="s">
        <v>1009</v>
      </c>
      <c r="C28" s="370"/>
      <c r="D28" s="371"/>
    </row>
    <row r="29" spans="1:4" ht="30.65" customHeight="1">
      <c r="A29" s="91" t="s">
        <v>4348</v>
      </c>
      <c r="B29" s="368" t="s">
        <v>4818</v>
      </c>
      <c r="C29" s="368"/>
      <c r="D29" s="369"/>
    </row>
    <row r="30" spans="1:4" ht="24" customHeight="1" thickBot="1">
      <c r="A30" s="92" t="s">
        <v>1010</v>
      </c>
      <c r="B30" s="396" t="s">
        <v>1010</v>
      </c>
      <c r="C30" s="396"/>
      <c r="D30" s="397"/>
    </row>
    <row r="31" spans="1:4" ht="16" thickBot="1">
      <c r="A31" s="110"/>
      <c r="B31" s="106"/>
      <c r="C31" s="367"/>
      <c r="D31" s="367"/>
    </row>
    <row r="32" spans="1:4" ht="15.5">
      <c r="A32" s="93" t="s">
        <v>4349</v>
      </c>
      <c r="B32" s="379" t="s">
        <v>101</v>
      </c>
      <c r="C32" s="379"/>
      <c r="D32" s="380"/>
    </row>
    <row r="33" spans="1:7" ht="15.5">
      <c r="A33" s="91" t="s">
        <v>4350</v>
      </c>
      <c r="B33" s="372" t="s">
        <v>129</v>
      </c>
      <c r="C33" s="372"/>
      <c r="D33" s="395"/>
    </row>
    <row r="34" spans="1:7" ht="16" thickBot="1">
      <c r="A34" s="92" t="s">
        <v>1013</v>
      </c>
      <c r="B34" s="398">
        <v>111</v>
      </c>
      <c r="C34" s="377"/>
      <c r="D34" s="378"/>
    </row>
    <row r="35" spans="1:7" ht="16" thickBot="1">
      <c r="A35" s="117"/>
      <c r="B35" s="106"/>
      <c r="C35" s="367"/>
      <c r="D35" s="367"/>
    </row>
    <row r="36" spans="1:7" ht="15" thickBot="1">
      <c r="A36" s="118" t="s">
        <v>997</v>
      </c>
      <c r="B36" s="391" t="s">
        <v>4819</v>
      </c>
      <c r="C36" s="391"/>
      <c r="D36" s="392"/>
    </row>
    <row r="37" spans="1:7">
      <c r="C37" s="372"/>
      <c r="D37" s="372"/>
    </row>
    <row r="38" spans="1:7">
      <c r="A38" s="125"/>
      <c r="B38" s="125"/>
      <c r="C38" s="366"/>
      <c r="D38" s="366"/>
      <c r="E38" s="125"/>
      <c r="F38" s="125"/>
      <c r="G38" s="125"/>
    </row>
    <row r="39" spans="1:7">
      <c r="A39" s="125"/>
      <c r="B39" s="125"/>
      <c r="C39" s="366"/>
      <c r="D39" s="366"/>
      <c r="E39" s="125"/>
      <c r="F39" s="125"/>
      <c r="G39" s="125"/>
    </row>
    <row r="40" spans="1:7">
      <c r="A40" s="125"/>
      <c r="B40" s="125"/>
      <c r="C40" s="366"/>
      <c r="D40" s="366"/>
      <c r="E40" s="125"/>
      <c r="F40" s="125"/>
      <c r="G40" s="125"/>
    </row>
  </sheetData>
  <mergeCells count="36">
    <mergeCell ref="B30:D30"/>
    <mergeCell ref="B32:D32"/>
    <mergeCell ref="B33:D33"/>
    <mergeCell ref="B34:D34"/>
    <mergeCell ref="B36:D36"/>
    <mergeCell ref="C27:D27"/>
    <mergeCell ref="B23:D23"/>
    <mergeCell ref="B26:D26"/>
    <mergeCell ref="B25:D25"/>
    <mergeCell ref="B6:D6"/>
    <mergeCell ref="B8:D8"/>
    <mergeCell ref="B9:D9"/>
    <mergeCell ref="B11:D11"/>
    <mergeCell ref="B12:D12"/>
    <mergeCell ref="B16:D16"/>
    <mergeCell ref="B18:D18"/>
    <mergeCell ref="B19:D19"/>
    <mergeCell ref="B21:D21"/>
    <mergeCell ref="B22:D22"/>
    <mergeCell ref="C20:D20"/>
    <mergeCell ref="A1:A3"/>
    <mergeCell ref="B1:B3"/>
    <mergeCell ref="C5:D5"/>
    <mergeCell ref="C39:D39"/>
    <mergeCell ref="C40:D40"/>
    <mergeCell ref="C31:D31"/>
    <mergeCell ref="B29:D29"/>
    <mergeCell ref="C15:D15"/>
    <mergeCell ref="B28:D28"/>
    <mergeCell ref="C7:D7"/>
    <mergeCell ref="C35:D35"/>
    <mergeCell ref="C37:D37"/>
    <mergeCell ref="C38:D38"/>
    <mergeCell ref="B13:D13"/>
    <mergeCell ref="B14:D14"/>
    <mergeCell ref="C24:D24"/>
  </mergeCells>
  <pageMargins left="0.23622047244094491" right="3.937007874015748E-2" top="0.19685039370078741" bottom="0.19685039370078741" header="0.11811023622047245" footer="0.11811023622047245"/>
  <pageSetup fitToWidth="0" orientation="portrait" verticalDpi="599"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Volver">
                <anchor moveWithCells="1" sizeWithCells="1">
                  <from>
                    <xdr:col>4</xdr:col>
                    <xdr:colOff>571500</xdr:colOff>
                    <xdr:row>1</xdr:row>
                    <xdr:rowOff>31750</xdr:rowOff>
                  </from>
                  <to>
                    <xdr:col>6</xdr:col>
                    <xdr:colOff>946150</xdr:colOff>
                    <xdr:row>4</xdr:row>
                    <xdr:rowOff>31750</xdr:rowOff>
                  </to>
                </anchor>
              </controlPr>
            </control>
          </mc:Choice>
        </mc:AlternateContent>
        <mc:AlternateContent xmlns:mc="http://schemas.openxmlformats.org/markup-compatibility/2006">
          <mc:Choice Requires="x14">
            <control shapeId="13314" r:id="rId5" name="Button 2">
              <controlPr defaultSize="0" print="0" autoFill="0" autoPict="0" macro="[0]!Generarpdf2">
                <anchor moveWithCells="1" sizeWithCells="1">
                  <from>
                    <xdr:col>4</xdr:col>
                    <xdr:colOff>679450</xdr:colOff>
                    <xdr:row>5</xdr:row>
                    <xdr:rowOff>107950</xdr:rowOff>
                  </from>
                  <to>
                    <xdr:col>6</xdr:col>
                    <xdr:colOff>946150</xdr:colOff>
                    <xdr:row>5</xdr:row>
                    <xdr:rowOff>527050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pageSetUpPr fitToPage="1"/>
  </sheetPr>
  <dimension ref="A1:AC108"/>
  <sheetViews>
    <sheetView showGridLines="0" zoomScale="55" zoomScaleNormal="55" workbookViewId="0">
      <selection activeCell="O15" sqref="O15"/>
    </sheetView>
  </sheetViews>
  <sheetFormatPr baseColWidth="10" defaultColWidth="37.453125" defaultRowHeight="14.5"/>
  <cols>
    <col min="1" max="1" width="57.453125" customWidth="1"/>
    <col min="2" max="2" width="12.453125" customWidth="1"/>
    <col min="3" max="3" width="18.453125" customWidth="1"/>
    <col min="4" max="5" width="20.453125" customWidth="1"/>
    <col min="6" max="6" width="3.453125" customWidth="1"/>
    <col min="7" max="7" width="2.453125" customWidth="1"/>
    <col min="8" max="8" width="19.453125" customWidth="1"/>
    <col min="9" max="9" width="10.54296875" bestFit="1" customWidth="1"/>
    <col min="10" max="10" width="26.453125" customWidth="1"/>
    <col min="11" max="11" width="26.54296875" customWidth="1"/>
    <col min="13" max="13" width="40.453125" customWidth="1"/>
    <col min="14" max="14" width="18.54296875" customWidth="1"/>
    <col min="15" max="15" width="115.453125" customWidth="1"/>
    <col min="16" max="16" width="19.453125" customWidth="1"/>
    <col min="17" max="17" width="10.453125" customWidth="1"/>
    <col min="18" max="18" width="16.54296875" customWidth="1"/>
    <col min="19" max="19" width="20.54296875" customWidth="1"/>
  </cols>
  <sheetData>
    <row r="1" spans="1:29" ht="14.9" customHeight="1">
      <c r="A1" s="399" t="s">
        <v>4351</v>
      </c>
      <c r="B1" s="399"/>
      <c r="C1" s="399"/>
      <c r="D1" s="399"/>
      <c r="E1" s="399"/>
      <c r="F1" s="399"/>
      <c r="G1" s="399"/>
      <c r="H1" s="399"/>
      <c r="I1" s="399"/>
      <c r="J1" s="399"/>
      <c r="K1" s="399"/>
      <c r="L1" s="399"/>
      <c r="M1" s="399" t="s">
        <v>4351</v>
      </c>
      <c r="N1" s="399"/>
      <c r="O1" s="399"/>
      <c r="P1" s="399"/>
      <c r="Q1" s="399"/>
      <c r="R1" s="399"/>
      <c r="S1" s="399"/>
    </row>
    <row r="2" spans="1:29" ht="14.9" customHeight="1">
      <c r="A2" s="399"/>
      <c r="B2" s="399"/>
      <c r="C2" s="399"/>
      <c r="D2" s="399"/>
      <c r="E2" s="399"/>
      <c r="F2" s="399"/>
      <c r="G2" s="399"/>
      <c r="H2" s="399"/>
      <c r="I2" s="399"/>
      <c r="J2" s="399"/>
      <c r="K2" s="399"/>
      <c r="L2" s="399"/>
      <c r="M2" s="399"/>
      <c r="N2" s="399"/>
      <c r="O2" s="399"/>
      <c r="P2" s="399"/>
      <c r="Q2" s="399"/>
      <c r="R2" s="399"/>
      <c r="S2" s="399"/>
    </row>
    <row r="3" spans="1:29" ht="14.9" customHeight="1">
      <c r="A3" s="399"/>
      <c r="B3" s="399"/>
      <c r="C3" s="399"/>
      <c r="D3" s="399"/>
      <c r="E3" s="399"/>
      <c r="F3" s="399"/>
      <c r="G3" s="399"/>
      <c r="H3" s="399"/>
      <c r="I3" s="399"/>
      <c r="J3" s="399"/>
      <c r="K3" s="399"/>
      <c r="L3" s="399"/>
      <c r="M3" s="399"/>
      <c r="N3" s="399"/>
      <c r="O3" s="399"/>
      <c r="P3" s="399"/>
      <c r="Q3" s="399"/>
      <c r="R3" s="399"/>
      <c r="S3" s="399"/>
    </row>
    <row r="4" spans="1:29" ht="20">
      <c r="A4" s="403" t="s">
        <v>4352</v>
      </c>
      <c r="B4" s="403"/>
      <c r="C4" s="403"/>
      <c r="D4" s="403"/>
      <c r="E4" s="403"/>
      <c r="F4" s="403"/>
      <c r="G4" s="403"/>
      <c r="H4" s="403"/>
      <c r="I4" s="403"/>
      <c r="J4" s="403"/>
      <c r="K4" s="403"/>
      <c r="L4" s="122"/>
      <c r="M4" s="122"/>
      <c r="N4" s="122"/>
      <c r="O4" s="122"/>
      <c r="P4" s="122"/>
      <c r="Q4" s="122"/>
      <c r="R4" s="122"/>
      <c r="S4" s="122"/>
      <c r="X4" s="122"/>
      <c r="Y4" s="122"/>
      <c r="Z4" s="122"/>
      <c r="AA4" s="122"/>
      <c r="AB4" s="122"/>
      <c r="AC4" s="122"/>
    </row>
    <row r="5" spans="1:29" ht="20">
      <c r="A5" s="403"/>
      <c r="B5" s="403"/>
      <c r="C5" s="403"/>
      <c r="D5" s="403"/>
      <c r="E5" s="403"/>
      <c r="F5" s="403"/>
      <c r="G5" s="403"/>
      <c r="H5" s="403"/>
      <c r="I5" s="403"/>
      <c r="J5" s="403"/>
      <c r="K5" s="403"/>
      <c r="L5" s="122"/>
      <c r="M5" s="122"/>
      <c r="N5" s="122"/>
      <c r="O5" s="122"/>
      <c r="P5" s="122"/>
      <c r="Q5" s="122"/>
      <c r="R5" s="122"/>
      <c r="S5" s="122"/>
      <c r="T5" s="122"/>
      <c r="U5" s="122"/>
      <c r="V5" s="122"/>
      <c r="W5" s="122"/>
      <c r="X5" s="122"/>
      <c r="Y5" s="122"/>
      <c r="Z5" s="122"/>
      <c r="AA5" s="122"/>
      <c r="AB5" s="122"/>
      <c r="AC5" s="122"/>
    </row>
    <row r="6" spans="1:29">
      <c r="A6" s="403"/>
      <c r="B6" s="403"/>
      <c r="C6" s="403"/>
      <c r="D6" s="403"/>
      <c r="E6" s="403"/>
      <c r="F6" s="403"/>
      <c r="G6" s="403"/>
      <c r="H6" s="403"/>
      <c r="I6" s="403"/>
      <c r="J6" s="403"/>
      <c r="K6" s="403"/>
    </row>
    <row r="7" spans="1:29">
      <c r="A7" s="403"/>
      <c r="B7" s="403"/>
      <c r="C7" s="403"/>
      <c r="D7" s="403"/>
      <c r="E7" s="403"/>
      <c r="F7" s="403"/>
      <c r="G7" s="403"/>
      <c r="H7" s="403"/>
      <c r="I7" s="403"/>
      <c r="J7" s="403"/>
      <c r="K7" s="403"/>
      <c r="M7" s="74" t="s">
        <v>4346</v>
      </c>
      <c r="N7" s="74" t="s">
        <v>1012</v>
      </c>
      <c r="O7" s="74" t="s">
        <v>1007</v>
      </c>
      <c r="P7" s="74" t="s">
        <v>555</v>
      </c>
      <c r="Q7" t="s">
        <v>4353</v>
      </c>
      <c r="R7" t="s">
        <v>4354</v>
      </c>
      <c r="S7" t="s">
        <v>4355</v>
      </c>
    </row>
    <row r="8" spans="1:29" ht="20">
      <c r="A8" s="121"/>
      <c r="B8" s="121"/>
      <c r="C8" s="121"/>
      <c r="D8" s="121"/>
      <c r="E8" s="121"/>
      <c r="F8" s="121"/>
      <c r="G8" s="121"/>
      <c r="H8" s="121"/>
      <c r="I8" s="121"/>
      <c r="J8" s="121"/>
      <c r="K8" s="121"/>
      <c r="M8" t="s">
        <v>641</v>
      </c>
      <c r="N8" t="s">
        <v>156</v>
      </c>
      <c r="O8" t="s">
        <v>4082</v>
      </c>
      <c r="P8" t="s">
        <v>99</v>
      </c>
      <c r="Q8">
        <v>1</v>
      </c>
      <c r="R8">
        <v>13440</v>
      </c>
    </row>
    <row r="9" spans="1:29" ht="20">
      <c r="A9" s="121"/>
      <c r="B9" s="121"/>
      <c r="C9" s="121"/>
      <c r="D9" s="121"/>
      <c r="E9" s="121"/>
      <c r="F9" s="121"/>
      <c r="G9" s="121"/>
      <c r="H9" s="121"/>
      <c r="I9" s="121"/>
      <c r="J9" s="121"/>
      <c r="K9" s="121"/>
      <c r="M9" t="s">
        <v>578</v>
      </c>
      <c r="N9" t="s">
        <v>102</v>
      </c>
      <c r="O9" t="s">
        <v>4087</v>
      </c>
      <c r="P9" t="s">
        <v>123</v>
      </c>
      <c r="Q9">
        <v>1</v>
      </c>
      <c r="R9">
        <v>7905</v>
      </c>
      <c r="S9">
        <v>0</v>
      </c>
    </row>
    <row r="10" spans="1:29" ht="27">
      <c r="A10" s="124" t="str">
        <f>UPPER(TEXT(I17,"mmmm"))</f>
        <v>SEPTIEMBRE</v>
      </c>
      <c r="C10" s="121"/>
      <c r="D10" s="123"/>
      <c r="E10" s="123"/>
      <c r="F10" s="123"/>
      <c r="G10" s="123"/>
      <c r="H10" s="121"/>
      <c r="I10" s="121"/>
      <c r="J10" s="121"/>
      <c r="K10" s="121"/>
      <c r="M10" t="s">
        <v>589</v>
      </c>
      <c r="N10" t="s">
        <v>102</v>
      </c>
      <c r="O10" t="s">
        <v>4076</v>
      </c>
      <c r="P10" t="s">
        <v>94</v>
      </c>
      <c r="Q10">
        <v>1</v>
      </c>
      <c r="R10">
        <v>2851</v>
      </c>
      <c r="S10">
        <v>0</v>
      </c>
    </row>
    <row r="11" spans="1:29" ht="20">
      <c r="A11" s="121"/>
      <c r="B11" s="121"/>
      <c r="C11" s="121"/>
      <c r="D11" s="121"/>
      <c r="E11" s="121"/>
      <c r="F11" s="121"/>
      <c r="G11" s="121"/>
      <c r="H11" s="121"/>
      <c r="I11" s="121"/>
      <c r="J11" s="121"/>
      <c r="K11" s="121"/>
      <c r="N11" t="s">
        <v>156</v>
      </c>
      <c r="O11" t="s">
        <v>4094</v>
      </c>
      <c r="P11" t="s">
        <v>235</v>
      </c>
      <c r="Q11">
        <v>1</v>
      </c>
      <c r="R11">
        <v>1596.16</v>
      </c>
      <c r="S11">
        <v>50438.656000000003</v>
      </c>
    </row>
    <row r="12" spans="1:29">
      <c r="A12" s="131"/>
      <c r="M12" t="s">
        <v>600</v>
      </c>
      <c r="N12" t="s">
        <v>156</v>
      </c>
      <c r="O12" t="s">
        <v>4317</v>
      </c>
      <c r="P12" t="s">
        <v>97</v>
      </c>
      <c r="Q12">
        <v>1</v>
      </c>
      <c r="R12">
        <v>2376</v>
      </c>
      <c r="S12">
        <v>632728.80000000005</v>
      </c>
    </row>
    <row r="13" spans="1:29" ht="31.4" customHeight="1">
      <c r="A13" s="401" t="s">
        <v>4356</v>
      </c>
      <c r="B13" s="401"/>
      <c r="C13" s="401"/>
      <c r="D13" s="401"/>
      <c r="E13" s="142"/>
      <c r="G13" s="125"/>
      <c r="H13" s="404" t="s">
        <v>4357</v>
      </c>
      <c r="I13" s="405"/>
      <c r="J13" s="406"/>
      <c r="K13" s="129">
        <f>1-(GETPIVOTDATA("Cantidad(kg)",$A$14))/K14</f>
        <v>0.98816912042557359</v>
      </c>
      <c r="M13" t="s">
        <v>79</v>
      </c>
      <c r="N13" t="s">
        <v>1518</v>
      </c>
      <c r="O13" t="s">
        <v>4157</v>
      </c>
      <c r="P13" t="s">
        <v>513</v>
      </c>
      <c r="Q13">
        <v>1</v>
      </c>
      <c r="R13">
        <v>70</v>
      </c>
      <c r="S13">
        <v>0</v>
      </c>
    </row>
    <row r="14" spans="1:29" ht="20">
      <c r="A14" s="74" t="s">
        <v>4346</v>
      </c>
      <c r="B14" s="74" t="s">
        <v>1012</v>
      </c>
      <c r="C14" t="s">
        <v>4353</v>
      </c>
      <c r="D14" t="s">
        <v>4354</v>
      </c>
      <c r="E14" t="s">
        <v>4355</v>
      </c>
      <c r="G14" s="125"/>
      <c r="H14" s="402" t="s">
        <v>4358</v>
      </c>
      <c r="I14" s="402"/>
      <c r="J14" s="402"/>
      <c r="K14" s="130">
        <v>2723101</v>
      </c>
      <c r="O14" t="s">
        <v>4063</v>
      </c>
      <c r="P14" t="s">
        <v>315</v>
      </c>
      <c r="Q14">
        <v>1</v>
      </c>
      <c r="R14">
        <v>160</v>
      </c>
      <c r="S14">
        <v>0</v>
      </c>
    </row>
    <row r="15" spans="1:29">
      <c r="A15" t="s">
        <v>641</v>
      </c>
      <c r="B15" t="s">
        <v>156</v>
      </c>
      <c r="C15">
        <v>1</v>
      </c>
      <c r="D15">
        <v>13440</v>
      </c>
      <c r="E15" s="140"/>
      <c r="G15" s="125"/>
      <c r="N15" t="s">
        <v>102</v>
      </c>
      <c r="O15" t="s">
        <v>4058</v>
      </c>
      <c r="P15" t="s">
        <v>771</v>
      </c>
      <c r="Q15">
        <v>1</v>
      </c>
      <c r="R15">
        <v>1695</v>
      </c>
      <c r="S15">
        <v>0</v>
      </c>
    </row>
    <row r="16" spans="1:29">
      <c r="A16" t="s">
        <v>578</v>
      </c>
      <c r="B16" t="s">
        <v>102</v>
      </c>
      <c r="C16">
        <v>1</v>
      </c>
      <c r="D16">
        <v>7905</v>
      </c>
      <c r="E16" s="140">
        <v>0</v>
      </c>
      <c r="G16" s="125"/>
      <c r="I16" s="139">
        <v>44812</v>
      </c>
      <c r="M16" t="s">
        <v>585</v>
      </c>
      <c r="N16" t="s">
        <v>129</v>
      </c>
      <c r="O16" t="s">
        <v>4053</v>
      </c>
      <c r="P16" t="s">
        <v>94</v>
      </c>
      <c r="Q16">
        <v>1</v>
      </c>
      <c r="R16">
        <v>950</v>
      </c>
      <c r="S16">
        <v>498180</v>
      </c>
    </row>
    <row r="17" spans="1:19">
      <c r="A17" t="s">
        <v>589</v>
      </c>
      <c r="B17" t="s">
        <v>102</v>
      </c>
      <c r="C17">
        <v>1</v>
      </c>
      <c r="D17">
        <v>2851</v>
      </c>
      <c r="E17" s="140">
        <v>0</v>
      </c>
      <c r="G17" s="125"/>
      <c r="I17" s="139">
        <v>44830</v>
      </c>
      <c r="M17" t="s">
        <v>596</v>
      </c>
      <c r="N17" t="s">
        <v>156</v>
      </c>
      <c r="O17" t="s">
        <v>4070</v>
      </c>
      <c r="P17" t="s">
        <v>751</v>
      </c>
      <c r="Q17">
        <v>1</v>
      </c>
      <c r="R17">
        <v>810</v>
      </c>
      <c r="S17">
        <v>1377</v>
      </c>
    </row>
    <row r="18" spans="1:19">
      <c r="B18" t="s">
        <v>156</v>
      </c>
      <c r="C18">
        <v>1</v>
      </c>
      <c r="D18">
        <v>1596.16</v>
      </c>
      <c r="E18" s="140">
        <v>50438.656000000003</v>
      </c>
      <c r="G18" s="125"/>
      <c r="I18" s="139">
        <v>44831</v>
      </c>
      <c r="M18" t="s">
        <v>110</v>
      </c>
      <c r="N18" t="s">
        <v>129</v>
      </c>
      <c r="O18" t="s">
        <v>3971</v>
      </c>
      <c r="P18" t="s">
        <v>466</v>
      </c>
      <c r="Q18">
        <v>1</v>
      </c>
      <c r="R18">
        <v>260</v>
      </c>
      <c r="S18">
        <v>514800</v>
      </c>
    </row>
    <row r="19" spans="1:19">
      <c r="A19" t="s">
        <v>600</v>
      </c>
      <c r="B19" t="s">
        <v>156</v>
      </c>
      <c r="C19">
        <v>1</v>
      </c>
      <c r="D19">
        <v>2376</v>
      </c>
      <c r="E19" s="140">
        <v>632728.80000000005</v>
      </c>
      <c r="G19" s="125"/>
      <c r="I19" s="139">
        <v>44827</v>
      </c>
      <c r="O19" t="s">
        <v>3976</v>
      </c>
      <c r="P19" t="s">
        <v>593</v>
      </c>
      <c r="Q19">
        <v>1</v>
      </c>
    </row>
    <row r="20" spans="1:19">
      <c r="A20" t="s">
        <v>79</v>
      </c>
      <c r="B20" t="s">
        <v>1518</v>
      </c>
      <c r="C20">
        <v>2</v>
      </c>
      <c r="D20">
        <v>230</v>
      </c>
      <c r="E20" s="140">
        <v>0</v>
      </c>
      <c r="G20" s="125"/>
      <c r="I20" s="139">
        <v>44817</v>
      </c>
      <c r="M20" t="s">
        <v>627</v>
      </c>
      <c r="N20" t="s">
        <v>1518</v>
      </c>
      <c r="O20" t="s">
        <v>4155</v>
      </c>
      <c r="P20" t="s">
        <v>405</v>
      </c>
      <c r="Q20">
        <v>1</v>
      </c>
      <c r="R20">
        <v>56</v>
      </c>
      <c r="S20">
        <v>0</v>
      </c>
    </row>
    <row r="21" spans="1:19">
      <c r="B21" t="s">
        <v>102</v>
      </c>
      <c r="C21">
        <v>1</v>
      </c>
      <c r="D21">
        <v>1695</v>
      </c>
      <c r="E21" s="140">
        <v>0</v>
      </c>
      <c r="G21" s="125"/>
      <c r="I21" s="139">
        <v>44816</v>
      </c>
      <c r="O21" t="s">
        <v>4153</v>
      </c>
      <c r="P21" t="s">
        <v>668</v>
      </c>
      <c r="Q21">
        <v>1</v>
      </c>
      <c r="R21">
        <v>47.52</v>
      </c>
      <c r="S21">
        <v>0</v>
      </c>
    </row>
    <row r="22" spans="1:19">
      <c r="A22" t="s">
        <v>585</v>
      </c>
      <c r="B22" t="s">
        <v>129</v>
      </c>
      <c r="C22">
        <v>1</v>
      </c>
      <c r="D22">
        <v>950</v>
      </c>
      <c r="E22" s="140">
        <v>498180</v>
      </c>
      <c r="G22" s="125"/>
      <c r="I22" s="139">
        <v>44809</v>
      </c>
      <c r="M22" t="s">
        <v>4266</v>
      </c>
      <c r="N22" t="s">
        <v>1518</v>
      </c>
      <c r="O22" t="s">
        <v>4267</v>
      </c>
      <c r="P22" t="s">
        <v>423</v>
      </c>
      <c r="Q22">
        <v>1</v>
      </c>
      <c r="S22">
        <v>0</v>
      </c>
    </row>
    <row r="23" spans="1:19">
      <c r="A23" t="s">
        <v>596</v>
      </c>
      <c r="B23" t="s">
        <v>156</v>
      </c>
      <c r="C23">
        <v>1</v>
      </c>
      <c r="D23">
        <v>810</v>
      </c>
      <c r="E23" s="140">
        <v>1377</v>
      </c>
      <c r="G23" s="125"/>
      <c r="I23" s="139">
        <v>44805</v>
      </c>
      <c r="M23" t="s">
        <v>4359</v>
      </c>
      <c r="Q23">
        <v>15</v>
      </c>
      <c r="R23">
        <v>32216.68</v>
      </c>
      <c r="S23">
        <v>1697524.456</v>
      </c>
    </row>
    <row r="24" spans="1:19">
      <c r="A24" t="s">
        <v>110</v>
      </c>
      <c r="B24" t="s">
        <v>129</v>
      </c>
      <c r="C24">
        <v>2</v>
      </c>
      <c r="D24">
        <v>260</v>
      </c>
      <c r="E24" s="140">
        <v>514800</v>
      </c>
      <c r="G24" s="125"/>
      <c r="I24" s="139"/>
    </row>
    <row r="25" spans="1:19">
      <c r="A25" t="s">
        <v>627</v>
      </c>
      <c r="B25" t="s">
        <v>1518</v>
      </c>
      <c r="C25">
        <v>2</v>
      </c>
      <c r="D25">
        <v>103.52000000000001</v>
      </c>
      <c r="E25" s="140">
        <v>0</v>
      </c>
      <c r="G25" s="125"/>
      <c r="I25" s="139"/>
    </row>
    <row r="26" spans="1:19">
      <c r="A26" t="s">
        <v>4266</v>
      </c>
      <c r="B26" t="s">
        <v>1518</v>
      </c>
      <c r="C26">
        <v>1</v>
      </c>
      <c r="E26" s="140">
        <v>0</v>
      </c>
      <c r="G26" s="125"/>
      <c r="I26" s="139"/>
    </row>
    <row r="27" spans="1:19">
      <c r="A27" t="s">
        <v>4359</v>
      </c>
      <c r="C27">
        <v>15</v>
      </c>
      <c r="D27">
        <v>32216.68</v>
      </c>
      <c r="E27" s="140">
        <v>1697524.456</v>
      </c>
      <c r="G27" s="125"/>
      <c r="I27" s="139"/>
    </row>
    <row r="28" spans="1:19" ht="40.4" customHeight="1">
      <c r="A28" s="400" t="s">
        <v>4360</v>
      </c>
      <c r="B28" s="400"/>
      <c r="C28" s="400"/>
      <c r="D28" s="400"/>
      <c r="E28" s="400"/>
      <c r="G28" s="125"/>
      <c r="I28" s="139"/>
    </row>
    <row r="29" spans="1:19">
      <c r="A29" s="133" t="s">
        <v>4361</v>
      </c>
      <c r="B29" s="134" t="s">
        <v>4353</v>
      </c>
      <c r="C29" s="134" t="s">
        <v>4354</v>
      </c>
      <c r="D29" s="143" t="s">
        <v>4355</v>
      </c>
      <c r="G29" s="125"/>
      <c r="I29" s="139"/>
    </row>
    <row r="30" spans="1:19" ht="15.5">
      <c r="A30" s="127" t="s">
        <v>4081</v>
      </c>
      <c r="B30" s="119">
        <v>1</v>
      </c>
      <c r="C30" s="136">
        <v>13440</v>
      </c>
      <c r="D30" s="144"/>
      <c r="F30" s="140"/>
      <c r="G30" s="125"/>
      <c r="I30" s="139"/>
    </row>
    <row r="31" spans="1:19" ht="15.5">
      <c r="A31" s="127" t="s">
        <v>1798</v>
      </c>
      <c r="B31" s="119">
        <v>1</v>
      </c>
      <c r="C31" s="136">
        <v>7905</v>
      </c>
      <c r="D31" s="144">
        <v>0</v>
      </c>
      <c r="G31" s="125"/>
    </row>
    <row r="32" spans="1:19" ht="15.5">
      <c r="A32" s="127" t="s">
        <v>2153</v>
      </c>
      <c r="B32" s="119">
        <v>1</v>
      </c>
      <c r="C32" s="136">
        <v>2851</v>
      </c>
      <c r="D32" s="144">
        <v>0</v>
      </c>
      <c r="E32" s="134"/>
      <c r="F32" s="134"/>
      <c r="G32" s="125"/>
    </row>
    <row r="33" spans="1:7" ht="15.5">
      <c r="A33" s="127" t="s">
        <v>4316</v>
      </c>
      <c r="B33" s="119">
        <v>1</v>
      </c>
      <c r="C33" s="136">
        <v>2376</v>
      </c>
      <c r="D33" s="144">
        <v>632728.80000000005</v>
      </c>
      <c r="E33" s="141"/>
      <c r="F33" s="141"/>
      <c r="G33" s="125"/>
    </row>
    <row r="34" spans="1:7" ht="15.5">
      <c r="A34" s="127" t="s">
        <v>2052</v>
      </c>
      <c r="B34" s="119">
        <v>2</v>
      </c>
      <c r="C34" s="136">
        <v>1855</v>
      </c>
      <c r="D34" s="144">
        <v>0</v>
      </c>
      <c r="E34" s="141"/>
      <c r="F34" s="141"/>
      <c r="G34" s="125"/>
    </row>
    <row r="35" spans="1:7" ht="15.5">
      <c r="A35" s="127" t="s">
        <v>4093</v>
      </c>
      <c r="B35" s="119">
        <v>1</v>
      </c>
      <c r="C35" s="136">
        <v>1596.16</v>
      </c>
      <c r="D35" s="144">
        <v>50438.656000000003</v>
      </c>
      <c r="E35" s="141"/>
      <c r="F35" s="141"/>
      <c r="G35" s="125"/>
    </row>
    <row r="36" spans="1:7" ht="15.5">
      <c r="A36" s="127" t="s">
        <v>1402</v>
      </c>
      <c r="B36" s="119">
        <v>1</v>
      </c>
      <c r="C36" s="136">
        <v>950</v>
      </c>
      <c r="D36" s="144">
        <v>498180</v>
      </c>
      <c r="E36" s="141"/>
      <c r="F36" s="141"/>
      <c r="G36" s="125"/>
    </row>
    <row r="37" spans="1:7" ht="15.5">
      <c r="A37" s="127" t="s">
        <v>4069</v>
      </c>
      <c r="B37" s="119">
        <v>1</v>
      </c>
      <c r="C37" s="136">
        <v>810</v>
      </c>
      <c r="D37" s="144">
        <v>1377</v>
      </c>
      <c r="E37" s="141"/>
      <c r="F37" s="141"/>
      <c r="G37" s="125"/>
    </row>
    <row r="38" spans="1:7" ht="15.5">
      <c r="A38" s="127" t="s">
        <v>3937</v>
      </c>
      <c r="B38" s="119">
        <v>1</v>
      </c>
      <c r="C38" s="136">
        <v>260</v>
      </c>
      <c r="D38" s="144">
        <v>514800</v>
      </c>
      <c r="E38" s="141"/>
      <c r="F38" s="141"/>
      <c r="G38" s="125"/>
    </row>
    <row r="39" spans="1:7" ht="15.5">
      <c r="A39" s="127" t="s">
        <v>2316</v>
      </c>
      <c r="B39" s="119">
        <v>2</v>
      </c>
      <c r="C39" s="136">
        <v>103.52000000000001</v>
      </c>
      <c r="D39" s="144">
        <v>0</v>
      </c>
      <c r="E39" s="141"/>
      <c r="F39" s="141"/>
      <c r="G39" s="125"/>
    </row>
    <row r="40" spans="1:7" ht="15.5">
      <c r="A40" s="127" t="s">
        <v>2527</v>
      </c>
      <c r="B40" s="119">
        <v>1</v>
      </c>
      <c r="C40" s="136">
        <v>70</v>
      </c>
      <c r="D40" s="144">
        <v>0</v>
      </c>
      <c r="E40" s="141"/>
      <c r="F40" s="141"/>
      <c r="G40" s="125"/>
    </row>
    <row r="41" spans="1:7" ht="15.5">
      <c r="A41" s="127" t="s">
        <v>4265</v>
      </c>
      <c r="B41" s="119">
        <v>1</v>
      </c>
      <c r="C41" s="136"/>
      <c r="D41" s="144">
        <v>0</v>
      </c>
      <c r="E41" s="140"/>
      <c r="F41" s="140"/>
      <c r="G41" s="125"/>
    </row>
    <row r="42" spans="1:7" ht="15.5">
      <c r="A42" s="127" t="s">
        <v>3975</v>
      </c>
      <c r="B42" s="119">
        <v>1</v>
      </c>
      <c r="C42" s="136"/>
      <c r="D42" s="144"/>
      <c r="G42" s="125"/>
    </row>
    <row r="43" spans="1:7" ht="15.5">
      <c r="A43" s="127" t="s">
        <v>4362</v>
      </c>
      <c r="B43" s="119">
        <v>15</v>
      </c>
      <c r="C43" s="155">
        <v>32216.68</v>
      </c>
      <c r="D43" s="156">
        <v>1697524.456</v>
      </c>
      <c r="E43" s="119"/>
      <c r="F43" s="119"/>
      <c r="G43" s="125"/>
    </row>
    <row r="44" spans="1:7" ht="15.5">
      <c r="E44" s="141"/>
      <c r="F44" s="141"/>
      <c r="G44" s="125"/>
    </row>
    <row r="45" spans="1:7" ht="20">
      <c r="A45" s="401" t="s">
        <v>4363</v>
      </c>
      <c r="B45" s="401"/>
      <c r="C45" s="401"/>
      <c r="D45" s="401"/>
      <c r="E45" s="401"/>
      <c r="F45" s="141"/>
      <c r="G45" s="125"/>
    </row>
    <row r="46" spans="1:7" ht="15.5">
      <c r="A46" s="157" t="s">
        <v>4364</v>
      </c>
      <c r="B46" t="s">
        <v>4353</v>
      </c>
      <c r="C46" s="119" t="s">
        <v>4354</v>
      </c>
      <c r="D46" s="119" t="s">
        <v>4355</v>
      </c>
      <c r="E46" s="141"/>
      <c r="F46" s="141"/>
      <c r="G46" s="125"/>
    </row>
    <row r="47" spans="1:7" ht="15.5">
      <c r="A47" s="127" t="s">
        <v>156</v>
      </c>
      <c r="B47" s="119">
        <v>4</v>
      </c>
      <c r="C47" s="136">
        <v>18222.16</v>
      </c>
      <c r="D47" s="159">
        <v>684544.45600000001</v>
      </c>
      <c r="E47" s="140"/>
      <c r="F47" s="140"/>
      <c r="G47" s="125"/>
    </row>
    <row r="48" spans="1:7" ht="15.5">
      <c r="A48" s="127" t="s">
        <v>102</v>
      </c>
      <c r="B48" s="119">
        <v>3</v>
      </c>
      <c r="C48" s="163">
        <v>12451</v>
      </c>
      <c r="D48" s="159">
        <v>0</v>
      </c>
    </row>
    <row r="49" spans="1:11" ht="15.5">
      <c r="A49" s="127" t="s">
        <v>129</v>
      </c>
      <c r="B49" s="119">
        <v>3</v>
      </c>
      <c r="C49" s="136">
        <v>1210</v>
      </c>
      <c r="D49" s="159">
        <v>1012980</v>
      </c>
      <c r="G49" s="125"/>
    </row>
    <row r="50" spans="1:11" ht="15.5">
      <c r="A50" s="127" t="s">
        <v>1518</v>
      </c>
      <c r="B50" s="119">
        <v>5</v>
      </c>
      <c r="C50" s="136">
        <v>333.52</v>
      </c>
      <c r="D50" s="159">
        <v>0</v>
      </c>
      <c r="G50" s="125"/>
    </row>
    <row r="51" spans="1:11" ht="15.5">
      <c r="A51" s="127" t="s">
        <v>4362</v>
      </c>
      <c r="B51" s="119">
        <v>15</v>
      </c>
      <c r="C51" s="158">
        <v>32216.68</v>
      </c>
      <c r="D51" s="160">
        <v>1697524.456</v>
      </c>
      <c r="E51" s="140"/>
      <c r="F51" s="140"/>
      <c r="G51" s="119"/>
    </row>
    <row r="52" spans="1:11" ht="15.5">
      <c r="E52" s="140"/>
      <c r="F52" s="140"/>
      <c r="G52" s="119"/>
    </row>
    <row r="53" spans="1:11" ht="20">
      <c r="A53" s="401" t="s">
        <v>549</v>
      </c>
      <c r="B53" s="401"/>
      <c r="C53" s="401"/>
      <c r="D53" s="401"/>
      <c r="E53" s="401"/>
      <c r="F53" s="140"/>
      <c r="G53" s="119"/>
    </row>
    <row r="54" spans="1:11" ht="15.5">
      <c r="A54" s="74" t="s">
        <v>4365</v>
      </c>
      <c r="B54" t="s">
        <v>4353</v>
      </c>
      <c r="C54" t="s">
        <v>4354</v>
      </c>
      <c r="D54" t="s">
        <v>4355</v>
      </c>
      <c r="E54" s="140"/>
      <c r="F54" s="140"/>
      <c r="G54" s="119"/>
    </row>
    <row r="55" spans="1:11" ht="15.5">
      <c r="A55" s="59" t="s">
        <v>99</v>
      </c>
      <c r="B55">
        <v>1</v>
      </c>
      <c r="C55">
        <v>13440</v>
      </c>
      <c r="D55" s="140"/>
      <c r="E55" s="140"/>
      <c r="F55" s="140"/>
      <c r="G55" s="119"/>
    </row>
    <row r="56" spans="1:11" ht="13.4" customHeight="1">
      <c r="A56" s="59" t="s">
        <v>123</v>
      </c>
      <c r="B56">
        <v>1</v>
      </c>
      <c r="C56">
        <v>7905</v>
      </c>
      <c r="D56" s="140">
        <v>0</v>
      </c>
      <c r="E56" s="140"/>
      <c r="F56" s="140"/>
      <c r="G56" s="119"/>
    </row>
    <row r="57" spans="1:11">
      <c r="A57" s="59" t="s">
        <v>94</v>
      </c>
      <c r="B57">
        <v>2</v>
      </c>
      <c r="C57">
        <v>3801</v>
      </c>
      <c r="D57" s="140">
        <v>498180</v>
      </c>
      <c r="E57" s="140"/>
      <c r="F57" s="140"/>
    </row>
    <row r="58" spans="1:11">
      <c r="A58" s="59" t="s">
        <v>97</v>
      </c>
      <c r="B58">
        <v>1</v>
      </c>
      <c r="C58">
        <v>2376</v>
      </c>
      <c r="D58" s="140">
        <v>632728.80000000005</v>
      </c>
      <c r="E58" s="140"/>
      <c r="F58" s="140"/>
    </row>
    <row r="59" spans="1:11">
      <c r="A59" s="59" t="s">
        <v>771</v>
      </c>
      <c r="B59">
        <v>1</v>
      </c>
      <c r="C59">
        <v>1695</v>
      </c>
      <c r="D59" s="140">
        <v>0</v>
      </c>
      <c r="E59" s="140"/>
      <c r="F59" s="140"/>
    </row>
    <row r="60" spans="1:11" ht="20">
      <c r="A60" s="59" t="s">
        <v>235</v>
      </c>
      <c r="B60">
        <v>1</v>
      </c>
      <c r="C60">
        <v>1596.16</v>
      </c>
      <c r="D60" s="140">
        <v>50438.656000000003</v>
      </c>
      <c r="G60" s="120"/>
      <c r="H60" s="401" t="s">
        <v>4366</v>
      </c>
      <c r="I60" s="401"/>
      <c r="J60" s="401"/>
      <c r="K60" s="401"/>
    </row>
    <row r="61" spans="1:11" ht="15.5">
      <c r="A61" s="59" t="s">
        <v>751</v>
      </c>
      <c r="B61">
        <v>1</v>
      </c>
      <c r="C61">
        <v>810</v>
      </c>
      <c r="D61" s="140">
        <v>1377</v>
      </c>
      <c r="G61" s="120"/>
      <c r="H61" s="137" t="s">
        <v>4366</v>
      </c>
      <c r="I61" s="120" t="s">
        <v>4353</v>
      </c>
      <c r="J61" s="120" t="s">
        <v>4367</v>
      </c>
      <c r="K61" s="120" t="s">
        <v>4355</v>
      </c>
    </row>
    <row r="62" spans="1:11" ht="15.5">
      <c r="A62" s="59" t="s">
        <v>466</v>
      </c>
      <c r="B62">
        <v>1</v>
      </c>
      <c r="C62">
        <v>260</v>
      </c>
      <c r="D62" s="140">
        <v>514800</v>
      </c>
      <c r="G62" s="120"/>
      <c r="H62" s="127" t="s">
        <v>27</v>
      </c>
      <c r="I62" s="120">
        <v>7</v>
      </c>
      <c r="J62" s="138">
        <v>15468.52</v>
      </c>
      <c r="K62" s="164">
        <v>0</v>
      </c>
    </row>
    <row r="63" spans="1:11" ht="15.5">
      <c r="A63" s="59" t="s">
        <v>315</v>
      </c>
      <c r="B63">
        <v>1</v>
      </c>
      <c r="C63">
        <v>160</v>
      </c>
      <c r="D63" s="140">
        <v>0</v>
      </c>
      <c r="G63" s="120"/>
      <c r="H63" s="127" t="s">
        <v>22</v>
      </c>
      <c r="I63" s="120">
        <v>1</v>
      </c>
      <c r="J63" s="138">
        <v>7905</v>
      </c>
      <c r="K63" s="164">
        <v>0</v>
      </c>
    </row>
    <row r="64" spans="1:11" ht="15.5">
      <c r="A64" s="59" t="s">
        <v>513</v>
      </c>
      <c r="B64">
        <v>1</v>
      </c>
      <c r="C64">
        <v>70</v>
      </c>
      <c r="D64" s="140">
        <v>0</v>
      </c>
      <c r="G64" s="120"/>
      <c r="H64" s="127" t="s">
        <v>23</v>
      </c>
      <c r="I64" s="120">
        <v>2</v>
      </c>
      <c r="J64" s="138">
        <v>3801</v>
      </c>
      <c r="K64" s="164">
        <v>498180</v>
      </c>
    </row>
    <row r="65" spans="1:11" ht="15.5">
      <c r="A65" s="59" t="s">
        <v>405</v>
      </c>
      <c r="B65">
        <v>1</v>
      </c>
      <c r="C65">
        <v>56</v>
      </c>
      <c r="D65" s="140">
        <v>0</v>
      </c>
      <c r="G65" s="120"/>
      <c r="H65" s="127" t="s">
        <v>31</v>
      </c>
      <c r="I65" s="120">
        <v>1</v>
      </c>
      <c r="J65" s="138">
        <v>2376</v>
      </c>
      <c r="K65" s="164">
        <v>632728.80000000005</v>
      </c>
    </row>
    <row r="66" spans="1:11" ht="15.5">
      <c r="A66" s="59" t="s">
        <v>668</v>
      </c>
      <c r="B66">
        <v>1</v>
      </c>
      <c r="C66">
        <v>47.52</v>
      </c>
      <c r="D66" s="140">
        <v>0</v>
      </c>
      <c r="G66" s="120"/>
      <c r="H66" s="127" t="s">
        <v>29</v>
      </c>
      <c r="I66" s="120">
        <v>3</v>
      </c>
      <c r="J66" s="138">
        <v>1856.16</v>
      </c>
      <c r="K66" s="164">
        <v>565238.65599999996</v>
      </c>
    </row>
    <row r="67" spans="1:11" ht="15.5">
      <c r="A67" s="59" t="s">
        <v>593</v>
      </c>
      <c r="B67">
        <v>1</v>
      </c>
      <c r="D67" s="140"/>
      <c r="H67" s="127" t="s">
        <v>26</v>
      </c>
      <c r="I67" s="120">
        <v>1</v>
      </c>
      <c r="J67" s="138">
        <v>810</v>
      </c>
      <c r="K67" s="164">
        <v>1377</v>
      </c>
    </row>
    <row r="68" spans="1:11" ht="15.5">
      <c r="A68" s="59" t="s">
        <v>423</v>
      </c>
      <c r="B68">
        <v>1</v>
      </c>
      <c r="D68" s="140">
        <v>0</v>
      </c>
      <c r="H68" s="127" t="s">
        <v>4362</v>
      </c>
      <c r="I68" s="120">
        <v>15</v>
      </c>
      <c r="J68" s="155">
        <v>32216.68</v>
      </c>
      <c r="K68" s="165">
        <v>1697524.456</v>
      </c>
    </row>
    <row r="69" spans="1:11">
      <c r="A69" s="59" t="s">
        <v>4362</v>
      </c>
      <c r="B69">
        <v>15</v>
      </c>
      <c r="C69">
        <v>32216.68</v>
      </c>
      <c r="D69" s="140">
        <v>1697524.456</v>
      </c>
    </row>
    <row r="105" spans="1:2">
      <c r="A105" s="145" t="s">
        <v>4368</v>
      </c>
      <c r="B105" s="146" t="s">
        <v>4353</v>
      </c>
    </row>
    <row r="106" spans="1:2">
      <c r="A106" s="147" t="s">
        <v>77</v>
      </c>
      <c r="B106" s="146">
        <v>7</v>
      </c>
    </row>
    <row r="107" spans="1:2">
      <c r="A107" s="148" t="s">
        <v>108</v>
      </c>
      <c r="B107" s="162">
        <v>8</v>
      </c>
    </row>
    <row r="108" spans="1:2">
      <c r="A108" s="149" t="s">
        <v>4369</v>
      </c>
      <c r="B108" s="161">
        <v>15</v>
      </c>
    </row>
  </sheetData>
  <mergeCells count="11">
    <mergeCell ref="M1:S3"/>
    <mergeCell ref="L1:L3"/>
    <mergeCell ref="A28:E28"/>
    <mergeCell ref="H60:K60"/>
    <mergeCell ref="H14:J14"/>
    <mergeCell ref="A4:K7"/>
    <mergeCell ref="H13:J13"/>
    <mergeCell ref="A1:K3"/>
    <mergeCell ref="A13:D13"/>
    <mergeCell ref="A45:E45"/>
    <mergeCell ref="A53:E53"/>
  </mergeCells>
  <pageMargins left="1.6141732283464567" right="0.23622047244094491" top="0.74803149606299213" bottom="0.74803149606299213" header="0.31496062992125984" footer="0.31496062992125984"/>
  <pageSetup paperSize="119" scale="44" fitToWidth="2" orientation="landscape" r:id="rId9"/>
  <drawing r:id="rId10"/>
  <legacyDrawing r:id="rId11"/>
  <mc:AlternateContent xmlns:mc="http://schemas.openxmlformats.org/markup-compatibility/2006">
    <mc:Choice Requires="x14">
      <controls>
        <mc:AlternateContent xmlns:mc="http://schemas.openxmlformats.org/markup-compatibility/2006">
          <mc:Choice Requires="x14">
            <control shapeId="8194" r:id="rId12" name="Button 2">
              <controlPr defaultSize="0" print="0" autoFill="0" autoPict="0" macro="[0]!Volver">
                <anchor moveWithCells="1" sizeWithCells="1">
                  <from>
                    <xdr:col>11</xdr:col>
                    <xdr:colOff>69850</xdr:colOff>
                    <xdr:row>0</xdr:row>
                    <xdr:rowOff>31750</xdr:rowOff>
                  </from>
                  <to>
                    <xdr:col>11</xdr:col>
                    <xdr:colOff>1981200</xdr:colOff>
                    <xdr:row>3</xdr:row>
                    <xdr:rowOff>69850</xdr:rowOff>
                  </to>
                </anchor>
              </controlPr>
            </control>
          </mc:Choice>
        </mc:AlternateContent>
      </controls>
    </mc:Choice>
  </mc:AlternateContent>
  <extLst>
    <ext xmlns:x15="http://schemas.microsoft.com/office/spreadsheetml/2010/11/main" uri="{7E03D99C-DC04-49d9-9315-930204A7B6E9}">
      <x15:timelineRefs>
        <x15:timelineRef r:id="rId13"/>
      </x15:timelineRef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L45"/>
  <sheetViews>
    <sheetView topLeftCell="A4" workbookViewId="0">
      <selection activeCell="B31" sqref="B31"/>
    </sheetView>
  </sheetViews>
  <sheetFormatPr baseColWidth="10" defaultColWidth="11.453125" defaultRowHeight="14.5"/>
  <cols>
    <col min="3" max="3" width="12.81640625" bestFit="1" customWidth="1"/>
    <col min="4" max="4" width="19.453125" bestFit="1" customWidth="1"/>
    <col min="5" max="5" width="11.453125" customWidth="1"/>
    <col min="6" max="6" width="5.54296875" customWidth="1"/>
  </cols>
  <sheetData>
    <row r="1" spans="1:12">
      <c r="A1" t="s">
        <v>5</v>
      </c>
      <c r="B1" t="s">
        <v>4370</v>
      </c>
      <c r="C1" t="s">
        <v>4371</v>
      </c>
      <c r="D1" t="s">
        <v>4372</v>
      </c>
      <c r="I1" t="s">
        <v>5</v>
      </c>
      <c r="J1" t="s">
        <v>4370</v>
      </c>
      <c r="K1" t="s">
        <v>4371</v>
      </c>
      <c r="L1" t="s">
        <v>4372</v>
      </c>
    </row>
    <row r="2" spans="1:12">
      <c r="A2" s="72">
        <v>44682</v>
      </c>
      <c r="B2" t="s">
        <v>4373</v>
      </c>
      <c r="C2" s="236">
        <v>3245651</v>
      </c>
      <c r="D2" s="196">
        <f>100-(SUMIFS(BD_Bloqueados[Cantidad (kg)],BD_Bloqueados[Año],G2,BD_Bloqueados[Mes],F2,BD_Bloqueados[Tipo de Bloqueo],"Bloqueo PT/SE")/Acumulados[[#This Row],[Total Acumulado (kg)]])*100</f>
        <v>99.759080689821545</v>
      </c>
      <c r="F2">
        <v>5</v>
      </c>
      <c r="G2">
        <v>2022</v>
      </c>
      <c r="I2" s="72">
        <v>44682</v>
      </c>
      <c r="J2" t="s">
        <v>4373</v>
      </c>
      <c r="K2">
        <v>3245651</v>
      </c>
      <c r="L2">
        <v>99.759080689821545</v>
      </c>
    </row>
    <row r="3" spans="1:12">
      <c r="A3" s="72">
        <v>44713</v>
      </c>
      <c r="B3" t="s">
        <v>4374</v>
      </c>
      <c r="C3" s="236">
        <v>3245651</v>
      </c>
      <c r="D3" s="196">
        <f>100-(SUMIFS(BD_Bloqueados[Cantidad (kg)],BD_Bloqueados[Año],G3,BD_Bloqueados[Mes],F3,BD_Bloqueados[Tipo de Bloqueo],"Bloqueo PT/SE")/Acumulados[[#This Row],[Total Acumulado (kg)]])*100</f>
        <v>99.790476548464397</v>
      </c>
      <c r="F3">
        <v>6</v>
      </c>
      <c r="G3">
        <v>2022</v>
      </c>
      <c r="I3" s="72">
        <v>44713</v>
      </c>
      <c r="J3" t="s">
        <v>4374</v>
      </c>
      <c r="K3">
        <v>3245651</v>
      </c>
      <c r="L3">
        <v>99.790476548464397</v>
      </c>
    </row>
    <row r="4" spans="1:12">
      <c r="A4" s="72">
        <v>44743</v>
      </c>
      <c r="B4" t="s">
        <v>4375</v>
      </c>
      <c r="C4" s="236">
        <v>3245651</v>
      </c>
      <c r="D4" s="196">
        <f>100-(SUMIFS(BD_Bloqueados[Cantidad (kg)],BD_Bloqueados[Año],G4,BD_Bloqueados[Mes],F4,BD_Bloqueados[Tipo de Bloqueo],"Bloqueo PT/SE")/Acumulados[[#This Row],[Total Acumulado (kg)]])*100</f>
        <v>99.849675766125188</v>
      </c>
      <c r="F4">
        <v>7</v>
      </c>
      <c r="G4">
        <v>2022</v>
      </c>
      <c r="I4" s="72">
        <v>44743</v>
      </c>
      <c r="J4" t="s">
        <v>4375</v>
      </c>
      <c r="K4">
        <v>3245651</v>
      </c>
      <c r="L4">
        <v>99.849675766125188</v>
      </c>
    </row>
    <row r="5" spans="1:12">
      <c r="A5" s="72">
        <v>44774</v>
      </c>
      <c r="B5" t="s">
        <v>4376</v>
      </c>
      <c r="C5" s="236">
        <v>3245651</v>
      </c>
      <c r="D5" s="196">
        <f>100-(SUMIFS(BD_Bloqueados[Cantidad (kg)],BD_Bloqueados[Año],G5,BD_Bloqueados[Mes],F5,BD_Bloqueados[Tipo de Bloqueo],"Bloqueo PT/SE")/Acumulados[[#This Row],[Total Acumulado (kg)]])*100</f>
        <v>98.89057079766124</v>
      </c>
      <c r="F5">
        <v>8</v>
      </c>
      <c r="G5">
        <v>2022</v>
      </c>
      <c r="I5" s="72">
        <v>44774</v>
      </c>
      <c r="J5" t="s">
        <v>4376</v>
      </c>
      <c r="K5">
        <v>3245651</v>
      </c>
      <c r="L5">
        <v>98.89057079766124</v>
      </c>
    </row>
    <row r="6" spans="1:12">
      <c r="A6" s="72">
        <v>44805</v>
      </c>
      <c r="B6" t="s">
        <v>4377</v>
      </c>
      <c r="C6" s="236">
        <v>3245651</v>
      </c>
      <c r="D6" s="196">
        <f>100-(SUMIFS(BD_Bloqueados[Cantidad (kg)],BD_Bloqueados[Año],G6,BD_Bloqueados[Mes],F6,BD_Bloqueados[Tipo de Bloqueo],"Bloqueo PT/SE")/Acumulados[[#This Row],[Total Acumulado (kg)]])*100</f>
        <v>99.025675896761541</v>
      </c>
      <c r="F6">
        <v>9</v>
      </c>
      <c r="G6">
        <v>2022</v>
      </c>
      <c r="I6" s="72">
        <v>44805</v>
      </c>
      <c r="J6" t="s">
        <v>4377</v>
      </c>
      <c r="K6">
        <v>3245651</v>
      </c>
      <c r="L6">
        <v>99.025675896761541</v>
      </c>
    </row>
    <row r="7" spans="1:12">
      <c r="A7" s="72">
        <v>44835</v>
      </c>
      <c r="B7" t="s">
        <v>4378</v>
      </c>
      <c r="C7" s="236">
        <v>3245651</v>
      </c>
      <c r="D7" s="196">
        <f>100-(SUMIFS(BD_Bloqueados[Cantidad (kg)],BD_Bloqueados[Año],G7,BD_Bloqueados[Mes],F7,BD_Bloqueados[Tipo de Bloqueo],"Bloqueo PT/SE")/Acumulados[[#This Row],[Total Acumulado (kg)]])*100</f>
        <v>99.298913222647784</v>
      </c>
      <c r="F7">
        <v>10</v>
      </c>
      <c r="G7">
        <v>2022</v>
      </c>
      <c r="I7" s="72">
        <v>44835</v>
      </c>
      <c r="J7" t="s">
        <v>4378</v>
      </c>
      <c r="K7">
        <v>3245651</v>
      </c>
      <c r="L7">
        <v>99.298913222647784</v>
      </c>
    </row>
    <row r="8" spans="1:12">
      <c r="A8" s="72">
        <v>44866</v>
      </c>
      <c r="B8" t="s">
        <v>4379</v>
      </c>
      <c r="C8" s="236">
        <v>3245651</v>
      </c>
      <c r="D8" s="196">
        <f>100-(SUMIFS(BD_Bloqueados[Cantidad (kg)],BD_Bloqueados[Año],G8,BD_Bloqueados[Mes],F8,BD_Bloqueados[Tipo de Bloqueo],"Bloqueo PT/SE")/Acumulados[[#This Row],[Total Acumulado (kg)]])*100</f>
        <v>99.657455468872044</v>
      </c>
      <c r="F8">
        <v>11</v>
      </c>
      <c r="G8">
        <v>2022</v>
      </c>
      <c r="I8" s="72">
        <v>44866</v>
      </c>
      <c r="J8" t="s">
        <v>4379</v>
      </c>
      <c r="K8">
        <v>3245651</v>
      </c>
      <c r="L8">
        <v>99.657455468872044</v>
      </c>
    </row>
    <row r="9" spans="1:12">
      <c r="A9" s="72">
        <v>44896</v>
      </c>
      <c r="B9" t="s">
        <v>4380</v>
      </c>
      <c r="C9" s="236">
        <v>3245651</v>
      </c>
      <c r="D9" s="196">
        <f>100-(SUMIFS(BD_Bloqueados[Cantidad (kg)],BD_Bloqueados[Año],G9,BD_Bloqueados[Mes],F9,BD_Bloqueados[Tipo de Bloqueo],"Bloqueo PT/SE")/Acumulados[[#This Row],[Total Acumulado (kg)]])*100</f>
        <v>99.668687422030274</v>
      </c>
      <c r="F9">
        <v>12</v>
      </c>
      <c r="G9">
        <v>2022</v>
      </c>
      <c r="I9" s="72">
        <v>44896</v>
      </c>
      <c r="J9" t="s">
        <v>4380</v>
      </c>
      <c r="K9">
        <v>3245651</v>
      </c>
      <c r="L9">
        <v>99.668687422030274</v>
      </c>
    </row>
    <row r="10" spans="1:12">
      <c r="A10" s="72">
        <v>44927</v>
      </c>
      <c r="B10" s="135" t="s">
        <v>4381</v>
      </c>
      <c r="C10" s="236">
        <v>3245651</v>
      </c>
      <c r="D10" s="196">
        <f>100-(SUMIFS(BD_Bloqueados[Cantidad (kg)],BD_Bloqueados[Año],G10,BD_Bloqueados[Mes],F10,BD_Bloqueados[Tipo de Bloqueo],"Bloqueo PT/SE")/Acumulados[[#This Row],[Total Acumulado (kg)]])*100</f>
        <v>99.510182702946182</v>
      </c>
      <c r="F10">
        <v>1</v>
      </c>
      <c r="G10">
        <v>2023</v>
      </c>
      <c r="I10" s="72">
        <v>44927</v>
      </c>
      <c r="J10" t="s">
        <v>4381</v>
      </c>
      <c r="K10">
        <v>3245651</v>
      </c>
      <c r="L10">
        <v>99.479125759362304</v>
      </c>
    </row>
    <row r="11" spans="1:12">
      <c r="A11" s="72">
        <v>44958</v>
      </c>
      <c r="B11" s="135" t="s">
        <v>4382</v>
      </c>
      <c r="C11" s="236">
        <v>3245651</v>
      </c>
      <c r="D11" s="196">
        <f>100-(SUMIFS(BD_Bloqueados[Cantidad (kg)],BD_Bloqueados[Año],G11,BD_Bloqueados[Mes],F11,BD_Bloqueados[Tipo de Bloqueo],"Bloqueo PT/SE")/Acumulados[[#This Row],[Total Acumulado (kg)]])*100</f>
        <v>99.223580354141589</v>
      </c>
      <c r="F11">
        <v>2</v>
      </c>
      <c r="G11">
        <v>2023</v>
      </c>
      <c r="I11" s="72">
        <v>44958</v>
      </c>
      <c r="J11" t="s">
        <v>4382</v>
      </c>
      <c r="K11">
        <v>3245651</v>
      </c>
      <c r="L11">
        <v>99.223580354141589</v>
      </c>
    </row>
    <row r="12" spans="1:12">
      <c r="A12" s="72">
        <v>44986</v>
      </c>
      <c r="B12" t="s">
        <v>4383</v>
      </c>
      <c r="C12" s="236">
        <v>3245651</v>
      </c>
      <c r="D12" s="196">
        <f>100-(SUMIFS(BD_Bloqueados[Cantidad (kg)],BD_Bloqueados[Año],G12,BD_Bloqueados[Mes],F12,BD_Bloqueados[Tipo de Bloqueo],"Bloqueo PT/SE")/Acumulados[[#This Row],[Total Acumulado (kg)]])*100</f>
        <v>99.316208982419866</v>
      </c>
      <c r="F12">
        <v>3</v>
      </c>
      <c r="G12">
        <v>2023</v>
      </c>
      <c r="I12" s="72">
        <v>44986</v>
      </c>
      <c r="J12" t="s">
        <v>4383</v>
      </c>
      <c r="K12">
        <v>3245651</v>
      </c>
      <c r="L12">
        <v>99.306226393410753</v>
      </c>
    </row>
    <row r="13" spans="1:12">
      <c r="A13" s="72">
        <v>45017</v>
      </c>
      <c r="B13" t="s">
        <v>4384</v>
      </c>
      <c r="C13" s="236">
        <v>3245651</v>
      </c>
      <c r="D13" s="196">
        <f>100-(SUMIFS(BD_Bloqueados[Cantidad (kg)],BD_Bloqueados[Año],G13,BD_Bloqueados[Mes],F13,BD_Bloqueados[Tipo de Bloqueo],"Bloqueo PT/SE")/Acumulados[[#This Row],[Total Acumulado (kg)]])*100</f>
        <v>99.4538568687761</v>
      </c>
      <c r="F13">
        <v>4</v>
      </c>
      <c r="G13">
        <v>2023</v>
      </c>
      <c r="I13" s="72">
        <v>45017</v>
      </c>
      <c r="J13" t="s">
        <v>4384</v>
      </c>
      <c r="K13">
        <v>3245651</v>
      </c>
      <c r="L13">
        <v>99.338169753926095</v>
      </c>
    </row>
    <row r="14" spans="1:12">
      <c r="A14" s="72">
        <v>45047</v>
      </c>
      <c r="B14" t="s">
        <v>4373</v>
      </c>
      <c r="C14" s="236">
        <v>3245651</v>
      </c>
      <c r="D14" s="196">
        <f>100-(SUMIFS(BD_Bloqueados[Cantidad (kg)],BD_Bloqueados[Año],G14,BD_Bloqueados[Mes],F14,BD_Bloqueados[Tipo de Bloqueo],"Bloqueo PT/SE")/Acumulados[[#This Row],[Total Acumulado (kg)]])*100</f>
        <v>99.704546175790313</v>
      </c>
      <c r="F14">
        <v>5</v>
      </c>
      <c r="G14">
        <v>2023</v>
      </c>
      <c r="I14" s="72">
        <v>45047</v>
      </c>
      <c r="J14" t="s">
        <v>4373</v>
      </c>
      <c r="K14">
        <v>3245651</v>
      </c>
      <c r="L14">
        <v>99.818754388564884</v>
      </c>
    </row>
    <row r="15" spans="1:12">
      <c r="A15" s="72">
        <v>45078</v>
      </c>
      <c r="B15" t="s">
        <v>4374</v>
      </c>
      <c r="C15" s="236">
        <v>3245651</v>
      </c>
      <c r="D15" s="196">
        <f>100-(SUMIFS(BD_Bloqueados[Cantidad (kg)],BD_Bloqueados[Año],G15,BD_Bloqueados[Mes],F15,BD_Bloqueados[Tipo de Bloqueo],"Bloqueo PT/SE")/Acumulados[[#This Row],[Total Acumulado (kg)]])*100</f>
        <v>99.287326024886838</v>
      </c>
      <c r="F15">
        <v>6</v>
      </c>
      <c r="G15">
        <v>2023</v>
      </c>
      <c r="I15" s="72">
        <v>45078</v>
      </c>
      <c r="J15" t="s">
        <v>4374</v>
      </c>
      <c r="K15">
        <v>3245651</v>
      </c>
      <c r="L15">
        <v>99.228786151067993</v>
      </c>
    </row>
    <row r="16" spans="1:12">
      <c r="A16" s="72">
        <v>45108</v>
      </c>
      <c r="B16" t="s">
        <v>4375</v>
      </c>
      <c r="C16" s="236">
        <v>3245651</v>
      </c>
      <c r="D16" s="196">
        <f>100-(SUMIFS(BD_Bloqueados[Cantidad (kg)],BD_Bloqueados[Año],G16,BD_Bloqueados[Mes],F16,BD_Bloqueados[Tipo de Bloqueo],"Bloqueo PT/SE")/Acumulados[[#This Row],[Total Acumulado (kg)]])*100</f>
        <v>99.179207684375186</v>
      </c>
      <c r="F16">
        <v>7</v>
      </c>
      <c r="G16">
        <v>2023</v>
      </c>
      <c r="I16" s="72">
        <v>45108</v>
      </c>
      <c r="J16" t="s">
        <v>4375</v>
      </c>
      <c r="K16">
        <v>3245651</v>
      </c>
      <c r="L16">
        <v>99.167607546221078</v>
      </c>
    </row>
    <row r="17" spans="1:12">
      <c r="A17" s="72">
        <v>45139</v>
      </c>
      <c r="B17" t="s">
        <v>4385</v>
      </c>
      <c r="C17" s="236">
        <v>3245651</v>
      </c>
      <c r="D17" s="196">
        <f>100-(SUMIFS(BD_Bloqueados[Cantidad (kg)],BD_Bloqueados[Año],G17,BD_Bloqueados[Mes],F17,BD_Bloqueados[Tipo de Bloqueo],"Bloqueo PT/SE")/Acumulados[[#This Row],[Total Acumulado (kg)]])*100</f>
        <v>99.387612531353497</v>
      </c>
      <c r="F17">
        <v>8</v>
      </c>
      <c r="G17">
        <v>2023</v>
      </c>
      <c r="I17" s="72">
        <v>45139</v>
      </c>
      <c r="J17" t="s">
        <v>4385</v>
      </c>
      <c r="K17">
        <v>3245651</v>
      </c>
      <c r="L17">
        <v>99.530770252254484</v>
      </c>
    </row>
    <row r="18" spans="1:12">
      <c r="A18" s="72">
        <v>45170</v>
      </c>
      <c r="B18" t="s">
        <v>4377</v>
      </c>
      <c r="C18" s="236">
        <v>3133655</v>
      </c>
      <c r="D18" s="196">
        <f>100-(SUMIFS(BD_Bloqueados[Cantidad (kg)],BD_Bloqueados[Año],G18,BD_Bloqueados[Mes],F18,BD_Bloqueados[Tipo de Bloqueo],"Bloqueo PT/SE")/Acumulados[[#This Row],[Total Acumulado (kg)]])*100</f>
        <v>99.464591028686954</v>
      </c>
      <c r="F18">
        <v>9</v>
      </c>
      <c r="G18">
        <v>2023</v>
      </c>
      <c r="I18" s="72">
        <v>45170</v>
      </c>
    </row>
    <row r="19" spans="1:12">
      <c r="A19" s="72">
        <v>45200</v>
      </c>
      <c r="B19" t="s">
        <v>4386</v>
      </c>
      <c r="C19" s="236">
        <v>3378840</v>
      </c>
      <c r="D19" s="196">
        <f>100-(SUMIFS(BD_Bloqueados[Cantidad (kg)],BD_Bloqueados[Año],G19,BD_Bloqueados[Mes],F19,BD_Bloqueados[Tipo de Bloqueo],"Bloqueo PT/SE")/Acumulados[[#This Row],[Total Acumulado (kg)]])*100</f>
        <v>99.40597654816446</v>
      </c>
      <c r="F19">
        <v>10</v>
      </c>
      <c r="G19">
        <v>2023</v>
      </c>
      <c r="I19" s="72">
        <v>45200</v>
      </c>
    </row>
    <row r="20" spans="1:12">
      <c r="A20" s="72">
        <v>45231</v>
      </c>
      <c r="B20" t="s">
        <v>4387</v>
      </c>
      <c r="C20" s="236">
        <v>3823887</v>
      </c>
      <c r="D20" s="196">
        <f>100-(SUMIFS(BD_Bloqueados[Cantidad (kg)],BD_Bloqueados[Año],G20,BD_Bloqueados[Mes],F20,BD_Bloqueados[Tipo de Bloqueo],"Bloqueo PT/SE")/Acumulados[[#This Row],[Total Acumulado (kg)]])*100</f>
        <v>99.332099771776726</v>
      </c>
      <c r="F20">
        <v>11</v>
      </c>
      <c r="G20">
        <v>2023</v>
      </c>
      <c r="I20" s="72">
        <v>45231</v>
      </c>
    </row>
    <row r="21" spans="1:12">
      <c r="A21" s="72">
        <v>45261</v>
      </c>
      <c r="B21" t="s">
        <v>4380</v>
      </c>
      <c r="C21" s="236">
        <v>3056888</v>
      </c>
      <c r="D21" s="196">
        <f>100-(SUMIFS(BD_Bloqueados[Cantidad (kg)],BD_Bloqueados[Año],G21,BD_Bloqueados[Mes],F21,BD_Bloqueados[Tipo de Bloqueo],"Bloqueo PT/SE")/Acumulados[[#This Row],[Total Acumulado (kg)]])*100</f>
        <v>99.471244285037599</v>
      </c>
      <c r="F21">
        <v>12</v>
      </c>
      <c r="G21">
        <v>2023</v>
      </c>
      <c r="I21" s="72">
        <v>45232</v>
      </c>
    </row>
    <row r="22" spans="1:12">
      <c r="A22" s="72">
        <v>45292</v>
      </c>
      <c r="B22" s="135" t="s">
        <v>4388</v>
      </c>
      <c r="C22" s="236">
        <v>2904650</v>
      </c>
      <c r="D22" s="196">
        <f>100-(SUMIFS(BD_Bloqueados[Cantidad (kg)],BD_Bloqueados[Año],G22,BD_Bloqueados[Mes],F22,BD_Bloqueados[Tipo de Bloqueo],"Bloqueo PT/SE")/Acumulados[[#This Row],[Total Acumulado (kg)]])*100</f>
        <v>98.715317508133509</v>
      </c>
      <c r="F22">
        <v>1</v>
      </c>
      <c r="G22">
        <v>2024</v>
      </c>
      <c r="I22" s="72">
        <v>45233</v>
      </c>
      <c r="J22">
        <f>SUMIFS(BD_Bloqueados[Cantidad (kg)],BD_Bloqueados[Año],G22,BD_Bloqueados[Mes],F22,BD_Bloqueados[Tipo de Bloqueo],"Bloqueo PT/SE")</f>
        <v>37315.529999999992</v>
      </c>
    </row>
    <row r="23" spans="1:12">
      <c r="A23" s="72">
        <v>45323</v>
      </c>
      <c r="B23" s="135" t="s">
        <v>4389</v>
      </c>
      <c r="C23" s="236">
        <v>2487394</v>
      </c>
      <c r="D23" s="196">
        <f>100-(SUMIFS(BD_Bloqueados[Cantidad (kg)],BD_Bloqueados[Año],G23,BD_Bloqueados[Mes],F23,BD_Bloqueados[Tipo de Bloqueo],"Bloqueo PT/SE")/Acumulados[[#This Row],[Total Acumulado (kg)]])*100</f>
        <v>97.807991415915609</v>
      </c>
      <c r="F23">
        <v>2</v>
      </c>
      <c r="G23">
        <v>2024</v>
      </c>
    </row>
    <row r="24" spans="1:12">
      <c r="A24" s="72">
        <v>45352</v>
      </c>
      <c r="B24" s="135" t="s">
        <v>4390</v>
      </c>
      <c r="C24" s="236">
        <v>2694110</v>
      </c>
      <c r="D24" s="196">
        <f>100-(SUMIFS(BD_Bloqueados[Cantidad (kg)],BD_Bloqueados[Año],G24,BD_Bloqueados[Mes],F24,BD_Bloqueados[Tipo de Bloqueo],"Bloqueo PT/SE")/Acumulados[[#This Row],[Total Acumulado (kg)]])*100</f>
        <v>99.284586375463505</v>
      </c>
      <c r="F24">
        <v>3</v>
      </c>
      <c r="G24">
        <v>2024</v>
      </c>
    </row>
    <row r="25" spans="1:12">
      <c r="A25" s="72">
        <v>45383</v>
      </c>
      <c r="B25" t="s">
        <v>4391</v>
      </c>
      <c r="C25" s="140">
        <v>2704412</v>
      </c>
      <c r="D25" s="196">
        <f>100-(SUMIFS(BD_Bloqueados[Cantidad (kg)],BD_Bloqueados[Año],G25,BD_Bloqueados[Mes],F25,BD_Bloqueados[Tipo de Bloqueo],"Bloqueo PT/SE")/Acumulados[[#This Row],[Total Acumulado (kg)]])*100</f>
        <v>98.137274202303502</v>
      </c>
      <c r="F25">
        <v>4</v>
      </c>
      <c r="G25">
        <v>2024</v>
      </c>
    </row>
    <row r="26" spans="1:12">
      <c r="A26" s="72">
        <v>45413</v>
      </c>
      <c r="B26" t="s">
        <v>4392</v>
      </c>
      <c r="C26" s="236">
        <v>3507165</v>
      </c>
      <c r="D26" s="196">
        <f>100-(SUMIFS(BD_Bloqueados[Cantidad (kg)],BD_Bloqueados[Año],G26,BD_Bloqueados[Mes],F26,BD_Bloqueados[Tipo de Bloqueo],"Bloqueo PT/SE")/Acumulados[[#This Row],[Total Acumulado (kg)]])*100</f>
        <v>98.616483570062996</v>
      </c>
      <c r="F26">
        <v>5</v>
      </c>
      <c r="G26">
        <v>2024</v>
      </c>
    </row>
    <row r="27" spans="1:12">
      <c r="A27" s="72">
        <v>45444</v>
      </c>
      <c r="B27" t="s">
        <v>4410</v>
      </c>
      <c r="C27" s="236">
        <v>3342029</v>
      </c>
      <c r="D27" s="196">
        <f>100-(SUMIFS(BD_Bloqueados[Cantidad (kg)],BD_Bloqueados[Año],G27,BD_Bloqueados[Mes],F27,BD_Bloqueados[Tipo de Bloqueo],"Bloqueo PT/SE")/Acumulados[[#This Row],[Total Acumulado (kg)]])*100</f>
        <v>99.187212319222837</v>
      </c>
      <c r="F27">
        <v>6</v>
      </c>
      <c r="G27">
        <v>2024</v>
      </c>
    </row>
    <row r="28" spans="1:12">
      <c r="A28" s="72">
        <v>45474</v>
      </c>
      <c r="B28" t="s">
        <v>4375</v>
      </c>
      <c r="C28" s="236">
        <v>3943608</v>
      </c>
      <c r="D28" s="196">
        <f>100-(SUMIFS(BD_Bloqueados[Cantidad (kg)],BD_Bloqueados[Año],G28,BD_Bloqueados[Mes],F28,BD_Bloqueados[Tipo de Bloqueo],"Bloqueo PT/SE")/Acumulados[[#This Row],[Total Acumulado (kg)]])*100</f>
        <v>98.821565125134143</v>
      </c>
      <c r="F28">
        <v>7</v>
      </c>
      <c r="G28">
        <v>2024</v>
      </c>
    </row>
    <row r="29" spans="1:12">
      <c r="A29" s="72">
        <v>45505</v>
      </c>
      <c r="B29" t="s">
        <v>4774</v>
      </c>
      <c r="C29" s="236">
        <v>3935242</v>
      </c>
      <c r="D29" s="196">
        <f>100-(SUMIFS(BD_Bloqueados[Cantidad (kg)],BD_Bloqueados[Año],G29,BD_Bloqueados[Mes],F29,BD_Bloqueados[Tipo de Bloqueo],"Bloqueo PT/SE")/Acumulados[[#This Row],[Total Acumulado (kg)]])*100</f>
        <v>97.931742444302031</v>
      </c>
      <c r="F29">
        <v>8</v>
      </c>
      <c r="G29">
        <v>2024</v>
      </c>
    </row>
    <row r="30" spans="1:12">
      <c r="A30" s="72"/>
      <c r="C30" s="236"/>
      <c r="D30" s="196"/>
    </row>
    <row r="31" spans="1:12">
      <c r="A31" s="72"/>
      <c r="C31" s="236"/>
      <c r="D31" s="196"/>
    </row>
    <row r="32" spans="1:12">
      <c r="A32" s="72"/>
      <c r="C32" s="236"/>
      <c r="D32" s="196"/>
    </row>
    <row r="33" spans="1:4">
      <c r="A33" s="72"/>
      <c r="C33" s="236"/>
      <c r="D33" s="196"/>
    </row>
    <row r="34" spans="1:4">
      <c r="A34" s="72"/>
      <c r="B34" s="135"/>
      <c r="C34" s="236"/>
      <c r="D34" s="196"/>
    </row>
    <row r="35" spans="1:4">
      <c r="A35" s="72"/>
      <c r="B35" s="135"/>
      <c r="C35" s="236"/>
      <c r="D35" s="196"/>
    </row>
    <row r="36" spans="1:4">
      <c r="A36" s="72"/>
      <c r="C36" s="236"/>
      <c r="D36" s="196"/>
    </row>
    <row r="37" spans="1:4">
      <c r="A37" s="72"/>
      <c r="C37" s="236"/>
      <c r="D37" s="196"/>
    </row>
    <row r="38" spans="1:4">
      <c r="A38" s="72"/>
      <c r="C38" s="236"/>
      <c r="D38" s="196"/>
    </row>
    <row r="39" spans="1:4">
      <c r="A39" s="72"/>
      <c r="C39" s="236"/>
      <c r="D39" s="196"/>
    </row>
    <row r="40" spans="1:4">
      <c r="A40" s="72"/>
      <c r="C40" s="236"/>
      <c r="D40" s="196"/>
    </row>
    <row r="41" spans="1:4">
      <c r="A41" s="72"/>
      <c r="C41" s="236"/>
      <c r="D41" s="196"/>
    </row>
    <row r="42" spans="1:4">
      <c r="A42" s="72"/>
      <c r="C42" s="236"/>
      <c r="D42" s="196"/>
    </row>
    <row r="43" spans="1:4">
      <c r="A43" s="72"/>
      <c r="C43" s="236"/>
      <c r="D43" s="196"/>
    </row>
    <row r="44" spans="1:4">
      <c r="A44" s="72"/>
      <c r="C44" s="236"/>
      <c r="D44" s="196"/>
    </row>
    <row r="45" spans="1:4">
      <c r="A45" s="72"/>
      <c r="C45" s="236"/>
      <c r="D45" s="196"/>
    </row>
  </sheetData>
  <pageMargins left="0.7" right="0.7" top="0.75" bottom="0.75" header="0.3" footer="0.3"/>
  <ignoredErrors>
    <ignoredError sqref="B24" twoDigitTextYear="1"/>
  </ignoredErrors>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BC5A1-71FD-4C93-943C-203399BED08A}">
  <sheetPr codeName="Hoja13"/>
  <dimension ref="A1:J127"/>
  <sheetViews>
    <sheetView topLeftCell="A111" workbookViewId="0">
      <selection activeCell="J121" sqref="J121"/>
    </sheetView>
  </sheetViews>
  <sheetFormatPr baseColWidth="10" defaultColWidth="11.453125" defaultRowHeight="14.5"/>
  <sheetData>
    <row r="1" spans="1:2">
      <c r="A1" s="41" t="s">
        <v>93</v>
      </c>
      <c r="B1" s="42">
        <v>12001396</v>
      </c>
    </row>
    <row r="2" spans="1:2">
      <c r="A2" s="43" t="s">
        <v>95</v>
      </c>
      <c r="B2" s="44">
        <v>12001398</v>
      </c>
    </row>
    <row r="3" spans="1:2">
      <c r="A3" s="41" t="s">
        <v>149</v>
      </c>
      <c r="B3" s="42">
        <v>12001406</v>
      </c>
    </row>
    <row r="4" spans="1:2">
      <c r="A4" s="43" t="s">
        <v>123</v>
      </c>
      <c r="B4" s="44">
        <v>13030401</v>
      </c>
    </row>
    <row r="5" spans="1:2">
      <c r="A5" s="41" t="s">
        <v>150</v>
      </c>
      <c r="B5" s="42">
        <v>13030403</v>
      </c>
    </row>
    <row r="6" spans="1:2">
      <c r="A6" s="43" t="s">
        <v>175</v>
      </c>
      <c r="B6" s="44">
        <v>13030467</v>
      </c>
    </row>
    <row r="7" spans="1:2">
      <c r="A7" s="41" t="s">
        <v>197</v>
      </c>
      <c r="B7" s="42">
        <v>13030469</v>
      </c>
    </row>
    <row r="8" spans="1:2">
      <c r="A8" s="43" t="s">
        <v>219</v>
      </c>
      <c r="B8" s="44">
        <v>13030543</v>
      </c>
    </row>
    <row r="9" spans="1:2">
      <c r="A9" s="41" t="s">
        <v>239</v>
      </c>
      <c r="B9" s="42">
        <v>13030098</v>
      </c>
    </row>
    <row r="10" spans="1:2">
      <c r="A10" s="39" t="s">
        <v>255</v>
      </c>
      <c r="B10" s="40">
        <v>13030177</v>
      </c>
    </row>
    <row r="11" spans="1:2">
      <c r="A11" s="41" t="s">
        <v>124</v>
      </c>
      <c r="B11" s="42">
        <v>13001004</v>
      </c>
    </row>
    <row r="12" spans="1:2">
      <c r="A12" s="43" t="s">
        <v>151</v>
      </c>
      <c r="B12" s="44">
        <v>13030199</v>
      </c>
    </row>
    <row r="13" spans="1:2">
      <c r="A13" s="41" t="s">
        <v>176</v>
      </c>
      <c r="B13" s="42">
        <v>13030406</v>
      </c>
    </row>
    <row r="14" spans="1:2">
      <c r="A14" s="43" t="s">
        <v>292</v>
      </c>
      <c r="B14" s="44">
        <v>13030407</v>
      </c>
    </row>
    <row r="15" spans="1:2">
      <c r="A15" s="41" t="s">
        <v>295</v>
      </c>
      <c r="B15" s="42">
        <v>13030520</v>
      </c>
    </row>
    <row r="16" spans="1:2">
      <c r="A16" s="43" t="s">
        <v>298</v>
      </c>
      <c r="B16" s="44">
        <v>12001372</v>
      </c>
    </row>
    <row r="17" spans="1:2">
      <c r="A17" s="41" t="s">
        <v>198</v>
      </c>
      <c r="B17" s="42">
        <v>12001376</v>
      </c>
    </row>
    <row r="18" spans="1:2">
      <c r="A18" s="43" t="s">
        <v>307</v>
      </c>
      <c r="B18" s="44">
        <v>12001381</v>
      </c>
    </row>
    <row r="19" spans="1:2">
      <c r="A19" s="37" t="s">
        <v>94</v>
      </c>
      <c r="B19" s="38">
        <v>12001397</v>
      </c>
    </row>
    <row r="20" spans="1:2">
      <c r="A20" s="39" t="s">
        <v>122</v>
      </c>
      <c r="B20" s="40">
        <v>12001446</v>
      </c>
    </row>
    <row r="21" spans="1:2">
      <c r="A21" s="37" t="s">
        <v>96</v>
      </c>
      <c r="B21" s="38">
        <v>12001411</v>
      </c>
    </row>
    <row r="22" spans="1:2">
      <c r="A22" s="39" t="s">
        <v>174</v>
      </c>
      <c r="B22" s="40">
        <v>13000270</v>
      </c>
    </row>
    <row r="23" spans="1:2">
      <c r="A23" s="37" t="s">
        <v>196</v>
      </c>
      <c r="B23" s="38">
        <v>13030097</v>
      </c>
    </row>
    <row r="24" spans="1:2">
      <c r="A24" s="39" t="s">
        <v>218</v>
      </c>
      <c r="B24" s="40">
        <v>13030176</v>
      </c>
    </row>
    <row r="25" spans="1:2">
      <c r="A25" s="37" t="s">
        <v>238</v>
      </c>
      <c r="B25" s="38">
        <v>13030210</v>
      </c>
    </row>
    <row r="26" spans="1:2">
      <c r="A26" s="39" t="s">
        <v>254</v>
      </c>
      <c r="B26" s="40">
        <v>13030321</v>
      </c>
    </row>
    <row r="27" spans="1:2">
      <c r="A27" s="37" t="s">
        <v>265</v>
      </c>
      <c r="B27" s="38">
        <v>13030402</v>
      </c>
    </row>
    <row r="28" spans="1:2">
      <c r="A28" s="39" t="s">
        <v>273</v>
      </c>
      <c r="B28" s="40">
        <v>13030404</v>
      </c>
    </row>
    <row r="29" spans="1:2">
      <c r="A29" s="37" t="s">
        <v>280</v>
      </c>
      <c r="B29" s="38">
        <v>13030468</v>
      </c>
    </row>
    <row r="30" spans="1:2">
      <c r="A30" s="39" t="s">
        <v>285</v>
      </c>
      <c r="B30" s="40">
        <v>13030597</v>
      </c>
    </row>
    <row r="31" spans="1:2">
      <c r="A31" s="37" t="s">
        <v>125</v>
      </c>
      <c r="B31" s="38">
        <v>13030301</v>
      </c>
    </row>
    <row r="32" spans="1:2">
      <c r="A32" s="39" t="s">
        <v>152</v>
      </c>
      <c r="B32" s="40">
        <v>13030322</v>
      </c>
    </row>
    <row r="33" spans="1:2">
      <c r="A33" s="37" t="s">
        <v>177</v>
      </c>
      <c r="B33" s="38">
        <v>13030489</v>
      </c>
    </row>
    <row r="34" spans="1:2">
      <c r="A34" s="39" t="s">
        <v>199</v>
      </c>
      <c r="B34" s="40">
        <v>13030519</v>
      </c>
    </row>
    <row r="35" spans="1:2">
      <c r="A35" s="37" t="s">
        <v>220</v>
      </c>
      <c r="B35" s="38">
        <v>12001374</v>
      </c>
    </row>
    <row r="36" spans="1:2">
      <c r="A36" s="39" t="s">
        <v>308</v>
      </c>
      <c r="B36" s="40">
        <v>12001447</v>
      </c>
    </row>
    <row r="37" spans="1:2">
      <c r="A37" s="37" t="s">
        <v>313</v>
      </c>
      <c r="B37" s="38">
        <v>12001339</v>
      </c>
    </row>
    <row r="38" spans="1:2">
      <c r="A38" s="37" t="s">
        <v>299</v>
      </c>
      <c r="B38" s="38">
        <v>12001407</v>
      </c>
    </row>
    <row r="39" spans="1:2">
      <c r="A39" s="37" t="s">
        <v>303</v>
      </c>
      <c r="B39" s="38">
        <v>13030395</v>
      </c>
    </row>
    <row r="40" spans="1:2">
      <c r="A40" s="37" t="s">
        <v>309</v>
      </c>
      <c r="B40" s="38">
        <v>13030396</v>
      </c>
    </row>
    <row r="41" spans="1:2">
      <c r="A41" s="37" t="s">
        <v>314</v>
      </c>
      <c r="B41" s="38">
        <v>13030397</v>
      </c>
    </row>
    <row r="42" spans="1:2">
      <c r="A42" s="37" t="s">
        <v>318</v>
      </c>
      <c r="B42" s="38">
        <v>13030405</v>
      </c>
    </row>
    <row r="43" spans="1:2">
      <c r="A43" s="37" t="s">
        <v>328</v>
      </c>
      <c r="B43" s="38">
        <v>13030521</v>
      </c>
    </row>
    <row r="44" spans="1:2">
      <c r="A44" s="41" t="s">
        <v>93</v>
      </c>
      <c r="B44" s="42">
        <v>12001396</v>
      </c>
    </row>
    <row r="45" spans="1:2">
      <c r="A45" s="39" t="s">
        <v>332</v>
      </c>
      <c r="B45" s="40">
        <v>12001408</v>
      </c>
    </row>
    <row r="46" spans="1:2">
      <c r="A46" s="37" t="s">
        <v>365</v>
      </c>
      <c r="B46" s="38">
        <v>12001375</v>
      </c>
    </row>
    <row r="47" spans="1:2">
      <c r="A47" s="37" t="s">
        <v>368</v>
      </c>
      <c r="B47" s="38">
        <v>12001409</v>
      </c>
    </row>
    <row r="48" spans="1:2">
      <c r="A48" s="37" t="s">
        <v>371</v>
      </c>
      <c r="B48" s="38">
        <v>12000110</v>
      </c>
    </row>
    <row r="49" spans="1:2">
      <c r="A49" s="37" t="s">
        <v>374</v>
      </c>
      <c r="B49" s="38">
        <v>12001373</v>
      </c>
    </row>
    <row r="50" spans="1:2">
      <c r="A50" s="37" t="s">
        <v>751</v>
      </c>
      <c r="B50" s="38">
        <v>13030605</v>
      </c>
    </row>
    <row r="51" spans="1:2">
      <c r="A51" s="37" t="s">
        <v>753</v>
      </c>
      <c r="B51" s="38">
        <v>13030301</v>
      </c>
    </row>
    <row r="52" spans="1:2">
      <c r="A52" s="37" t="s">
        <v>755</v>
      </c>
      <c r="B52" s="38">
        <v>13030601</v>
      </c>
    </row>
    <row r="53" spans="1:2">
      <c r="A53" s="37" t="s">
        <v>757</v>
      </c>
      <c r="B53" s="38">
        <v>13030602</v>
      </c>
    </row>
    <row r="54" spans="1:2">
      <c r="A54" s="37" t="s">
        <v>759</v>
      </c>
      <c r="B54" s="38">
        <v>13030603</v>
      </c>
    </row>
    <row r="55" spans="1:2">
      <c r="A55" s="49" t="s">
        <v>92</v>
      </c>
      <c r="B55" s="50">
        <v>13030409</v>
      </c>
    </row>
    <row r="56" spans="1:2">
      <c r="A56" s="49" t="s">
        <v>121</v>
      </c>
      <c r="B56" s="50">
        <v>13030435</v>
      </c>
    </row>
    <row r="57" spans="1:2">
      <c r="A57" s="49" t="s">
        <v>148</v>
      </c>
      <c r="B57" s="50">
        <v>13030495</v>
      </c>
    </row>
    <row r="58" spans="1:2">
      <c r="A58" s="49" t="s">
        <v>173</v>
      </c>
      <c r="B58" s="50">
        <v>13030544</v>
      </c>
    </row>
    <row r="59" spans="1:2">
      <c r="A59" s="49" t="s">
        <v>195</v>
      </c>
      <c r="B59" s="50">
        <v>13030093</v>
      </c>
    </row>
    <row r="60" spans="1:2">
      <c r="A60" s="49" t="s">
        <v>217</v>
      </c>
      <c r="B60" s="50">
        <v>13030104</v>
      </c>
    </row>
    <row r="61" spans="1:2">
      <c r="A61" s="49" t="s">
        <v>237</v>
      </c>
      <c r="B61" s="50">
        <v>13030190</v>
      </c>
    </row>
    <row r="62" spans="1:2">
      <c r="A62" s="49" t="s">
        <v>253</v>
      </c>
      <c r="B62" s="50">
        <v>13030191</v>
      </c>
    </row>
    <row r="63" spans="1:2">
      <c r="A63" s="126" t="s">
        <v>769</v>
      </c>
      <c r="B63" s="52">
        <v>13030092</v>
      </c>
    </row>
    <row r="64" spans="1:2">
      <c r="A64" s="151" t="s">
        <v>771</v>
      </c>
      <c r="B64" s="50">
        <v>13030094</v>
      </c>
    </row>
    <row r="65" spans="1:2">
      <c r="A65" s="49" t="s">
        <v>264</v>
      </c>
      <c r="B65" s="50">
        <v>13030279</v>
      </c>
    </row>
    <row r="66" spans="1:2">
      <c r="A66" s="49" t="s">
        <v>272</v>
      </c>
      <c r="B66" s="50">
        <v>13030280</v>
      </c>
    </row>
    <row r="67" spans="1:2">
      <c r="A67" s="49" t="s">
        <v>279</v>
      </c>
      <c r="B67" s="38">
        <v>12001366</v>
      </c>
    </row>
    <row r="68" spans="1:2">
      <c r="A68" s="39" t="s">
        <v>91</v>
      </c>
      <c r="B68" s="40">
        <v>13000011</v>
      </c>
    </row>
    <row r="69" spans="1:2">
      <c r="A69" s="37" t="s">
        <v>120</v>
      </c>
      <c r="B69" s="38">
        <v>13000012</v>
      </c>
    </row>
    <row r="70" spans="1:2">
      <c r="A70" s="39" t="s">
        <v>147</v>
      </c>
      <c r="B70" s="40">
        <v>13000013</v>
      </c>
    </row>
    <row r="71" spans="1:2">
      <c r="A71" s="37" t="s">
        <v>172</v>
      </c>
      <c r="B71" s="38">
        <v>13000751</v>
      </c>
    </row>
    <row r="72" spans="1:2">
      <c r="A72" s="39" t="s">
        <v>194</v>
      </c>
      <c r="B72" s="40">
        <v>13001720</v>
      </c>
    </row>
    <row r="73" spans="1:2">
      <c r="A73" s="37" t="s">
        <v>216</v>
      </c>
      <c r="B73" s="38">
        <v>13001721</v>
      </c>
    </row>
    <row r="74" spans="1:2">
      <c r="A74" s="39" t="s">
        <v>236</v>
      </c>
      <c r="B74" s="40">
        <v>13001723</v>
      </c>
    </row>
    <row r="75" spans="1:2">
      <c r="A75" s="37" t="s">
        <v>252</v>
      </c>
      <c r="B75" s="38">
        <v>13001807</v>
      </c>
    </row>
    <row r="76" spans="1:2">
      <c r="A76" s="39" t="s">
        <v>263</v>
      </c>
      <c r="B76" s="40">
        <v>13030282</v>
      </c>
    </row>
    <row r="77" spans="1:2">
      <c r="A77" s="37" t="s">
        <v>271</v>
      </c>
      <c r="B77" s="38">
        <v>13030283</v>
      </c>
    </row>
    <row r="78" spans="1:2">
      <c r="A78" s="39" t="s">
        <v>278</v>
      </c>
      <c r="B78" s="40">
        <v>13030284</v>
      </c>
    </row>
    <row r="79" spans="1:2">
      <c r="A79" s="37" t="s">
        <v>284</v>
      </c>
      <c r="B79" s="38">
        <v>13030285</v>
      </c>
    </row>
    <row r="80" spans="1:2">
      <c r="A80" s="39" t="s">
        <v>288</v>
      </c>
      <c r="B80" s="40">
        <v>13030286</v>
      </c>
    </row>
    <row r="81" spans="1:10">
      <c r="A81" s="37" t="s">
        <v>291</v>
      </c>
      <c r="B81" s="38">
        <v>13030336</v>
      </c>
    </row>
    <row r="82" spans="1:10">
      <c r="A82" s="39" t="s">
        <v>120</v>
      </c>
      <c r="B82" s="40">
        <v>12000401</v>
      </c>
    </row>
    <row r="83" spans="1:10">
      <c r="A83" s="37" t="s">
        <v>147</v>
      </c>
      <c r="B83" s="38">
        <v>12000406</v>
      </c>
    </row>
    <row r="84" spans="1:10">
      <c r="A84" s="39" t="s">
        <v>302</v>
      </c>
      <c r="B84" s="40">
        <v>12000408</v>
      </c>
    </row>
    <row r="85" spans="1:10">
      <c r="A85" s="37" t="s">
        <v>306</v>
      </c>
      <c r="B85" s="38">
        <v>13030541</v>
      </c>
    </row>
    <row r="86" spans="1:10">
      <c r="A86" s="39" t="s">
        <v>312</v>
      </c>
      <c r="B86" s="40">
        <v>13030542</v>
      </c>
    </row>
    <row r="87" spans="1:10">
      <c r="A87" s="37" t="s">
        <v>317</v>
      </c>
      <c r="B87" s="38">
        <v>13000463</v>
      </c>
    </row>
    <row r="88" spans="1:10">
      <c r="A88" s="39" t="s">
        <v>321</v>
      </c>
      <c r="B88" s="40">
        <v>13000464</v>
      </c>
    </row>
    <row r="89" spans="1:10">
      <c r="A89" s="37" t="s">
        <v>324</v>
      </c>
      <c r="B89" s="38">
        <v>13000469</v>
      </c>
    </row>
    <row r="90" spans="1:10">
      <c r="A90" s="39" t="s">
        <v>327</v>
      </c>
      <c r="B90" s="40">
        <v>13000470</v>
      </c>
      <c r="J90">
        <v>1252</v>
      </c>
    </row>
    <row r="91" spans="1:10">
      <c r="A91" s="37" t="s">
        <v>331</v>
      </c>
      <c r="B91" s="38">
        <v>13000471</v>
      </c>
      <c r="J91">
        <v>400.25</v>
      </c>
    </row>
    <row r="92" spans="1:10">
      <c r="A92" s="39" t="s">
        <v>335</v>
      </c>
      <c r="B92" s="40">
        <v>12000170</v>
      </c>
      <c r="J92">
        <v>744</v>
      </c>
    </row>
    <row r="93" spans="1:10">
      <c r="A93" s="37" t="s">
        <v>338</v>
      </c>
      <c r="B93" s="38">
        <v>12000095</v>
      </c>
      <c r="J93">
        <v>2179</v>
      </c>
    </row>
    <row r="94" spans="1:10">
      <c r="A94" s="39" t="s">
        <v>341</v>
      </c>
      <c r="B94" s="40">
        <v>12000402</v>
      </c>
      <c r="J94">
        <v>150</v>
      </c>
    </row>
    <row r="95" spans="1:10">
      <c r="A95" s="37" t="s">
        <v>344</v>
      </c>
      <c r="B95" s="38">
        <v>12000407</v>
      </c>
      <c r="J95">
        <v>733</v>
      </c>
    </row>
    <row r="96" spans="1:10">
      <c r="A96" s="39" t="s">
        <v>347</v>
      </c>
      <c r="B96" s="40">
        <v>12000409</v>
      </c>
      <c r="J96">
        <v>1101.5999999999999</v>
      </c>
    </row>
    <row r="97" spans="1:10">
      <c r="A97" s="37" t="s">
        <v>351</v>
      </c>
      <c r="B97" s="38">
        <v>12001365</v>
      </c>
      <c r="J97">
        <v>2872</v>
      </c>
    </row>
    <row r="98" spans="1:10">
      <c r="A98" s="39" t="s">
        <v>355</v>
      </c>
      <c r="B98" s="40">
        <v>12001367</v>
      </c>
      <c r="J98">
        <v>134.16</v>
      </c>
    </row>
    <row r="99" spans="1:10">
      <c r="A99" s="37" t="s">
        <v>359</v>
      </c>
      <c r="B99" s="38">
        <v>12001368</v>
      </c>
      <c r="J99">
        <v>212</v>
      </c>
    </row>
    <row r="100" spans="1:10">
      <c r="A100" s="39" t="s">
        <v>362</v>
      </c>
      <c r="B100" s="40">
        <v>12001369</v>
      </c>
      <c r="J100">
        <v>157.5</v>
      </c>
    </row>
    <row r="101" spans="1:10">
      <c r="A101" s="37" t="s">
        <v>810</v>
      </c>
      <c r="B101" s="38">
        <v>13030550</v>
      </c>
      <c r="J101">
        <v>264</v>
      </c>
    </row>
    <row r="102" spans="1:10">
      <c r="A102" s="37" t="s">
        <v>90</v>
      </c>
      <c r="B102" s="38">
        <v>12001435</v>
      </c>
      <c r="J102">
        <v>105.6</v>
      </c>
    </row>
    <row r="103" spans="1:10">
      <c r="A103" s="39" t="s">
        <v>119</v>
      </c>
      <c r="B103" s="40">
        <v>12001437</v>
      </c>
      <c r="J103">
        <v>1548</v>
      </c>
    </row>
    <row r="104" spans="1:10">
      <c r="A104" s="37" t="s">
        <v>146</v>
      </c>
      <c r="B104" s="38">
        <v>12001436</v>
      </c>
      <c r="J104">
        <v>131.6</v>
      </c>
    </row>
    <row r="105" spans="1:10">
      <c r="A105" s="39" t="s">
        <v>171</v>
      </c>
      <c r="B105" s="40">
        <v>12001434</v>
      </c>
      <c r="J105">
        <v>666</v>
      </c>
    </row>
    <row r="106" spans="1:10">
      <c r="A106" s="220" t="s">
        <v>215</v>
      </c>
      <c r="B106" s="38">
        <v>13030560</v>
      </c>
      <c r="J106">
        <v>3360</v>
      </c>
    </row>
    <row r="107" spans="1:10">
      <c r="A107" s="221" t="s">
        <v>818</v>
      </c>
      <c r="B107" s="40">
        <v>13030606</v>
      </c>
    </row>
    <row r="108" spans="1:10">
      <c r="A108" s="220" t="s">
        <v>820</v>
      </c>
      <c r="B108" s="38">
        <v>13030607</v>
      </c>
      <c r="J108">
        <v>4800</v>
      </c>
    </row>
    <row r="109" spans="1:10">
      <c r="A109" s="221" t="s">
        <v>193</v>
      </c>
      <c r="B109" s="40">
        <v>13030558</v>
      </c>
      <c r="J109">
        <v>4375</v>
      </c>
    </row>
    <row r="110" spans="1:10">
      <c r="A110" s="220" t="s">
        <v>235</v>
      </c>
      <c r="B110" s="38">
        <v>13030557</v>
      </c>
      <c r="J110">
        <v>302.39999999999998</v>
      </c>
    </row>
    <row r="111" spans="1:10">
      <c r="A111" s="221" t="s">
        <v>251</v>
      </c>
      <c r="B111" s="40">
        <v>13030559</v>
      </c>
      <c r="J111">
        <v>2916</v>
      </c>
    </row>
    <row r="112" spans="1:10">
      <c r="A112" s="220" t="s">
        <v>97</v>
      </c>
      <c r="B112" s="38">
        <v>13030492</v>
      </c>
      <c r="J112">
        <v>2371.6</v>
      </c>
    </row>
    <row r="113" spans="1:10">
      <c r="A113" s="221" t="s">
        <v>126</v>
      </c>
      <c r="B113" s="40">
        <v>13030553</v>
      </c>
      <c r="J113">
        <v>957.6</v>
      </c>
    </row>
    <row r="114" spans="1:10">
      <c r="A114" s="220" t="s">
        <v>153</v>
      </c>
      <c r="B114" s="38">
        <v>13030554</v>
      </c>
      <c r="J114">
        <v>957.6</v>
      </c>
    </row>
    <row r="115" spans="1:10">
      <c r="A115" s="221" t="s">
        <v>178</v>
      </c>
      <c r="B115" s="40">
        <v>13030506</v>
      </c>
      <c r="J115">
        <v>118.8</v>
      </c>
    </row>
    <row r="116" spans="1:10">
      <c r="A116" s="220" t="s">
        <v>200</v>
      </c>
      <c r="B116" s="38">
        <v>13030428</v>
      </c>
      <c r="J116">
        <v>1857.6</v>
      </c>
    </row>
    <row r="117" spans="1:10">
      <c r="A117" s="221" t="s">
        <v>221</v>
      </c>
      <c r="B117" s="40">
        <v>13030431</v>
      </c>
    </row>
    <row r="118" spans="1:10">
      <c r="A118" s="220" t="s">
        <v>99</v>
      </c>
      <c r="B118" s="38">
        <v>13001756</v>
      </c>
      <c r="J118">
        <v>1260</v>
      </c>
    </row>
    <row r="119" spans="1:10">
      <c r="A119" s="221" t="s">
        <v>127</v>
      </c>
      <c r="B119" s="40">
        <v>13030317</v>
      </c>
      <c r="J119">
        <v>143.22</v>
      </c>
    </row>
    <row r="120" spans="1:10">
      <c r="A120" s="220" t="s">
        <v>154</v>
      </c>
      <c r="B120" s="38">
        <v>13030471</v>
      </c>
    </row>
    <row r="121" spans="1:10">
      <c r="A121" s="221" t="s">
        <v>179</v>
      </c>
      <c r="B121" s="40">
        <v>13030505</v>
      </c>
      <c r="J121">
        <v>1125</v>
      </c>
    </row>
    <row r="122" spans="1:10">
      <c r="A122" s="220" t="s">
        <v>201</v>
      </c>
      <c r="B122" s="38">
        <v>13030488</v>
      </c>
    </row>
    <row r="123" spans="1:10">
      <c r="A123" s="221" t="s">
        <v>222</v>
      </c>
      <c r="B123" s="40">
        <v>13030504</v>
      </c>
    </row>
    <row r="124" spans="1:10">
      <c r="A124" s="220" t="s">
        <v>98</v>
      </c>
      <c r="B124" s="38">
        <v>13030538</v>
      </c>
    </row>
    <row r="125" spans="1:10">
      <c r="A125" s="220" t="s">
        <v>348</v>
      </c>
      <c r="B125" s="38">
        <v>12001386</v>
      </c>
    </row>
    <row r="126" spans="1:10">
      <c r="A126" s="221" t="s">
        <v>352</v>
      </c>
      <c r="B126" s="40">
        <v>13030425</v>
      </c>
    </row>
    <row r="127" spans="1:10">
      <c r="A127" s="220" t="s">
        <v>356</v>
      </c>
      <c r="B127" s="38">
        <v>13030465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K7082"/>
  <sheetViews>
    <sheetView showGridLines="0" zoomScaleNormal="100" workbookViewId="0">
      <selection activeCell="C2" sqref="C2:C8"/>
    </sheetView>
  </sheetViews>
  <sheetFormatPr baseColWidth="10" defaultColWidth="11.453125" defaultRowHeight="14.5"/>
  <cols>
    <col min="1" max="1" width="19.54296875" customWidth="1"/>
    <col min="2" max="2" width="56" customWidth="1"/>
    <col min="3" max="3" width="40.453125" customWidth="1"/>
    <col min="4" max="4" width="38" customWidth="1"/>
    <col min="5" max="5" width="29.453125" customWidth="1"/>
    <col min="7" max="7" width="23.453125" customWidth="1"/>
    <col min="8" max="8" width="17.453125" customWidth="1"/>
    <col min="9" max="9" width="24.54296875" style="73" customWidth="1"/>
    <col min="10" max="10" width="13" customWidth="1"/>
    <col min="11" max="11" width="16" bestFit="1" customWidth="1"/>
  </cols>
  <sheetData>
    <row r="1" spans="1:11">
      <c r="A1" s="201" t="s">
        <v>997</v>
      </c>
      <c r="B1" s="207" t="str">
        <f>VLOOKUP(C8,F2:G61,2,FALSE)</f>
        <v>LS23524TT202145</v>
      </c>
      <c r="D1" t="s">
        <v>4393</v>
      </c>
      <c r="E1" s="262" t="s">
        <v>601</v>
      </c>
      <c r="F1" s="262">
        <f>INDEX(MATCH(E1,Mes[Mes],),)</f>
        <v>8</v>
      </c>
      <c r="G1" s="262" t="s">
        <v>997</v>
      </c>
      <c r="H1" s="263" t="s">
        <v>1003</v>
      </c>
      <c r="I1" s="262" t="s">
        <v>4364</v>
      </c>
      <c r="J1" s="263">
        <v>25</v>
      </c>
      <c r="K1" s="263" t="s">
        <v>4394</v>
      </c>
    </row>
    <row r="2" spans="1:11">
      <c r="A2" s="202" t="s">
        <v>36</v>
      </c>
      <c r="B2" s="207"/>
      <c r="F2" s="266">
        <v>1</v>
      </c>
      <c r="G2" t="str" cm="1">
        <f t="array" ref="G2:G35">_xlfn._xlws.FILTER(BD_Bloqueados[ID],(BD_Bloqueados[Mes]=F1)*(BD_Bloqueados[Año]=2024))</f>
        <v>FB22924TT210413</v>
      </c>
      <c r="H2" t="str" cm="1">
        <f t="array" ref="H2:H35">_xlfn._xlws.FILTER(BD_Bloqueados[Tipo de Bloqueo],(BD_Bloqueados[Mes]=F1)*(BD_Bloqueados[Año]=2024))</f>
        <v>Bloqueo PT/SE</v>
      </c>
      <c r="I2" s="73" t="str" cm="1">
        <f t="array" ref="I2:I35">_xlfn._xlws.FILTER(BD_Bloqueados[Destino 2],(BD_Bloqueados[Mes]=F1)*(BD_Bloqueados[Año]=2024))</f>
        <v>Merma</v>
      </c>
      <c r="J2" s="229" cm="1">
        <f t="array" ref="J2:J35">_xlfn._xlws.FILTER(BD_Bloqueados[Cantidad (kg)],(BD_Bloqueados[Mes]=F1)*(BD_Bloqueados[Año]=2024))</f>
        <v>11272</v>
      </c>
      <c r="K2" s="267" cm="1">
        <f t="array" ref="K2:K35">_xlfn._xlws.FILTER(BD_Bloqueados[Cantidad (CLP)],(BD_Bloqueados[Mes]=F1)*(BD_Bloqueados[Año]=2024))</f>
        <v>5412814.3999999994</v>
      </c>
    </row>
    <row r="3" spans="1:11">
      <c r="A3" s="202" t="s">
        <v>5</v>
      </c>
      <c r="B3" s="217"/>
      <c r="F3" s="266">
        <v>2</v>
      </c>
      <c r="G3" t="str">
        <v>FB22924TT205140</v>
      </c>
      <c r="H3" t="str">
        <v>Bloqueo PT/SE</v>
      </c>
      <c r="I3" s="73" t="str">
        <v>Merma</v>
      </c>
      <c r="J3" s="229">
        <v>8448</v>
      </c>
      <c r="K3" s="267">
        <v>4131916.8000000003</v>
      </c>
    </row>
    <row r="4" spans="1:11">
      <c r="A4" s="202" t="s">
        <v>998</v>
      </c>
      <c r="B4" s="207"/>
      <c r="F4" s="266">
        <v>3</v>
      </c>
      <c r="G4" t="str">
        <v>FB22924TT201630</v>
      </c>
      <c r="H4" t="str">
        <v>Bloqueo PT/SE</v>
      </c>
      <c r="I4" s="73" t="str">
        <v>Merma</v>
      </c>
      <c r="J4" s="229">
        <v>4800</v>
      </c>
      <c r="K4" s="267">
        <v>2347680</v>
      </c>
    </row>
    <row r="5" spans="1:11">
      <c r="A5" s="202" t="s">
        <v>999</v>
      </c>
      <c r="B5" s="218"/>
      <c r="F5" s="266">
        <v>4</v>
      </c>
      <c r="G5" t="str">
        <v>MS22124TN052618</v>
      </c>
      <c r="H5" t="str">
        <v>Bloqueo PT/SE</v>
      </c>
      <c r="I5" s="73" t="str">
        <v>Merma</v>
      </c>
      <c r="J5" s="229">
        <v>1350</v>
      </c>
      <c r="K5" s="267">
        <v>1031940.0000000001</v>
      </c>
    </row>
    <row r="6" spans="1:11">
      <c r="A6" s="202" t="s">
        <v>18</v>
      </c>
      <c r="B6" s="207"/>
      <c r="F6" s="266">
        <v>5</v>
      </c>
      <c r="G6" t="str">
        <v>FB22324TN033832</v>
      </c>
      <c r="H6" t="str">
        <v>Bloqueo PT/SE</v>
      </c>
      <c r="I6" s="73" t="str">
        <v>Merma</v>
      </c>
      <c r="J6" s="229">
        <v>720</v>
      </c>
      <c r="K6" s="267">
        <v>378575.99999999994</v>
      </c>
    </row>
    <row r="7" spans="1:11">
      <c r="A7" s="202" t="s">
        <v>1000</v>
      </c>
      <c r="B7" s="207"/>
      <c r="E7" s="125"/>
      <c r="F7" s="266">
        <v>6</v>
      </c>
      <c r="G7" t="str">
        <v>YR22124TM125530</v>
      </c>
      <c r="H7" t="str">
        <v>Bloqueo PT/SE</v>
      </c>
      <c r="I7" s="73" t="str">
        <v>Merma</v>
      </c>
      <c r="J7" s="229">
        <v>1.88</v>
      </c>
      <c r="K7" s="267">
        <v>5339.2</v>
      </c>
    </row>
    <row r="8" spans="1:11">
      <c r="A8" s="202" t="s">
        <v>546</v>
      </c>
      <c r="B8" s="207"/>
      <c r="C8">
        <v>9</v>
      </c>
      <c r="E8" s="125"/>
      <c r="F8" s="266">
        <v>7</v>
      </c>
      <c r="G8" t="str">
        <v>LS21924TM123621</v>
      </c>
      <c r="H8" t="str">
        <v>Bloqueo PT/SE</v>
      </c>
      <c r="I8" s="73" t="str">
        <v>Reproceso</v>
      </c>
      <c r="J8" s="229">
        <v>2419.1999999999998</v>
      </c>
      <c r="K8" s="267">
        <v>124104.95999999998</v>
      </c>
    </row>
    <row r="9" spans="1:11">
      <c r="A9" s="202" t="s">
        <v>1001</v>
      </c>
      <c r="B9" s="255"/>
      <c r="C9" s="166" t="s">
        <v>4395</v>
      </c>
      <c r="E9" s="125"/>
      <c r="F9" s="266">
        <v>8</v>
      </c>
      <c r="G9" t="str">
        <v>FB24424TN051303</v>
      </c>
      <c r="H9" t="str">
        <v>Bloqueo PT/SE</v>
      </c>
      <c r="I9" s="73" t="str">
        <v>Reproceso</v>
      </c>
      <c r="J9" s="229">
        <v>552</v>
      </c>
      <c r="K9" s="267">
        <v>31740</v>
      </c>
    </row>
    <row r="10" spans="1:11">
      <c r="A10" s="202" t="s">
        <v>38</v>
      </c>
      <c r="B10" s="207"/>
      <c r="C10">
        <f>60-COUNTBLANK(G2:G61)</f>
        <v>34</v>
      </c>
      <c r="E10" s="125"/>
      <c r="F10" s="266">
        <v>9</v>
      </c>
      <c r="G10" t="str">
        <v>LS23524TT202145</v>
      </c>
      <c r="H10" t="str">
        <v>Bloqueo PT/SE</v>
      </c>
      <c r="I10" s="73" t="str">
        <v>Reproceso</v>
      </c>
      <c r="J10" s="229">
        <v>70</v>
      </c>
      <c r="K10" s="267">
        <v>22953</v>
      </c>
    </row>
    <row r="11" spans="1:11">
      <c r="A11" s="202" t="s">
        <v>1002</v>
      </c>
      <c r="B11" s="207"/>
      <c r="E11" s="125"/>
      <c r="F11" s="266">
        <v>10</v>
      </c>
      <c r="G11" t="str">
        <v>LS24424TM145348</v>
      </c>
      <c r="H11" t="str">
        <v>Bloqueo PT/SE</v>
      </c>
      <c r="I11" s="73" t="str">
        <v>Reproceso</v>
      </c>
      <c r="J11" s="229">
        <v>24</v>
      </c>
      <c r="K11" s="267">
        <v>196.79999999999998</v>
      </c>
    </row>
    <row r="12" spans="1:11">
      <c r="A12" s="202" t="s">
        <v>1003</v>
      </c>
      <c r="B12" s="255"/>
      <c r="E12" s="125"/>
      <c r="F12" s="266">
        <v>11</v>
      </c>
      <c r="G12" t="str">
        <v>FB22124TN045912</v>
      </c>
      <c r="H12" t="str">
        <v>Bloqueo PT/SE</v>
      </c>
      <c r="I12" s="73" t="str">
        <v>Liberado</v>
      </c>
      <c r="J12" s="229">
        <v>12115</v>
      </c>
      <c r="K12" s="267">
        <v>0</v>
      </c>
    </row>
    <row r="13" spans="1:11">
      <c r="A13" s="202" t="s">
        <v>39</v>
      </c>
      <c r="B13" s="207"/>
      <c r="F13" s="266">
        <v>12</v>
      </c>
      <c r="G13" t="str">
        <v>MM24124TT175538</v>
      </c>
      <c r="H13" t="str">
        <v>Bloqueo PT/SE</v>
      </c>
      <c r="I13" s="73" t="str">
        <v>Reproceso</v>
      </c>
      <c r="J13" s="229">
        <v>7200</v>
      </c>
      <c r="K13" s="267">
        <v>204480</v>
      </c>
    </row>
    <row r="14" spans="1:11">
      <c r="A14" s="202" t="s">
        <v>1004</v>
      </c>
      <c r="B14" s="208"/>
      <c r="F14" s="266">
        <v>13</v>
      </c>
      <c r="G14" t="str">
        <v>CV21624TN043056</v>
      </c>
      <c r="H14" t="str">
        <v>Bloqueo PT/SE</v>
      </c>
      <c r="I14" s="73" t="str">
        <v>Liberado</v>
      </c>
      <c r="J14" s="229">
        <v>3360</v>
      </c>
      <c r="K14" s="267">
        <v>0</v>
      </c>
    </row>
    <row r="15" spans="1:11">
      <c r="A15" s="202" t="s">
        <v>555</v>
      </c>
      <c r="B15" s="255"/>
      <c r="F15" s="266">
        <v>14</v>
      </c>
      <c r="G15" t="str">
        <v>YR24024TM143717</v>
      </c>
      <c r="H15" t="str">
        <v>Bloqueo PT/SE</v>
      </c>
      <c r="I15" s="73" t="str">
        <v>Liberado</v>
      </c>
      <c r="J15" s="229">
        <v>3000</v>
      </c>
      <c r="K15" s="267">
        <v>0</v>
      </c>
    </row>
    <row r="16" spans="1:11">
      <c r="A16" s="202" t="s">
        <v>1005</v>
      </c>
      <c r="B16" s="268"/>
      <c r="F16" s="266">
        <v>15</v>
      </c>
      <c r="G16" t="str">
        <v>MS24124TN050558</v>
      </c>
      <c r="H16" t="str">
        <v>Bloqueo PT/SE</v>
      </c>
      <c r="I16" s="73" t="str">
        <v>Liberado</v>
      </c>
      <c r="J16" s="229">
        <v>2160</v>
      </c>
      <c r="K16" s="267">
        <v>0</v>
      </c>
    </row>
    <row r="17" spans="1:11">
      <c r="A17" s="202" t="s">
        <v>1006</v>
      </c>
      <c r="B17" s="207"/>
      <c r="F17" s="266">
        <v>16</v>
      </c>
      <c r="G17" t="str">
        <v>YR22224TM142629</v>
      </c>
      <c r="H17" t="str">
        <v>Bloqueo PT/SE</v>
      </c>
      <c r="I17" s="73" t="str">
        <v>Liberado</v>
      </c>
      <c r="J17" s="229">
        <v>1680</v>
      </c>
      <c r="K17" s="267">
        <v>0</v>
      </c>
    </row>
    <row r="18" spans="1:11">
      <c r="A18" s="202" t="s">
        <v>19</v>
      </c>
      <c r="B18" s="256"/>
      <c r="F18" s="266">
        <v>17</v>
      </c>
      <c r="G18" t="str">
        <v>YR24224TM160138</v>
      </c>
      <c r="H18" t="str">
        <v>Bloqueo PT/SE</v>
      </c>
      <c r="I18" s="73" t="str">
        <v>Liberado</v>
      </c>
      <c r="J18" s="229">
        <v>994</v>
      </c>
      <c r="K18" s="267">
        <v>0</v>
      </c>
    </row>
    <row r="19" spans="1:11">
      <c r="A19" s="252" t="s">
        <v>1007</v>
      </c>
      <c r="B19" s="207"/>
      <c r="D19" s="39"/>
      <c r="E19" s="221"/>
      <c r="F19" s="266">
        <v>18</v>
      </c>
      <c r="G19" t="str">
        <v>YR24124TM152051</v>
      </c>
      <c r="H19" t="str">
        <v>Bloqueo PT/SE</v>
      </c>
      <c r="I19" s="73" t="str">
        <v>Liberado</v>
      </c>
      <c r="J19" s="229">
        <v>720</v>
      </c>
      <c r="K19" s="267">
        <v>0</v>
      </c>
    </row>
    <row r="20" spans="1:11" ht="42.65" customHeight="1">
      <c r="A20" s="252" t="s">
        <v>1008</v>
      </c>
      <c r="B20" s="261"/>
      <c r="F20" s="266">
        <v>19</v>
      </c>
      <c r="G20" t="str">
        <v>YR22324TM145604</v>
      </c>
      <c r="H20" t="str">
        <v>Bloqueo PT/SE</v>
      </c>
      <c r="I20" s="73" t="str">
        <v>Liberado</v>
      </c>
      <c r="J20" s="229">
        <v>718.2</v>
      </c>
      <c r="K20" s="267">
        <v>0</v>
      </c>
    </row>
    <row r="21" spans="1:11" ht="29.15" customHeight="1">
      <c r="A21" s="252" t="s">
        <v>1009</v>
      </c>
      <c r="B21" s="207"/>
      <c r="F21" s="266">
        <v>20</v>
      </c>
      <c r="G21" t="str">
        <v>MM24224TT185922</v>
      </c>
      <c r="H21" t="str">
        <v>Bloqueo PT/SE</v>
      </c>
      <c r="I21" s="73" t="str">
        <v>Liberado</v>
      </c>
      <c r="J21" s="229">
        <v>279.3</v>
      </c>
      <c r="K21" s="267">
        <v>0</v>
      </c>
    </row>
    <row r="22" spans="1:11">
      <c r="A22" s="252" t="s">
        <v>1010</v>
      </c>
      <c r="B22" s="207"/>
      <c r="F22" s="266">
        <v>21</v>
      </c>
      <c r="G22" t="str">
        <v>YR24324TM152058</v>
      </c>
      <c r="H22" t="str">
        <v>Bloqueo PT/SE</v>
      </c>
      <c r="I22" s="73" t="str">
        <v>Liberado</v>
      </c>
      <c r="J22" s="229">
        <v>264</v>
      </c>
      <c r="K22" s="267">
        <v>0</v>
      </c>
    </row>
    <row r="23" spans="1:11">
      <c r="A23" s="202" t="s">
        <v>1011</v>
      </c>
      <c r="B23" s="207"/>
      <c r="D23" s="271"/>
      <c r="F23" s="266">
        <v>22</v>
      </c>
      <c r="G23" t="str">
        <v>YR23324TT192731</v>
      </c>
      <c r="H23" t="str">
        <v>Bloqueo PT/SE</v>
      </c>
      <c r="I23" s="73" t="str">
        <v>Liberado</v>
      </c>
      <c r="J23" s="229">
        <v>225</v>
      </c>
      <c r="K23" s="267">
        <v>0</v>
      </c>
    </row>
    <row r="24" spans="1:11">
      <c r="A24" s="202" t="s">
        <v>1012</v>
      </c>
      <c r="B24" s="207"/>
      <c r="C24" s="229"/>
      <c r="F24" s="266">
        <v>23</v>
      </c>
      <c r="G24" t="str">
        <v>LS24024TT142425</v>
      </c>
      <c r="H24" t="str">
        <v>Bloqueo PT/SE</v>
      </c>
      <c r="I24" s="73" t="str">
        <v>Liberado</v>
      </c>
      <c r="J24" s="229">
        <v>3.36</v>
      </c>
      <c r="K24" s="267">
        <v>0</v>
      </c>
    </row>
    <row r="25" spans="1:11">
      <c r="A25" s="202" t="s">
        <v>1013</v>
      </c>
      <c r="B25" s="219"/>
      <c r="F25" s="266">
        <v>24</v>
      </c>
      <c r="G25" t="str">
        <v>YR22624TN060208</v>
      </c>
      <c r="H25" t="str">
        <v>Bloqueo PT/SE</v>
      </c>
      <c r="I25" s="73">
        <v>0</v>
      </c>
      <c r="J25" s="229">
        <v>9520</v>
      </c>
      <c r="K25" s="267">
        <v>0</v>
      </c>
    </row>
    <row r="26" spans="1:11">
      <c r="A26" s="202" t="s">
        <v>1014</v>
      </c>
      <c r="B26" s="209"/>
      <c r="F26" s="266">
        <v>25</v>
      </c>
      <c r="G26" t="str">
        <v>PÑ23324TT202633</v>
      </c>
      <c r="H26" t="str">
        <v>Bloqueo PT/SE</v>
      </c>
      <c r="I26" s="73">
        <v>0</v>
      </c>
      <c r="J26" s="229">
        <v>5520</v>
      </c>
      <c r="K26" s="267">
        <v>0</v>
      </c>
    </row>
    <row r="27" spans="1:11">
      <c r="A27" s="202" t="s">
        <v>1015</v>
      </c>
      <c r="B27" s="207"/>
      <c r="C27" s="202" t="s">
        <v>1016</v>
      </c>
      <c r="D27" s="202" t="s">
        <v>1017</v>
      </c>
      <c r="E27" s="203" t="s">
        <v>1026</v>
      </c>
      <c r="F27" s="266">
        <v>26</v>
      </c>
      <c r="G27" t="str">
        <v>PÑ24424TM142500</v>
      </c>
      <c r="H27" t="str">
        <v>Bloqueo PT/SE</v>
      </c>
      <c r="I27" s="73">
        <v>0</v>
      </c>
      <c r="J27" s="229">
        <v>2880</v>
      </c>
      <c r="K27" s="267">
        <v>0</v>
      </c>
    </row>
    <row r="28" spans="1:11">
      <c r="A28" s="202" t="s">
        <v>1016</v>
      </c>
      <c r="B28" s="207"/>
      <c r="C28" cm="1">
        <f t="array" ref="C28:C93">_xlfn.UNIQUE(BD_Bloqueados[Detalle NC])</f>
        <v>0</v>
      </c>
      <c r="D28" cm="1">
        <f t="array" ref="D28:D46">_xlfn.UNIQUE(BD_Bloqueados[Detalle Causa])</f>
        <v>0</v>
      </c>
      <c r="E28" cm="1">
        <f t="array" ref="E28:E73">_xlfn.UNIQUE(BD_Bloqueados[Sub Error Operacional])</f>
        <v>0</v>
      </c>
      <c r="F28" s="266">
        <v>27</v>
      </c>
      <c r="G28" t="str">
        <v>PÑ24424TM143128</v>
      </c>
      <c r="H28" t="str">
        <v>Bloqueo PT/SE</v>
      </c>
      <c r="I28" s="73">
        <v>0</v>
      </c>
      <c r="J28" s="229">
        <v>1095</v>
      </c>
      <c r="K28" s="267">
        <v>0</v>
      </c>
    </row>
    <row r="29" spans="1:11">
      <c r="A29" s="202" t="s">
        <v>1017</v>
      </c>
      <c r="B29" s="254"/>
      <c r="C29" t="str">
        <v>Presencia de Elemento Extraño</v>
      </c>
      <c r="D29" t="str">
        <v>Deterioro de Infraestructura o Equipo</v>
      </c>
      <c r="E29" t="str">
        <v>Receta Incorrecta</v>
      </c>
      <c r="F29" s="266">
        <v>28</v>
      </c>
      <c r="G29" t="str">
        <v>LS21424TT201515</v>
      </c>
      <c r="H29" t="str">
        <v>Bloqueo MMPP/MMEE</v>
      </c>
      <c r="I29" s="73" t="str">
        <v>Merma</v>
      </c>
      <c r="J29" s="229">
        <v>31945</v>
      </c>
      <c r="K29" s="267">
        <v>0</v>
      </c>
    </row>
    <row r="30" spans="1:11" ht="20.149999999999999" customHeight="1">
      <c r="A30" s="257" t="s">
        <v>4396</v>
      </c>
      <c r="B30" s="272"/>
      <c r="C30" t="str">
        <v>Desviación de Parámetros de FT</v>
      </c>
      <c r="D30" t="str">
        <v>Error Operacional</v>
      </c>
      <c r="E30" t="str">
        <v>Incumplimiento de Frecuencia de Monitoreo</v>
      </c>
      <c r="F30" s="266">
        <v>29</v>
      </c>
      <c r="G30" t="str">
        <v>AC24224TN042715</v>
      </c>
      <c r="H30" t="str">
        <v>Bloqueo MMPP/MMEE</v>
      </c>
      <c r="I30" s="73" t="str">
        <v>Merma</v>
      </c>
      <c r="J30" s="229">
        <v>45</v>
      </c>
      <c r="K30" s="267">
        <v>0</v>
      </c>
    </row>
    <row r="31" spans="1:11">
      <c r="A31" s="168" t="s">
        <v>1019</v>
      </c>
      <c r="B31" s="259"/>
      <c r="C31" t="str">
        <v>RAC-168 (bajo gramaje)</v>
      </c>
      <c r="D31" t="str">
        <v>Falla de Equipo</v>
      </c>
      <c r="E31" t="str">
        <v>Verificación deficiente por parte del personal</v>
      </c>
      <c r="F31" s="266">
        <v>30</v>
      </c>
      <c r="G31" t="str">
        <v>CV22024TT174120</v>
      </c>
      <c r="H31" t="str">
        <v>Bloqueo MMPP/MMEE</v>
      </c>
      <c r="I31" s="73" t="str">
        <v>Reclamo a proveedor</v>
      </c>
      <c r="J31" s="229">
        <v>730</v>
      </c>
      <c r="K31" s="267">
        <v>0</v>
      </c>
    </row>
    <row r="32" spans="1:11">
      <c r="A32" s="253" t="s">
        <v>1020</v>
      </c>
      <c r="B32" s="260"/>
      <c r="C32" t="str">
        <v>PCC6(Frecuencia de Monitoreo)</v>
      </c>
      <c r="D32" t="str">
        <v>Falla parámetros de Operación</v>
      </c>
      <c r="E32" t="str">
        <v>Producción con dosificación Manual de Topping</v>
      </c>
      <c r="F32" s="266">
        <v>31</v>
      </c>
      <c r="G32" t="str">
        <v>AC23724TM125015</v>
      </c>
      <c r="H32" t="str">
        <v>Bloqueo MMPP/MMEE</v>
      </c>
      <c r="I32" s="73">
        <v>0</v>
      </c>
      <c r="J32" s="229">
        <v>1000</v>
      </c>
      <c r="K32" s="267">
        <v>0</v>
      </c>
    </row>
    <row r="33" spans="1:11" ht="14.15" customHeight="1">
      <c r="A33" s="253" t="s">
        <v>1021</v>
      </c>
      <c r="B33" s="307"/>
      <c r="C33" t="str">
        <v>RAC-168 (Frecuencia de Monitoreo)</v>
      </c>
      <c r="D33" t="str">
        <v>Falla de Planificacion</v>
      </c>
      <c r="E33" t="str">
        <v>Configuración incorrecta de parámetros de operación</v>
      </c>
      <c r="F33" s="266">
        <v>32</v>
      </c>
      <c r="G33" t="str">
        <v>AC22224TN034219</v>
      </c>
      <c r="H33" t="str">
        <v>Bloqueo MMPP/MMEE</v>
      </c>
      <c r="I33" s="73">
        <v>0</v>
      </c>
      <c r="J33" s="229">
        <v>536</v>
      </c>
      <c r="K33" s="267">
        <v>0</v>
      </c>
    </row>
    <row r="34" spans="1:11">
      <c r="A34" s="253" t="s">
        <v>1022</v>
      </c>
      <c r="B34" s="276"/>
      <c r="C34" t="str">
        <v>PCC4(Desviación de T)</v>
      </c>
      <c r="D34" t="str">
        <v>Proveedor</v>
      </c>
      <c r="E34" t="str">
        <v>Mala Maniobra de Grua que provocó caída del producto al Suelo</v>
      </c>
      <c r="F34" s="266">
        <v>33</v>
      </c>
      <c r="G34" t="str">
        <v>AC24324TN001628</v>
      </c>
      <c r="H34" t="str">
        <v>Bloqueo MMPP/MMEE</v>
      </c>
      <c r="I34" s="73">
        <v>0</v>
      </c>
      <c r="J34" s="229">
        <v>203</v>
      </c>
      <c r="K34" s="267">
        <v>0</v>
      </c>
    </row>
    <row r="35" spans="1:11">
      <c r="A35" s="253" t="s">
        <v>1023</v>
      </c>
      <c r="B35" s="260"/>
      <c r="C35" t="str">
        <v>PC5(Frecuencia de Monitoreo)</v>
      </c>
      <c r="D35" t="str">
        <v>No Informado</v>
      </c>
      <c r="E35" t="str">
        <v>Incumplimiento del procedimiento establecido</v>
      </c>
      <c r="F35" s="266">
        <v>34</v>
      </c>
      <c r="G35" t="str">
        <v>AC24024TN041114</v>
      </c>
      <c r="H35" t="str">
        <v>Bloqueo MMPP/MMEE</v>
      </c>
      <c r="I35" s="73">
        <v>0</v>
      </c>
      <c r="J35" s="229">
        <v>0</v>
      </c>
      <c r="K35" s="267">
        <v>0</v>
      </c>
    </row>
    <row r="36" spans="1:11">
      <c r="A36" s="253" t="s">
        <v>1024</v>
      </c>
      <c r="B36" s="260"/>
      <c r="C36" t="str">
        <v>RAC-20(Frecuencia de Monitoreo)</v>
      </c>
      <c r="D36" t="str">
        <v>Defecto de MMPP/MMEE</v>
      </c>
      <c r="E36" t="str">
        <v>Configuración incorrecta de parámetros: operaria en aprendizaje</v>
      </c>
      <c r="F36" s="266">
        <v>35</v>
      </c>
      <c r="J36" s="229"/>
      <c r="K36" s="267"/>
    </row>
    <row r="37" spans="1:11">
      <c r="A37" s="253" t="s">
        <v>1025</v>
      </c>
      <c r="B37" s="260"/>
      <c r="C37" t="str">
        <v>Etiquetado incompleto</v>
      </c>
      <c r="D37" t="str">
        <v>Frecuencia de Limpieza y Desinsectación no adecuada</v>
      </c>
      <c r="E37" t="str">
        <v>Planificacion y FIFO</v>
      </c>
      <c r="F37" s="266">
        <v>36</v>
      </c>
      <c r="J37" s="229"/>
      <c r="K37" s="267"/>
    </row>
    <row r="38" spans="1:11">
      <c r="A38" s="210" t="s">
        <v>75</v>
      </c>
      <c r="B38" s="211"/>
      <c r="C38" t="str">
        <v>PCC6(No se detecta patrón)</v>
      </c>
      <c r="D38" t="str">
        <v>Defecto de Semielaborado</v>
      </c>
      <c r="E38" t="str">
        <v>Falla de Comunicación entre Personal de Empaque y Elaboración para avisar el cambio de Formato</v>
      </c>
      <c r="F38" s="266">
        <v>37</v>
      </c>
      <c r="J38" s="229"/>
      <c r="K38" s="267"/>
    </row>
    <row r="39" spans="1:11">
      <c r="A39" s="203" t="s">
        <v>76</v>
      </c>
      <c r="B39" s="208"/>
      <c r="C39" t="str">
        <v>ME/MP No Conforme</v>
      </c>
      <c r="D39" t="str">
        <v>Error de Planificacion</v>
      </c>
      <c r="E39" t="str">
        <v>Omisión de procedimiento: TPM no encendió equipo de refrigeración de Anaconda</v>
      </c>
      <c r="F39" s="266">
        <v>38</v>
      </c>
      <c r="J39" s="229"/>
      <c r="K39" s="267"/>
    </row>
    <row r="40" spans="1:11" ht="27.65" customHeight="1">
      <c r="A40" s="204" t="s">
        <v>1026</v>
      </c>
      <c r="B40" s="208"/>
      <c r="C40" t="str">
        <v>Incumplimiento de Frecuencia de Monitoreo en 2 o Mas Registros</v>
      </c>
      <c r="D40" t="str">
        <v>Falla de Almacenamiento y/o Manipulación</v>
      </c>
      <c r="E40" t="str">
        <v>Se usaron Etiquetas no liberadas</v>
      </c>
      <c r="F40" s="266">
        <v>39</v>
      </c>
      <c r="J40" s="229"/>
      <c r="K40" s="267"/>
    </row>
    <row r="41" spans="1:11">
      <c r="C41" t="str">
        <v>Error de impresión de Etiqueta o Injekct</v>
      </c>
      <c r="D41" t="str">
        <v>Suciedad en equipo</v>
      </c>
      <c r="E41" t="str">
        <v>Falta de  Dotación de Personal</v>
      </c>
      <c r="F41" s="266">
        <v>40</v>
      </c>
      <c r="J41" s="229"/>
      <c r="K41" s="267"/>
    </row>
    <row r="42" spans="1:11">
      <c r="C42" t="str">
        <v>PCC4 (Desviación de T)</v>
      </c>
      <c r="D42" t="str">
        <v>Limpieza deficiente (Empresa externa)</v>
      </c>
      <c r="E42" t="str">
        <v>Configuración incorrecta de parámetros de operación (inkject)</v>
      </c>
      <c r="F42" s="266">
        <v>41</v>
      </c>
      <c r="J42" s="229"/>
      <c r="K42" s="267"/>
    </row>
    <row r="43" spans="1:11">
      <c r="C43" t="str">
        <v>PCC5 (Desviación de Concentración Gases)</v>
      </c>
      <c r="D43" t="str">
        <v>Falla Electrica</v>
      </c>
      <c r="E43" t="str">
        <v>Falla en Dosificación</v>
      </c>
      <c r="F43" s="266">
        <v>42</v>
      </c>
      <c r="J43" s="229"/>
      <c r="K43" s="267"/>
    </row>
    <row r="44" spans="1:11">
      <c r="B44" s="72"/>
      <c r="C44" t="str">
        <v>PCC5 (Sellado Defectuoso)</v>
      </c>
      <c r="D44" t="str">
        <v>Error Proveedor</v>
      </c>
      <c r="E44" t="str">
        <v>Incumplimiento del procedimiento establecido: no se encendió refrigeración de Anaconda</v>
      </c>
      <c r="F44" s="266">
        <v>43</v>
      </c>
      <c r="J44" s="229"/>
      <c r="K44" s="267"/>
    </row>
    <row r="45" spans="1:11">
      <c r="C45" t="str">
        <v>Desviación Microbiológica</v>
      </c>
      <c r="D45" t="str">
        <v>Incumplimiento de Procedimiento para generar reclamo</v>
      </c>
      <c r="E45" t="str">
        <v>Se cerró accidentalmente valvula de Aire Comprimido</v>
      </c>
      <c r="F45" s="266">
        <v>44</v>
      </c>
      <c r="J45" s="229"/>
      <c r="K45" s="267"/>
    </row>
    <row r="46" spans="1:11">
      <c r="C46" t="str">
        <v>Deterioro de Infraestructura  y/o Equipo</v>
      </c>
      <c r="D46" t="str">
        <v>Defecto en Film</v>
      </c>
      <c r="E46" t="str">
        <v>No se verificó impresión inkjet</v>
      </c>
      <c r="F46" s="266">
        <v>45</v>
      </c>
      <c r="J46" s="229"/>
      <c r="K46" s="267"/>
    </row>
    <row r="47" spans="1:11">
      <c r="C47" t="str">
        <v>Receta incorrecta</v>
      </c>
      <c r="E47" t="str">
        <v>Uso etiqueta correspondiente a otro formato</v>
      </c>
      <c r="F47" s="266">
        <v>46</v>
      </c>
      <c r="J47" s="229"/>
      <c r="K47" s="267"/>
    </row>
    <row r="48" spans="1:11">
      <c r="C48" t="str">
        <v>Vencimiento</v>
      </c>
      <c r="E48" t="str">
        <v>Incumplimiento del procedimiento establecido: se inició producción sin solicitar Verificación de Aseo de Anacondas</v>
      </c>
      <c r="F48" s="266">
        <v>47</v>
      </c>
      <c r="J48" s="229"/>
      <c r="K48" s="267"/>
    </row>
    <row r="49" spans="2:11">
      <c r="C49" t="str">
        <v>Uso de Etiqueta Incorrecta</v>
      </c>
      <c r="E49" t="str">
        <v>Selección Incorrecta de Receta en el Detector de Metales</v>
      </c>
      <c r="F49" s="266">
        <v>48</v>
      </c>
      <c r="J49" s="229"/>
      <c r="K49" s="267"/>
    </row>
    <row r="50" spans="2:11">
      <c r="C50" t="str">
        <v>RAC-112(Frecuencia de Monitoreo)</v>
      </c>
      <c r="E50" t="str">
        <v>Incumplimiento del procedimiento establecido: no se realizó monitoreo adecuado según el PC4</v>
      </c>
      <c r="F50" s="266">
        <v>49</v>
      </c>
      <c r="J50" s="229"/>
      <c r="K50" s="267"/>
    </row>
    <row r="51" spans="2:11">
      <c r="C51" t="str">
        <v>Etiquetado incorrecto</v>
      </c>
      <c r="E51" t="str">
        <v>Error de Medición</v>
      </c>
      <c r="F51" s="266">
        <v>50</v>
      </c>
      <c r="J51" s="229"/>
      <c r="K51" s="267"/>
    </row>
    <row r="52" spans="2:11">
      <c r="C52" t="str">
        <v>Desviación organoléptica</v>
      </c>
      <c r="E52" t="str">
        <v>Incumplimiento establecido establecido en el R-ITAC-04-01</v>
      </c>
      <c r="F52" s="266">
        <v>51</v>
      </c>
      <c r="J52" s="229"/>
      <c r="K52" s="267"/>
    </row>
    <row r="53" spans="2:11">
      <c r="B53" s="202" t="s">
        <v>1016</v>
      </c>
      <c r="C53" t="str">
        <v>PCC6(Falla de Sistema de Rechazo)</v>
      </c>
      <c r="E53" t="str">
        <v>Incumplimiento de Condiciones Preoperacionales en proceso de Aseo</v>
      </c>
      <c r="F53" s="266">
        <v>52</v>
      </c>
      <c r="J53" s="229"/>
      <c r="K53" s="267"/>
    </row>
    <row r="54" spans="2:11">
      <c r="B54" s="220" t="s">
        <v>2140</v>
      </c>
      <c r="C54" t="str">
        <v>PCC4(Frecuencia de Monitoreo)</v>
      </c>
      <c r="E54" t="str">
        <v>Error de Medición: se obtuvieron resultados desviados en el registro  realizados por operaria en aprendizaje</v>
      </c>
      <c r="F54" s="266">
        <v>53</v>
      </c>
      <c r="J54" s="229"/>
      <c r="K54" s="267"/>
    </row>
    <row r="55" spans="2:11">
      <c r="B55" s="221" t="s">
        <v>2140</v>
      </c>
      <c r="C55" t="str">
        <v>Defectos de SE/PT</v>
      </c>
      <c r="E55" t="str">
        <v>Mala Practica</v>
      </c>
      <c r="F55" s="266">
        <v>54</v>
      </c>
      <c r="J55" s="229"/>
      <c r="K55" s="267"/>
    </row>
    <row r="56" spans="2:11">
      <c r="B56" s="220" t="s">
        <v>1290</v>
      </c>
      <c r="C56" t="str">
        <v>PCC6(Muchos Falsos Positivos)</v>
      </c>
      <c r="E56" t="str">
        <v>Incumplimiento de Procedimiento: Se permitió que el producto perdiera cadena de frío sin envasar</v>
      </c>
      <c r="F56" s="266">
        <v>55</v>
      </c>
      <c r="J56" s="229"/>
      <c r="K56" s="267"/>
    </row>
    <row r="57" spans="2:11">
      <c r="B57" s="221" t="s">
        <v>2802</v>
      </c>
      <c r="C57" t="str">
        <v>Aseo Deficiente de Infraestructura y/o Equipo</v>
      </c>
      <c r="E57" t="str">
        <v>Incumplimiento de Procedimiento establecido: Se permitió que el producto perdiera cadena de frío sin envasar</v>
      </c>
      <c r="F57" s="266">
        <v>56</v>
      </c>
      <c r="J57" s="229"/>
      <c r="K57" s="267"/>
    </row>
    <row r="58" spans="2:11">
      <c r="B58" s="220" t="s">
        <v>3027</v>
      </c>
      <c r="C58" t="str">
        <v>PCC6 (Uso de Receta Incorrecta)</v>
      </c>
      <c r="E58" t="str">
        <v>Configuración incorrecta de parámetros: No se modificó parametros de concentación luego del cambio de formato</v>
      </c>
      <c r="F58" s="266">
        <v>57</v>
      </c>
      <c r="J58" s="229"/>
      <c r="K58" s="267"/>
    </row>
    <row r="59" spans="2:11">
      <c r="B59" s="221" t="s">
        <v>2197</v>
      </c>
      <c r="C59" t="str">
        <v>Presencia de Humedad</v>
      </c>
      <c r="E59" t="str">
        <v>Procedimiento deficiente de apertura de envase</v>
      </c>
      <c r="F59" s="266">
        <v>58</v>
      </c>
      <c r="J59" s="229"/>
      <c r="K59" s="267"/>
    </row>
    <row r="60" spans="2:11">
      <c r="B60" s="220" t="s">
        <v>1491</v>
      </c>
      <c r="C60" t="str">
        <v>Desviación de T Antes de Envasar</v>
      </c>
      <c r="E60" t="str">
        <v>Incumplimiento de Procedimiento establecido: no se esperó realización 8 ciclos para envasar</v>
      </c>
      <c r="F60" s="266">
        <v>59</v>
      </c>
      <c r="J60" s="229"/>
      <c r="K60" s="267"/>
    </row>
    <row r="61" spans="2:11">
      <c r="B61" s="221" t="s">
        <v>2769</v>
      </c>
      <c r="C61" t="str">
        <v>Incumplimiento de Procedimiento</v>
      </c>
      <c r="E61" t="str">
        <v>Etiqueta Liberada con Errores por Supervisor del área</v>
      </c>
      <c r="F61" s="266">
        <v>60</v>
      </c>
      <c r="J61" s="229"/>
      <c r="K61" s="267"/>
    </row>
    <row r="62" spans="2:11">
      <c r="B62" s="220" t="s">
        <v>2727</v>
      </c>
      <c r="C62" t="str">
        <v>Desviación de T de SE,PT o MP Almacenado</v>
      </c>
      <c r="E62" t="str">
        <v>Planificacion: no se consideró que el producto no tenía receta creada en Detectores de Metales de la línea</v>
      </c>
      <c r="K62" s="267"/>
    </row>
    <row r="63" spans="2:11">
      <c r="B63" s="221" t="s">
        <v>3165</v>
      </c>
      <c r="C63" t="str">
        <v>Desviación de T en PT/SE de FFEE</v>
      </c>
      <c r="E63" t="str">
        <v>Incumplimiento del procedimiento establecido: no se realizó AC para producto desviado</v>
      </c>
    </row>
    <row r="64" spans="2:11">
      <c r="B64" s="220" t="s">
        <v>3669</v>
      </c>
      <c r="C64" t="str">
        <v>Contaminzación química de MMPP/MMEE por Detergentes/Sanitizantes</v>
      </c>
      <c r="E64" t="str">
        <v>Incumplimiento del procedimiento establecido: no se realizó cambio de receta en el detector de metales</v>
      </c>
    </row>
    <row r="65" spans="2:5">
      <c r="B65" s="220" t="s">
        <v>1356</v>
      </c>
      <c r="C65" t="str">
        <v>PCC4(Falla de  Funcionamiento de Anaconda)</v>
      </c>
      <c r="E65" t="str">
        <v>Incumplimiento del procedimiento establecido: se aplico AC golpe de frío con bolsas fuelles cerradas</v>
      </c>
    </row>
    <row r="66" spans="2:5">
      <c r="B66" s="221" t="s">
        <v>1512</v>
      </c>
      <c r="C66" t="str">
        <v>Producto Retenido</v>
      </c>
      <c r="E66" t="str">
        <v>Incumplimiento del procedimiento establecido: no se aplicó AC a productos registrados con deficit de gramaje</v>
      </c>
    </row>
    <row r="67" spans="2:5">
      <c r="B67" s="221" t="s">
        <v>1845</v>
      </c>
      <c r="C67" t="str">
        <v>Trazabilidad iconrrecta</v>
      </c>
      <c r="E67" t="str">
        <v>Mantención informó descalibración del detector por manipulación incorrecta</v>
      </c>
    </row>
    <row r="68" spans="2:5">
      <c r="B68" s="222" t="s">
        <v>3736</v>
      </c>
      <c r="C68" t="str">
        <v>PCC6(Receta Incorrecta)</v>
      </c>
      <c r="E68" t="str">
        <v xml:space="preserve">Error de Medición: las mediciones de gases ATM realizadas por los analistas  dan desviadas y no coinciden con las registradas </v>
      </c>
    </row>
    <row r="69" spans="2:5">
      <c r="B69" s="220" t="s">
        <v>1466</v>
      </c>
      <c r="C69" t="str">
        <v>PCC6 (Producto sin Receta)</v>
      </c>
      <c r="E69" t="str">
        <v>Error de Medición: se detectó en el registro resultados deviados sin AC</v>
      </c>
    </row>
    <row r="70" spans="2:5">
      <c r="B70" s="220" t="s">
        <v>4397</v>
      </c>
      <c r="C70" t="str">
        <v>No Informado</v>
      </c>
      <c r="E70" s="192" t="str">
        <v>Adulteración de Registros: resultados en registros e historial de equipo de medición no coincidian</v>
      </c>
    </row>
    <row r="71" spans="2:5">
      <c r="B71" s="220" t="s">
        <v>3788</v>
      </c>
      <c r="C71" t="str">
        <v>PC5: Incumpliento de Frecuencia</v>
      </c>
      <c r="E71" t="str">
        <v xml:space="preserve">Incumplimiento del procedimiento establecido: no se avisó a calidad de defecto en envase </v>
      </c>
    </row>
    <row r="72" spans="2:5">
      <c r="B72" s="220" t="s">
        <v>1400</v>
      </c>
      <c r="C72" t="str">
        <v>Producto Sucio</v>
      </c>
      <c r="E72" t="str">
        <v>Incumplimiento del procedimiento establecido: no se descartó falsos positivos en detector</v>
      </c>
    </row>
    <row r="73" spans="2:5">
      <c r="B73" s="220" t="s">
        <v>619</v>
      </c>
      <c r="C73" t="str">
        <v>PCC6 (Falla de Cinta hacia el detector)</v>
      </c>
      <c r="E73" t="str">
        <v>Incumplimiento del procedimiento establecido: no se realizó inmersión en el monitoreo de PCC5</v>
      </c>
    </row>
    <row r="74" spans="2:5">
      <c r="B74" s="223" t="s">
        <v>1669</v>
      </c>
      <c r="C74" t="str">
        <v>PCC5(Incumplimiento de Procedimiento)</v>
      </c>
    </row>
    <row r="75" spans="2:5">
      <c r="B75" s="221" t="s">
        <v>3857</v>
      </c>
      <c r="C75" t="str">
        <v>Presencia de Plagas</v>
      </c>
    </row>
    <row r="76" spans="2:5">
      <c r="B76" s="220" t="s">
        <v>2740</v>
      </c>
      <c r="C76" t="str">
        <v>PCC5 (Frecuencia de Monitoreo)</v>
      </c>
    </row>
    <row r="77" spans="2:5">
      <c r="B77" s="221" t="s">
        <v>3893</v>
      </c>
      <c r="C77" t="str">
        <v>Todos los Registros(Frecuencia de Monitoreo)</v>
      </c>
    </row>
    <row r="78" spans="2:5">
      <c r="B78" s="224" t="s">
        <v>3425</v>
      </c>
      <c r="C78" t="str">
        <v>Sellado Defectuoso  (Temperatura de Selladora)</v>
      </c>
    </row>
    <row r="79" spans="2:5">
      <c r="B79" s="221" t="s">
        <v>1714</v>
      </c>
      <c r="C79" t="str">
        <v>PCC3 (Frecuencia de Monitorero)</v>
      </c>
    </row>
    <row r="80" spans="2:5">
      <c r="B80" s="220" t="s">
        <v>2308</v>
      </c>
      <c r="C80" t="str">
        <v>Verif. AC</v>
      </c>
    </row>
    <row r="81" spans="2:3">
      <c r="B81" s="221" t="s">
        <v>1534</v>
      </c>
      <c r="C81" t="str">
        <v>Camara de Congelados</v>
      </c>
    </row>
    <row r="82" spans="2:3">
      <c r="B82" s="221" t="s">
        <v>3991</v>
      </c>
      <c r="C82" t="str">
        <v>Manchas de Hollin</v>
      </c>
    </row>
    <row r="83" spans="2:3">
      <c r="B83" s="221" t="s">
        <v>2932</v>
      </c>
      <c r="C83" t="str">
        <v>Valvula mal apretado</v>
      </c>
    </row>
    <row r="84" spans="2:3">
      <c r="B84" s="221" t="s">
        <v>1810</v>
      </c>
      <c r="C84" t="str">
        <v>Deviación de RAM</v>
      </c>
    </row>
    <row r="85" spans="2:3">
      <c r="B85" s="220" t="s">
        <v>3969</v>
      </c>
      <c r="C85" t="str">
        <v>Aspecto No Característico</v>
      </c>
    </row>
    <row r="86" spans="2:3">
      <c r="B86" s="220" t="s">
        <v>4051</v>
      </c>
      <c r="C86" t="str">
        <v>Textura</v>
      </c>
    </row>
    <row r="87" spans="2:3">
      <c r="B87" s="220" t="s">
        <v>1550</v>
      </c>
      <c r="C87" t="str">
        <v>PT/SE No Conforme</v>
      </c>
    </row>
    <row r="88" spans="2:3">
      <c r="B88" s="220" t="s">
        <v>640</v>
      </c>
      <c r="C88" t="str">
        <v>PCC6</v>
      </c>
    </row>
    <row r="89" spans="2:3">
      <c r="B89" s="220" t="s">
        <v>3980</v>
      </c>
      <c r="C89" t="str">
        <v>Perdida de propiedades</v>
      </c>
    </row>
    <row r="90" spans="2:3">
      <c r="B90" s="221" t="s">
        <v>4321</v>
      </c>
      <c r="C90" t="str">
        <v>Manchas en Etiquetas</v>
      </c>
    </row>
    <row r="91" spans="2:3">
      <c r="B91" s="221" t="s">
        <v>3068</v>
      </c>
      <c r="C91" t="str">
        <v>Gorgojos</v>
      </c>
    </row>
    <row r="92" spans="2:3">
      <c r="B92" s="225" t="s">
        <v>2215</v>
      </c>
      <c r="C92" t="str">
        <v>Camara MP</v>
      </c>
    </row>
    <row r="93" spans="2:3">
      <c r="B93" s="221" t="s">
        <v>2625</v>
      </c>
      <c r="C93" t="str">
        <v>Camara Despacho</v>
      </c>
    </row>
    <row r="94" spans="2:3">
      <c r="B94" s="220" t="s">
        <v>2365</v>
      </c>
    </row>
    <row r="97" spans="2:2">
      <c r="B97" s="202" t="s">
        <v>1017</v>
      </c>
    </row>
    <row r="98" spans="2:2">
      <c r="B98" s="220" t="s">
        <v>1252</v>
      </c>
    </row>
    <row r="99" spans="2:2">
      <c r="B99" s="221" t="s">
        <v>2696</v>
      </c>
    </row>
    <row r="100" spans="2:2">
      <c r="B100" s="220" t="s">
        <v>39</v>
      </c>
    </row>
    <row r="101" spans="2:2">
      <c r="B101" s="220" t="s">
        <v>1349</v>
      </c>
    </row>
    <row r="102" spans="2:2">
      <c r="B102" s="220" t="s">
        <v>3431</v>
      </c>
    </row>
    <row r="103" spans="2:2">
      <c r="B103" s="221" t="s">
        <v>1629</v>
      </c>
    </row>
    <row r="104" spans="2:2">
      <c r="B104" s="221" t="s">
        <v>4398</v>
      </c>
    </row>
    <row r="105" spans="2:2">
      <c r="B105" s="221" t="s">
        <v>3894</v>
      </c>
    </row>
    <row r="106" spans="2:2">
      <c r="B106" s="221" t="s">
        <v>1535</v>
      </c>
    </row>
    <row r="107" spans="2:2">
      <c r="B107" s="221" t="s">
        <v>3148</v>
      </c>
    </row>
    <row r="108" spans="2:2">
      <c r="B108" s="221" t="s">
        <v>4205</v>
      </c>
    </row>
    <row r="109" spans="2:2">
      <c r="B109" s="220" t="s">
        <v>1479</v>
      </c>
    </row>
    <row r="110" spans="2:2">
      <c r="B110" s="221" t="s">
        <v>2792</v>
      </c>
    </row>
    <row r="111" spans="2:2">
      <c r="B111" s="221" t="s">
        <v>3227</v>
      </c>
    </row>
    <row r="112" spans="2:2">
      <c r="B112" s="221" t="s">
        <v>2216</v>
      </c>
    </row>
    <row r="113" spans="2:2">
      <c r="B113" s="220" t="s">
        <v>4240</v>
      </c>
    </row>
    <row r="116" spans="2:2">
      <c r="B116" s="226" t="s">
        <v>1026</v>
      </c>
    </row>
    <row r="117" spans="2:2">
      <c r="B117" s="227" t="s">
        <v>3257</v>
      </c>
    </row>
    <row r="118" spans="2:2">
      <c r="B118" s="227" t="s">
        <v>2812</v>
      </c>
    </row>
    <row r="119" spans="2:2">
      <c r="B119" s="227" t="s">
        <v>3450</v>
      </c>
    </row>
    <row r="120" spans="2:2">
      <c r="B120" s="228" t="s">
        <v>3585</v>
      </c>
    </row>
    <row r="121" spans="2:2">
      <c r="B121" s="228" t="s">
        <v>1283</v>
      </c>
    </row>
    <row r="122" spans="2:2">
      <c r="B122" s="228" t="s">
        <v>3633</v>
      </c>
    </row>
    <row r="123" spans="2:2">
      <c r="B123" s="228" t="s">
        <v>3277</v>
      </c>
    </row>
    <row r="124" spans="2:2">
      <c r="B124" s="228" t="s">
        <v>2158</v>
      </c>
    </row>
    <row r="125" spans="2:2">
      <c r="B125" s="228" t="s">
        <v>1611</v>
      </c>
    </row>
    <row r="126" spans="2:2">
      <c r="B126" s="228" t="s">
        <v>1460</v>
      </c>
    </row>
    <row r="127" spans="2:2">
      <c r="B127" s="228" t="s">
        <v>3796</v>
      </c>
    </row>
    <row r="128" spans="2:2">
      <c r="B128" s="228" t="s">
        <v>3851</v>
      </c>
    </row>
    <row r="129" spans="2:2">
      <c r="B129" s="228" t="s">
        <v>1505</v>
      </c>
    </row>
    <row r="130" spans="2:2">
      <c r="B130" s="228" t="s">
        <v>2688</v>
      </c>
    </row>
    <row r="131" spans="2:2">
      <c r="B131" s="228" t="s">
        <v>3620</v>
      </c>
    </row>
    <row r="132" spans="2:2">
      <c r="B132" s="228" t="s">
        <v>1253</v>
      </c>
    </row>
    <row r="133" spans="2:2">
      <c r="B133" s="228" t="s">
        <v>3777</v>
      </c>
    </row>
    <row r="134" spans="2:2">
      <c r="B134" s="228" t="s">
        <v>2396</v>
      </c>
    </row>
    <row r="135" spans="2:2">
      <c r="B135" s="228" t="s">
        <v>3963</v>
      </c>
    </row>
    <row r="136" spans="2:2">
      <c r="B136" s="228" t="s">
        <v>4258</v>
      </c>
    </row>
    <row r="137" spans="2:2">
      <c r="B137" s="228" t="s">
        <v>4074</v>
      </c>
    </row>
    <row r="138" spans="2:2">
      <c r="B138" s="228" t="s">
        <v>4080</v>
      </c>
    </row>
    <row r="139" spans="2:2">
      <c r="B139" s="228" t="s">
        <v>2358</v>
      </c>
    </row>
    <row r="140" spans="2:2">
      <c r="B140" s="228" t="s">
        <v>4222</v>
      </c>
    </row>
    <row r="282" spans="2:2">
      <c r="B282" s="72"/>
    </row>
    <row r="322" spans="2:2">
      <c r="B322" s="72"/>
    </row>
    <row r="362" spans="2:2">
      <c r="B362" s="72"/>
    </row>
    <row r="402" spans="2:2">
      <c r="B402" s="72"/>
    </row>
    <row r="442" spans="2:2">
      <c r="B442" s="72"/>
    </row>
    <row r="482" spans="2:2">
      <c r="B482" s="72"/>
    </row>
    <row r="522" spans="2:2">
      <c r="B522" s="72"/>
    </row>
    <row r="562" spans="2:2">
      <c r="B562" s="72"/>
    </row>
    <row r="602" spans="2:2">
      <c r="B602" s="72"/>
    </row>
    <row r="642" spans="2:2">
      <c r="B642" s="72"/>
    </row>
    <row r="682" spans="2:2">
      <c r="B682" s="72"/>
    </row>
    <row r="722" spans="2:2">
      <c r="B722" s="72"/>
    </row>
    <row r="762" spans="2:2">
      <c r="B762" s="72"/>
    </row>
    <row r="802" spans="2:2">
      <c r="B802" s="72"/>
    </row>
    <row r="842" spans="2:2">
      <c r="B842" s="72"/>
    </row>
    <row r="882" spans="2:2">
      <c r="B882" s="72"/>
    </row>
    <row r="922" spans="2:2">
      <c r="B922" s="72"/>
    </row>
    <row r="962" spans="2:2">
      <c r="B962" s="72"/>
    </row>
    <row r="1002" spans="2:2">
      <c r="B1002" s="72"/>
    </row>
    <row r="1042" spans="2:2">
      <c r="B1042" s="72"/>
    </row>
    <row r="1082" spans="2:2">
      <c r="B1082" s="72"/>
    </row>
    <row r="1122" spans="2:2">
      <c r="B1122" s="72"/>
    </row>
    <row r="1162" spans="2:2">
      <c r="B1162" s="72"/>
    </row>
    <row r="1202" spans="2:2">
      <c r="B1202" s="72"/>
    </row>
    <row r="1242" spans="2:2">
      <c r="B1242" s="72"/>
    </row>
    <row r="1282" spans="2:2">
      <c r="B1282" s="72"/>
    </row>
    <row r="1322" spans="2:2">
      <c r="B1322" s="72"/>
    </row>
    <row r="1362" spans="2:2">
      <c r="B1362" s="72"/>
    </row>
    <row r="1402" spans="2:2">
      <c r="B1402" s="72"/>
    </row>
    <row r="1442" spans="2:2">
      <c r="B1442" s="72"/>
    </row>
    <row r="1482" spans="2:2">
      <c r="B1482" s="72"/>
    </row>
    <row r="1522" spans="2:2">
      <c r="B1522" s="72"/>
    </row>
    <row r="1562" spans="2:2">
      <c r="B1562" s="72"/>
    </row>
    <row r="1602" spans="2:2">
      <c r="B1602" s="72"/>
    </row>
    <row r="1642" spans="2:2">
      <c r="B1642" s="72"/>
    </row>
    <row r="1682" spans="2:2">
      <c r="B1682" s="72"/>
    </row>
    <row r="1722" spans="2:2">
      <c r="B1722" s="72"/>
    </row>
    <row r="1762" spans="2:2">
      <c r="B1762" s="72"/>
    </row>
    <row r="1802" spans="2:2">
      <c r="B1802" s="72"/>
    </row>
    <row r="1842" spans="2:2">
      <c r="B1842" s="72"/>
    </row>
    <row r="1882" spans="2:2">
      <c r="B1882" s="72"/>
    </row>
    <row r="1922" spans="2:2">
      <c r="B1922" s="72"/>
    </row>
    <row r="1962" spans="2:2">
      <c r="B1962" s="72"/>
    </row>
    <row r="2002" spans="2:2">
      <c r="B2002" s="72"/>
    </row>
    <row r="2042" spans="2:2">
      <c r="B2042" s="72"/>
    </row>
    <row r="2082" spans="2:2">
      <c r="B2082" s="72"/>
    </row>
    <row r="2122" spans="2:2">
      <c r="B2122" s="72"/>
    </row>
    <row r="2162" spans="2:2">
      <c r="B2162" s="72"/>
    </row>
    <row r="2202" spans="2:2">
      <c r="B2202" s="72"/>
    </row>
    <row r="2242" spans="2:2">
      <c r="B2242" s="72"/>
    </row>
    <row r="2282" spans="2:2">
      <c r="B2282" s="72"/>
    </row>
    <row r="2322" spans="2:2">
      <c r="B2322" s="72"/>
    </row>
    <row r="2362" spans="2:2">
      <c r="B2362" s="72"/>
    </row>
    <row r="2402" spans="2:2">
      <c r="B2402" s="72"/>
    </row>
    <row r="2442" spans="2:2">
      <c r="B2442" s="72"/>
    </row>
    <row r="2482" spans="2:2">
      <c r="B2482" s="72"/>
    </row>
    <row r="2522" spans="2:2">
      <c r="B2522" s="72"/>
    </row>
    <row r="2562" spans="2:2">
      <c r="B2562" s="72"/>
    </row>
    <row r="2602" spans="2:2">
      <c r="B2602" s="72"/>
    </row>
    <row r="2642" spans="2:2">
      <c r="B2642" s="72"/>
    </row>
    <row r="2682" spans="2:2">
      <c r="B2682" s="72"/>
    </row>
    <row r="2722" spans="2:2">
      <c r="B2722" s="72"/>
    </row>
    <row r="2762" spans="2:2">
      <c r="B2762" s="72"/>
    </row>
    <row r="2802" spans="2:2">
      <c r="B2802" s="72"/>
    </row>
    <row r="2842" spans="2:2">
      <c r="B2842" s="72"/>
    </row>
    <row r="2882" spans="2:2">
      <c r="B2882" s="72"/>
    </row>
    <row r="2922" spans="2:2">
      <c r="B2922" s="72"/>
    </row>
    <row r="2962" spans="2:2">
      <c r="B2962" s="72"/>
    </row>
    <row r="3002" spans="2:2">
      <c r="B3002" s="72"/>
    </row>
    <row r="3042" spans="2:2">
      <c r="B3042" s="72"/>
    </row>
    <row r="3082" spans="2:2">
      <c r="B3082" s="72"/>
    </row>
    <row r="3122" spans="2:2">
      <c r="B3122" s="72"/>
    </row>
    <row r="3162" spans="2:2">
      <c r="B3162" s="72"/>
    </row>
    <row r="3202" spans="2:2">
      <c r="B3202" s="72"/>
    </row>
    <row r="3242" spans="2:2">
      <c r="B3242" s="72"/>
    </row>
    <row r="3282" spans="2:2">
      <c r="B3282" s="72"/>
    </row>
    <row r="3322" spans="2:2">
      <c r="B3322" s="72"/>
    </row>
    <row r="3362" spans="2:2">
      <c r="B3362" s="72"/>
    </row>
    <row r="3402" spans="2:2">
      <c r="B3402" s="72"/>
    </row>
    <row r="3442" spans="2:2">
      <c r="B3442" s="72"/>
    </row>
    <row r="3482" spans="2:2">
      <c r="B3482" s="72"/>
    </row>
    <row r="3522" spans="2:2">
      <c r="B3522" s="72"/>
    </row>
    <row r="3562" spans="2:2">
      <c r="B3562" s="72"/>
    </row>
    <row r="3602" spans="2:2">
      <c r="B3602" s="72"/>
    </row>
    <row r="3642" spans="2:2">
      <c r="B3642" s="72"/>
    </row>
    <row r="3682" spans="2:2">
      <c r="B3682" s="72"/>
    </row>
    <row r="3722" spans="2:2">
      <c r="B3722" s="72"/>
    </row>
    <row r="3762" spans="2:2">
      <c r="B3762" s="72"/>
    </row>
    <row r="3802" spans="2:2">
      <c r="B3802" s="72"/>
    </row>
    <row r="3842" spans="2:2">
      <c r="B3842" s="72"/>
    </row>
    <row r="3882" spans="2:2">
      <c r="B3882" s="72"/>
    </row>
    <row r="3922" spans="2:2">
      <c r="B3922" s="72"/>
    </row>
    <row r="3962" spans="2:2">
      <c r="B3962" s="72"/>
    </row>
    <row r="4002" spans="2:2">
      <c r="B4002" s="72"/>
    </row>
    <row r="4042" spans="2:2">
      <c r="B4042" s="72"/>
    </row>
    <row r="4082" spans="2:2">
      <c r="B4082" s="72"/>
    </row>
    <row r="4122" spans="2:2">
      <c r="B4122" s="72"/>
    </row>
    <row r="4162" spans="2:2">
      <c r="B4162" s="72"/>
    </row>
    <row r="4202" spans="2:2">
      <c r="B4202" s="72"/>
    </row>
    <row r="4242" spans="2:2">
      <c r="B4242" s="72"/>
    </row>
    <row r="4282" spans="2:2">
      <c r="B4282" s="72"/>
    </row>
    <row r="4322" spans="2:2">
      <c r="B4322" s="72"/>
    </row>
    <row r="4362" spans="2:2">
      <c r="B4362" s="72"/>
    </row>
    <row r="4402" spans="2:2">
      <c r="B4402" s="72"/>
    </row>
    <row r="4442" spans="2:2">
      <c r="B4442" s="72"/>
    </row>
    <row r="4482" spans="2:2">
      <c r="B4482" s="72"/>
    </row>
    <row r="4522" spans="2:2">
      <c r="B4522" s="72"/>
    </row>
    <row r="4562" spans="2:2">
      <c r="B4562" s="72"/>
    </row>
    <row r="4602" spans="2:2">
      <c r="B4602" s="72"/>
    </row>
    <row r="4642" spans="2:2">
      <c r="B4642" s="72"/>
    </row>
    <row r="4682" spans="2:2">
      <c r="B4682" s="72"/>
    </row>
    <row r="4722" spans="2:2">
      <c r="B4722" s="72"/>
    </row>
    <row r="4762" spans="2:2">
      <c r="B4762" s="72"/>
    </row>
    <row r="4802" spans="2:2">
      <c r="B4802" s="72"/>
    </row>
    <row r="4842" spans="2:2">
      <c r="B4842" s="72"/>
    </row>
    <row r="4882" spans="2:2">
      <c r="B4882" s="72"/>
    </row>
    <row r="4922" spans="2:2">
      <c r="B4922" s="72"/>
    </row>
    <row r="4962" spans="2:2">
      <c r="B4962" s="72"/>
    </row>
    <row r="5002" spans="2:2">
      <c r="B5002" s="72"/>
    </row>
    <row r="5042" spans="2:2">
      <c r="B5042" s="72"/>
    </row>
    <row r="5082" spans="2:2">
      <c r="B5082" s="72"/>
    </row>
    <row r="5122" spans="2:2">
      <c r="B5122" s="72"/>
    </row>
    <row r="5162" spans="2:2">
      <c r="B5162" s="72"/>
    </row>
    <row r="5202" spans="2:2">
      <c r="B5202" s="72"/>
    </row>
    <row r="5242" spans="2:2">
      <c r="B5242" s="72"/>
    </row>
    <row r="5282" spans="2:2">
      <c r="B5282" s="72"/>
    </row>
    <row r="5322" spans="2:2">
      <c r="B5322" s="72"/>
    </row>
    <row r="5362" spans="2:2">
      <c r="B5362" s="72"/>
    </row>
    <row r="5402" spans="2:2">
      <c r="B5402" s="72"/>
    </row>
    <row r="5442" spans="2:2">
      <c r="B5442" s="72"/>
    </row>
    <row r="5482" spans="2:2">
      <c r="B5482" s="72"/>
    </row>
    <row r="5522" spans="2:2">
      <c r="B5522" s="72"/>
    </row>
    <row r="5562" spans="2:2">
      <c r="B5562" s="72"/>
    </row>
    <row r="5602" spans="2:2">
      <c r="B5602" s="72"/>
    </row>
    <row r="5642" spans="2:2">
      <c r="B5642" s="72"/>
    </row>
    <row r="5682" spans="2:2">
      <c r="B5682" s="72"/>
    </row>
    <row r="5722" spans="2:2">
      <c r="B5722" s="72"/>
    </row>
    <row r="5762" spans="2:2">
      <c r="B5762" s="72"/>
    </row>
    <row r="5802" spans="2:2">
      <c r="B5802" s="72"/>
    </row>
    <row r="5842" spans="2:2">
      <c r="B5842" s="72"/>
    </row>
    <row r="5882" spans="2:2">
      <c r="B5882" s="72"/>
    </row>
    <row r="5922" spans="2:2">
      <c r="B5922" s="72"/>
    </row>
    <row r="5962" spans="2:2">
      <c r="B5962" s="72"/>
    </row>
    <row r="6002" spans="2:2">
      <c r="B6002" s="72"/>
    </row>
    <row r="6042" spans="2:2">
      <c r="B6042" s="72"/>
    </row>
    <row r="6082" spans="2:2">
      <c r="B6082" s="72"/>
    </row>
    <row r="6122" spans="2:2">
      <c r="B6122" s="72"/>
    </row>
    <row r="6162" spans="2:2">
      <c r="B6162" s="72"/>
    </row>
    <row r="6202" spans="2:2">
      <c r="B6202" s="72"/>
    </row>
    <row r="6242" spans="2:2">
      <c r="B6242" s="72"/>
    </row>
    <row r="6282" spans="2:2">
      <c r="B6282" s="72"/>
    </row>
    <row r="6322" spans="2:2">
      <c r="B6322" s="72"/>
    </row>
    <row r="6362" spans="2:2">
      <c r="B6362" s="72"/>
    </row>
    <row r="6402" spans="2:2">
      <c r="B6402" s="72"/>
    </row>
    <row r="6442" spans="2:2">
      <c r="B6442" s="72"/>
    </row>
    <row r="6482" spans="2:2">
      <c r="B6482" s="72"/>
    </row>
    <row r="6522" spans="2:2">
      <c r="B6522" s="72"/>
    </row>
    <row r="6562" spans="2:2">
      <c r="B6562" s="72"/>
    </row>
    <row r="6602" spans="2:2">
      <c r="B6602" s="72"/>
    </row>
    <row r="6642" spans="2:2">
      <c r="B6642" s="72"/>
    </row>
    <row r="6682" spans="2:2">
      <c r="B6682" s="72"/>
    </row>
    <row r="6722" spans="2:2">
      <c r="B6722" s="72"/>
    </row>
    <row r="6762" spans="2:2">
      <c r="B6762" s="72"/>
    </row>
    <row r="6802" spans="2:2">
      <c r="B6802" s="72"/>
    </row>
    <row r="6842" spans="2:2">
      <c r="B6842" s="72"/>
    </row>
    <row r="6882" spans="2:2">
      <c r="B6882" s="72"/>
    </row>
    <row r="6922" spans="2:2">
      <c r="B6922" s="72"/>
    </row>
    <row r="6962" spans="2:2">
      <c r="B6962" s="72"/>
    </row>
    <row r="7002" spans="2:2">
      <c r="B7002" s="72"/>
    </row>
    <row r="7042" spans="2:2">
      <c r="B7042" s="72"/>
    </row>
    <row r="7082" spans="2:2">
      <c r="B7082" s="72"/>
    </row>
  </sheetData>
  <conditionalFormatting sqref="F2:F61">
    <cfRule type="cellIs" dxfId="1" priority="6" operator="equal">
      <formula>$C$8</formula>
    </cfRule>
  </conditionalFormatting>
  <conditionalFormatting sqref="L2:L62">
    <cfRule type="cellIs" dxfId="0" priority="2" operator="equal">
      <formula>$C$8</formula>
    </cfRule>
  </conditionalFormatting>
  <dataValidations count="5">
    <dataValidation type="list" allowBlank="1" showInputMessage="1" showErrorMessage="1" sqref="E1" xr:uid="{00000000-0002-0000-0B00-000000000000}">
      <formula1>INDIRECT("Mes[Mes]")</formula1>
    </dataValidation>
    <dataValidation type="list" allowBlank="1" showInputMessage="1" showErrorMessage="1" sqref="B1" xr:uid="{00000000-0002-0000-0B00-000001000000}">
      <formula1>$G$2:$G$61</formula1>
    </dataValidation>
    <dataValidation type="list" allowBlank="1" showInputMessage="1" showErrorMessage="1" sqref="B28" xr:uid="{7292C0BA-B3A9-499C-90ED-28202F23333E}">
      <formula1>$C$28:$C$93</formula1>
    </dataValidation>
    <dataValidation type="list" allowBlank="1" showInputMessage="1" showErrorMessage="1" sqref="B40" xr:uid="{00000000-0002-0000-0B00-000003000000}">
      <formula1>$E$28:$E$100</formula1>
    </dataValidation>
    <dataValidation type="list" allowBlank="1" showInputMessage="1" showErrorMessage="1" sqref="B29" xr:uid="{691F6C94-BF84-47F4-8610-F0380F265A40}">
      <formula1>$D$28:$D$76</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Button 9">
              <controlPr defaultSize="0" print="0" autoFill="0" autoPict="0" macro="[0]!Gestion">
                <anchor moveWithCells="1" sizeWithCells="1">
                  <from>
                    <xdr:col>2</xdr:col>
                    <xdr:colOff>31750</xdr:colOff>
                    <xdr:row>0</xdr:row>
                    <xdr:rowOff>38100</xdr:rowOff>
                  </from>
                  <to>
                    <xdr:col>3</xdr:col>
                    <xdr:colOff>38100</xdr:colOff>
                    <xdr:row>1</xdr:row>
                    <xdr:rowOff>76200</xdr:rowOff>
                  </to>
                </anchor>
              </controlPr>
            </control>
          </mc:Choice>
        </mc:AlternateContent>
        <mc:AlternateContent xmlns:mc="http://schemas.openxmlformats.org/markup-compatibility/2006">
          <mc:Choice Requires="x14">
            <control shapeId="21521" r:id="rId5" name="Button 17">
              <controlPr defaultSize="0" print="0" autoFill="0" autoPict="0" macro="[0]!Remplazo">
                <anchor moveWithCells="1" sizeWithCells="1">
                  <from>
                    <xdr:col>3</xdr:col>
                    <xdr:colOff>1441450</xdr:colOff>
                    <xdr:row>3</xdr:row>
                    <xdr:rowOff>146050</xdr:rowOff>
                  </from>
                  <to>
                    <xdr:col>4</xdr:col>
                    <xdr:colOff>1593850</xdr:colOff>
                    <xdr:row>5</xdr:row>
                    <xdr:rowOff>0</xdr:rowOff>
                  </to>
                </anchor>
              </controlPr>
            </control>
          </mc:Choice>
        </mc:AlternateContent>
        <mc:AlternateContent xmlns:mc="http://schemas.openxmlformats.org/markup-compatibility/2006">
          <mc:Choice Requires="x14">
            <control shapeId="21522" r:id="rId6" name="Button 18">
              <controlPr defaultSize="0" print="0" autoFill="0" autoPict="0" macro="[0]!BorrarDatos">
                <anchor moveWithCells="1" sizeWithCells="1">
                  <from>
                    <xdr:col>2</xdr:col>
                    <xdr:colOff>69850</xdr:colOff>
                    <xdr:row>3</xdr:row>
                    <xdr:rowOff>31750</xdr:rowOff>
                  </from>
                  <to>
                    <xdr:col>3</xdr:col>
                    <xdr:colOff>69850</xdr:colOff>
                    <xdr:row>4</xdr:row>
                    <xdr:rowOff>69850</xdr:rowOff>
                  </to>
                </anchor>
              </controlPr>
            </control>
          </mc:Choice>
        </mc:AlternateContent>
        <mc:AlternateContent xmlns:mc="http://schemas.openxmlformats.org/markup-compatibility/2006">
          <mc:Choice Requires="x14">
            <control shapeId="21527" r:id="rId7" name="Spinner 23">
              <controlPr defaultSize="0" autoPict="0">
                <anchor moveWithCells="1" sizeWithCells="1">
                  <from>
                    <xdr:col>3</xdr:col>
                    <xdr:colOff>488950</xdr:colOff>
                    <xdr:row>5</xdr:row>
                    <xdr:rowOff>69850</xdr:rowOff>
                  </from>
                  <to>
                    <xdr:col>3</xdr:col>
                    <xdr:colOff>793750</xdr:colOff>
                    <xdr:row>10</xdr:row>
                    <xdr:rowOff>69850</xdr:rowOff>
                  </to>
                </anchor>
              </controlPr>
            </control>
          </mc:Choice>
        </mc:AlternateContent>
        <mc:AlternateContent xmlns:mc="http://schemas.openxmlformats.org/markup-compatibility/2006">
          <mc:Choice Requires="x14">
            <control shapeId="21531" r:id="rId8" name="Button 27">
              <controlPr defaultSize="0" print="0" autoFill="0" autoPict="0" macro="[0]!Volver">
                <anchor moveWithCells="1" sizeWithCells="1">
                  <from>
                    <xdr:col>2</xdr:col>
                    <xdr:colOff>69850</xdr:colOff>
                    <xdr:row>4</xdr:row>
                    <xdr:rowOff>146050</xdr:rowOff>
                  </from>
                  <to>
                    <xdr:col>3</xdr:col>
                    <xdr:colOff>69850</xdr:colOff>
                    <xdr:row>5</xdr:row>
                    <xdr:rowOff>184150</xdr:rowOff>
                  </to>
                </anchor>
              </controlPr>
            </control>
          </mc:Choice>
        </mc:AlternateContent>
        <mc:AlternateContent xmlns:mc="http://schemas.openxmlformats.org/markup-compatibility/2006">
          <mc:Choice Requires="x14">
            <control shapeId="21533" r:id="rId9" name="Button 29">
              <controlPr defaultSize="0" print="0" autoFill="0" autoPict="0" macro="[0]!OcultarPestañas">
                <anchor moveWithCells="1" sizeWithCells="1">
                  <from>
                    <xdr:col>3</xdr:col>
                    <xdr:colOff>2489200</xdr:colOff>
                    <xdr:row>7</xdr:row>
                    <xdr:rowOff>127000</xdr:rowOff>
                  </from>
                  <to>
                    <xdr:col>4</xdr:col>
                    <xdr:colOff>1593850</xdr:colOff>
                    <xdr:row>10</xdr:row>
                    <xdr:rowOff>50800</xdr:rowOff>
                  </to>
                </anchor>
              </controlPr>
            </control>
          </mc:Choice>
        </mc:AlternateContent>
        <mc:AlternateContent xmlns:mc="http://schemas.openxmlformats.org/markup-compatibility/2006">
          <mc:Choice Requires="x14">
            <control shapeId="21534" r:id="rId10" name="Button 30">
              <controlPr defaultSize="0" print="0" autoFill="0" autoPict="0" macro="[0]!MostrarPestañas">
                <anchor moveWithCells="1" sizeWithCells="1">
                  <from>
                    <xdr:col>3</xdr:col>
                    <xdr:colOff>2546350</xdr:colOff>
                    <xdr:row>12</xdr:row>
                    <xdr:rowOff>31750</xdr:rowOff>
                  </from>
                  <to>
                    <xdr:col>4</xdr:col>
                    <xdr:colOff>1631950</xdr:colOff>
                    <xdr:row>14</xdr:row>
                    <xdr:rowOff>146050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45DA5-0668-4455-8A17-8C9A230B9BD5}">
  <sheetPr codeName="Hoja15"/>
  <dimension ref="A1:AC21"/>
  <sheetViews>
    <sheetView workbookViewId="0">
      <selection activeCell="J36" sqref="J36"/>
    </sheetView>
  </sheetViews>
  <sheetFormatPr baseColWidth="10" defaultColWidth="11.453125" defaultRowHeight="14.5"/>
  <cols>
    <col min="10" max="10" width="12.453125" customWidth="1"/>
    <col min="12" max="12" width="17" customWidth="1"/>
    <col min="13" max="13" width="12" customWidth="1"/>
    <col min="14" max="14" width="16.453125" customWidth="1"/>
    <col min="16" max="16" width="14.453125" customWidth="1"/>
    <col min="17" max="17" width="13.453125" customWidth="1"/>
    <col min="19" max="19" width="16.453125" customWidth="1"/>
    <col min="20" max="20" width="11.54296875" customWidth="1"/>
    <col min="21" max="22" width="20.54296875" customWidth="1"/>
    <col min="25" max="25" width="14.453125" customWidth="1"/>
    <col min="26" max="26" width="15.453125" customWidth="1"/>
    <col min="28" max="28" width="12.453125" customWidth="1"/>
    <col min="29" max="29" width="14.54296875" customWidth="1"/>
  </cols>
  <sheetData>
    <row r="1" spans="1:29">
      <c r="A1" t="s">
        <v>997</v>
      </c>
      <c r="B1" t="s">
        <v>36</v>
      </c>
      <c r="C1" t="s">
        <v>5</v>
      </c>
      <c r="D1" t="s">
        <v>998</v>
      </c>
      <c r="E1" t="s">
        <v>999</v>
      </c>
      <c r="F1" t="s">
        <v>18</v>
      </c>
      <c r="G1" t="s">
        <v>1000</v>
      </c>
      <c r="H1" t="s">
        <v>546</v>
      </c>
      <c r="I1" t="s">
        <v>1001</v>
      </c>
      <c r="J1" t="s">
        <v>38</v>
      </c>
      <c r="K1" t="s">
        <v>1002</v>
      </c>
      <c r="L1" t="s">
        <v>1003</v>
      </c>
      <c r="M1" t="s">
        <v>39</v>
      </c>
      <c r="N1" t="s">
        <v>1004</v>
      </c>
      <c r="O1" t="s">
        <v>555</v>
      </c>
      <c r="P1" t="s">
        <v>1005</v>
      </c>
      <c r="Q1" t="s">
        <v>1006</v>
      </c>
      <c r="R1" t="s">
        <v>19</v>
      </c>
      <c r="S1" t="s">
        <v>1007</v>
      </c>
      <c r="T1" t="s">
        <v>1008</v>
      </c>
      <c r="U1" t="s">
        <v>1009</v>
      </c>
      <c r="V1" t="s">
        <v>1010</v>
      </c>
      <c r="W1" t="s">
        <v>1011</v>
      </c>
      <c r="X1" t="s">
        <v>1012</v>
      </c>
      <c r="Y1" t="s">
        <v>1013</v>
      </c>
      <c r="Z1" t="s">
        <v>1014</v>
      </c>
      <c r="AA1" t="s">
        <v>1015</v>
      </c>
      <c r="AB1" t="s">
        <v>1016</v>
      </c>
      <c r="AC1" t="s">
        <v>1017</v>
      </c>
    </row>
    <row r="2" spans="1:29">
      <c r="A2" t="s">
        <v>2178</v>
      </c>
      <c r="B2">
        <v>2</v>
      </c>
      <c r="C2">
        <v>45344</v>
      </c>
      <c r="D2">
        <v>9</v>
      </c>
      <c r="E2">
        <v>0.89583333333333337</v>
      </c>
      <c r="F2" t="s">
        <v>136</v>
      </c>
      <c r="G2" t="s">
        <v>27</v>
      </c>
      <c r="H2" t="s">
        <v>677</v>
      </c>
      <c r="I2" t="s">
        <v>259</v>
      </c>
      <c r="J2" t="s">
        <v>2179</v>
      </c>
      <c r="K2" t="s">
        <v>2180</v>
      </c>
      <c r="L2" t="s">
        <v>77</v>
      </c>
      <c r="M2" t="s">
        <v>705</v>
      </c>
      <c r="N2">
        <v>76057769</v>
      </c>
      <c r="O2" t="s">
        <v>895</v>
      </c>
      <c r="P2">
        <v>10000520</v>
      </c>
      <c r="Q2" t="s">
        <v>138</v>
      </c>
      <c r="R2" t="s">
        <v>589</v>
      </c>
      <c r="S2" t="s">
        <v>2181</v>
      </c>
      <c r="T2" t="s">
        <v>2182</v>
      </c>
      <c r="U2" t="s">
        <v>1160</v>
      </c>
      <c r="V2" t="s">
        <v>2183</v>
      </c>
      <c r="W2" t="s">
        <v>101</v>
      </c>
      <c r="AA2">
        <v>5200324</v>
      </c>
    </row>
    <row r="3" spans="1:29">
      <c r="A3" t="s">
        <v>2492</v>
      </c>
      <c r="B3">
        <v>2</v>
      </c>
      <c r="C3">
        <v>45309</v>
      </c>
      <c r="D3">
        <v>4</v>
      </c>
      <c r="E3">
        <v>0.47916666666666669</v>
      </c>
      <c r="F3" t="s">
        <v>78</v>
      </c>
      <c r="G3" t="s">
        <v>628</v>
      </c>
      <c r="H3" t="s">
        <v>86</v>
      </c>
      <c r="I3" t="s">
        <v>615</v>
      </c>
      <c r="J3" t="s">
        <v>567</v>
      </c>
      <c r="K3" t="s">
        <v>2493</v>
      </c>
      <c r="L3" t="s">
        <v>108</v>
      </c>
      <c r="M3" t="s">
        <v>1029</v>
      </c>
      <c r="N3">
        <v>967555800</v>
      </c>
      <c r="O3" t="s">
        <v>123</v>
      </c>
      <c r="P3">
        <v>13030401</v>
      </c>
      <c r="Q3" t="s">
        <v>138</v>
      </c>
      <c r="R3" t="s">
        <v>620</v>
      </c>
      <c r="S3" t="s">
        <v>2494</v>
      </c>
      <c r="T3" t="s">
        <v>2495</v>
      </c>
      <c r="U3" t="s">
        <v>2496</v>
      </c>
      <c r="V3" t="s">
        <v>2497</v>
      </c>
      <c r="W3" t="s">
        <v>101</v>
      </c>
      <c r="X3" t="s">
        <v>102</v>
      </c>
      <c r="Y3">
        <v>4800</v>
      </c>
      <c r="AA3" t="s">
        <v>2498</v>
      </c>
    </row>
    <row r="4" spans="1:29">
      <c r="A4" t="s">
        <v>2533</v>
      </c>
      <c r="B4">
        <v>2</v>
      </c>
      <c r="C4">
        <v>45306</v>
      </c>
      <c r="D4">
        <v>4</v>
      </c>
      <c r="E4">
        <v>0.40277777777777773</v>
      </c>
      <c r="F4" t="s">
        <v>109</v>
      </c>
      <c r="G4" t="s">
        <v>27</v>
      </c>
      <c r="H4" t="s">
        <v>677</v>
      </c>
      <c r="I4" t="s">
        <v>212</v>
      </c>
      <c r="J4" t="s">
        <v>618</v>
      </c>
      <c r="K4" t="s">
        <v>2534</v>
      </c>
      <c r="L4" t="s">
        <v>77</v>
      </c>
      <c r="M4" t="s">
        <v>717</v>
      </c>
      <c r="N4">
        <v>96954210</v>
      </c>
      <c r="O4" t="s">
        <v>507</v>
      </c>
      <c r="P4">
        <v>10002457</v>
      </c>
      <c r="Q4" t="s">
        <v>138</v>
      </c>
      <c r="R4" t="s">
        <v>110</v>
      </c>
      <c r="S4" t="s">
        <v>2535</v>
      </c>
      <c r="T4" t="s">
        <v>2536</v>
      </c>
      <c r="U4" t="s">
        <v>2537</v>
      </c>
      <c r="V4" t="s">
        <v>2538</v>
      </c>
      <c r="W4" t="s">
        <v>101</v>
      </c>
      <c r="X4" t="s">
        <v>129</v>
      </c>
      <c r="Y4">
        <v>120</v>
      </c>
      <c r="AA4" t="s">
        <v>2539</v>
      </c>
    </row>
    <row r="5" spans="1:29">
      <c r="A5" t="s">
        <v>2926</v>
      </c>
      <c r="B5">
        <v>2</v>
      </c>
      <c r="C5">
        <v>45248</v>
      </c>
      <c r="D5">
        <v>47</v>
      </c>
      <c r="E5">
        <v>0.52083333333333337</v>
      </c>
      <c r="F5" t="s">
        <v>78</v>
      </c>
      <c r="G5" t="s">
        <v>27</v>
      </c>
      <c r="H5" t="s">
        <v>677</v>
      </c>
      <c r="I5" t="s">
        <v>190</v>
      </c>
      <c r="J5" t="s">
        <v>618</v>
      </c>
      <c r="K5" t="s">
        <v>2316</v>
      </c>
      <c r="L5" t="s">
        <v>77</v>
      </c>
      <c r="M5" t="s">
        <v>742</v>
      </c>
      <c r="N5">
        <v>76006727</v>
      </c>
      <c r="O5" t="s">
        <v>509</v>
      </c>
      <c r="P5">
        <v>10003596</v>
      </c>
      <c r="Q5" t="s">
        <v>138</v>
      </c>
      <c r="R5" t="s">
        <v>79</v>
      </c>
      <c r="S5" t="s">
        <v>2927</v>
      </c>
      <c r="T5" t="s">
        <v>2928</v>
      </c>
      <c r="U5" t="s">
        <v>2929</v>
      </c>
      <c r="V5" t="s">
        <v>2930</v>
      </c>
      <c r="W5" t="s">
        <v>101</v>
      </c>
      <c r="X5" t="s">
        <v>102</v>
      </c>
      <c r="Y5">
        <v>60</v>
      </c>
      <c r="Z5">
        <v>0</v>
      </c>
      <c r="AA5" t="s">
        <v>2931</v>
      </c>
      <c r="AB5" t="s">
        <v>2932</v>
      </c>
    </row>
    <row r="6" spans="1:29">
      <c r="A6" t="s">
        <v>3034</v>
      </c>
      <c r="B6">
        <v>2</v>
      </c>
      <c r="C6">
        <v>45027</v>
      </c>
      <c r="D6">
        <v>16</v>
      </c>
      <c r="E6">
        <v>3.4722222222222224E-2</v>
      </c>
      <c r="F6" t="s">
        <v>136</v>
      </c>
      <c r="G6" t="s">
        <v>634</v>
      </c>
      <c r="H6" t="s">
        <v>713</v>
      </c>
      <c r="I6" t="s">
        <v>635</v>
      </c>
      <c r="J6" t="s">
        <v>268</v>
      </c>
      <c r="K6" t="s">
        <v>1569</v>
      </c>
      <c r="L6" t="s">
        <v>77</v>
      </c>
      <c r="M6" t="s">
        <v>661</v>
      </c>
      <c r="N6">
        <v>76097645</v>
      </c>
      <c r="O6" t="s">
        <v>494</v>
      </c>
      <c r="P6">
        <v>10000294</v>
      </c>
      <c r="Q6" t="s">
        <v>138</v>
      </c>
      <c r="R6" t="s">
        <v>79</v>
      </c>
      <c r="S6" t="s">
        <v>3035</v>
      </c>
      <c r="T6" t="s">
        <v>3036</v>
      </c>
      <c r="U6" t="s">
        <v>3037</v>
      </c>
      <c r="V6" t="s">
        <v>3038</v>
      </c>
      <c r="W6" t="s">
        <v>101</v>
      </c>
      <c r="X6" t="s">
        <v>1518</v>
      </c>
      <c r="Y6">
        <v>62</v>
      </c>
      <c r="Z6">
        <v>0</v>
      </c>
      <c r="AA6">
        <v>93051423</v>
      </c>
      <c r="AB6" t="s">
        <v>2727</v>
      </c>
      <c r="AC6" t="s">
        <v>39</v>
      </c>
    </row>
    <row r="7" spans="1:29">
      <c r="A7" t="s">
        <v>3731</v>
      </c>
      <c r="B7">
        <v>2</v>
      </c>
      <c r="C7">
        <v>45003</v>
      </c>
      <c r="D7">
        <v>12</v>
      </c>
      <c r="E7">
        <v>0.13263888888888889</v>
      </c>
      <c r="F7" t="s">
        <v>136</v>
      </c>
      <c r="G7" t="s">
        <v>628</v>
      </c>
      <c r="H7" t="s">
        <v>86</v>
      </c>
      <c r="I7" t="s">
        <v>581</v>
      </c>
      <c r="J7" t="s">
        <v>567</v>
      </c>
      <c r="K7" t="s">
        <v>2052</v>
      </c>
      <c r="L7" t="s">
        <v>108</v>
      </c>
      <c r="M7" t="s">
        <v>1029</v>
      </c>
      <c r="N7">
        <v>967555800</v>
      </c>
      <c r="O7" t="s">
        <v>124</v>
      </c>
      <c r="P7">
        <v>13001004</v>
      </c>
      <c r="Q7" t="s">
        <v>138</v>
      </c>
      <c r="R7" t="s">
        <v>585</v>
      </c>
      <c r="S7" t="s">
        <v>3732</v>
      </c>
      <c r="T7" t="s">
        <v>3733</v>
      </c>
      <c r="U7" t="s">
        <v>3734</v>
      </c>
      <c r="V7" t="s">
        <v>3735</v>
      </c>
      <c r="W7" t="s">
        <v>101</v>
      </c>
      <c r="X7" t="s">
        <v>156</v>
      </c>
      <c r="Y7">
        <v>3780</v>
      </c>
      <c r="Z7">
        <v>0</v>
      </c>
      <c r="AA7">
        <v>76</v>
      </c>
      <c r="AB7" t="s">
        <v>3736</v>
      </c>
      <c r="AC7" t="s">
        <v>1349</v>
      </c>
    </row>
    <row r="8" spans="1:29">
      <c r="A8" t="s">
        <v>3737</v>
      </c>
      <c r="B8">
        <v>2</v>
      </c>
      <c r="C8">
        <v>45003</v>
      </c>
      <c r="D8">
        <v>12</v>
      </c>
      <c r="E8">
        <v>0.13263888888888889</v>
      </c>
      <c r="F8" t="s">
        <v>136</v>
      </c>
      <c r="G8" t="s">
        <v>628</v>
      </c>
      <c r="H8" t="s">
        <v>86</v>
      </c>
      <c r="I8" t="s">
        <v>581</v>
      </c>
      <c r="J8" t="s">
        <v>567</v>
      </c>
      <c r="K8" t="s">
        <v>2052</v>
      </c>
      <c r="L8" t="s">
        <v>108</v>
      </c>
      <c r="M8" t="s">
        <v>1029</v>
      </c>
      <c r="N8">
        <v>967555800</v>
      </c>
      <c r="O8" t="s">
        <v>123</v>
      </c>
      <c r="P8">
        <v>13030401</v>
      </c>
      <c r="Q8" t="s">
        <v>138</v>
      </c>
      <c r="R8" t="s">
        <v>585</v>
      </c>
      <c r="S8" t="s">
        <v>3738</v>
      </c>
      <c r="T8" t="s">
        <v>3733</v>
      </c>
      <c r="U8" t="s">
        <v>3734</v>
      </c>
      <c r="V8" t="s">
        <v>3739</v>
      </c>
      <c r="W8" t="s">
        <v>101</v>
      </c>
      <c r="X8" t="s">
        <v>156</v>
      </c>
      <c r="Y8">
        <v>12960</v>
      </c>
      <c r="Z8">
        <v>0</v>
      </c>
      <c r="AA8">
        <v>75</v>
      </c>
      <c r="AB8" t="s">
        <v>3736</v>
      </c>
      <c r="AC8" t="s">
        <v>1349</v>
      </c>
    </row>
    <row r="9" spans="1:29">
      <c r="A9" t="s">
        <v>3740</v>
      </c>
      <c r="B9">
        <v>2</v>
      </c>
      <c r="C9">
        <v>45002</v>
      </c>
      <c r="D9">
        <v>12</v>
      </c>
      <c r="E9">
        <v>0.65833333333333333</v>
      </c>
      <c r="F9" t="s">
        <v>109</v>
      </c>
      <c r="G9" t="s">
        <v>628</v>
      </c>
      <c r="H9" t="s">
        <v>86</v>
      </c>
      <c r="I9" t="s">
        <v>635</v>
      </c>
      <c r="J9" t="s">
        <v>169</v>
      </c>
      <c r="K9" t="s">
        <v>2052</v>
      </c>
      <c r="L9" t="s">
        <v>108</v>
      </c>
      <c r="M9" t="s">
        <v>1029</v>
      </c>
      <c r="N9">
        <v>967555800</v>
      </c>
      <c r="O9" t="s">
        <v>125</v>
      </c>
      <c r="P9">
        <v>13030301</v>
      </c>
      <c r="Q9" t="s">
        <v>138</v>
      </c>
      <c r="R9" t="s">
        <v>585</v>
      </c>
      <c r="S9" t="s">
        <v>3741</v>
      </c>
      <c r="T9" t="s">
        <v>3733</v>
      </c>
      <c r="U9" t="s">
        <v>3734</v>
      </c>
      <c r="V9" t="s">
        <v>3742</v>
      </c>
      <c r="W9" t="s">
        <v>101</v>
      </c>
      <c r="X9" t="s">
        <v>156</v>
      </c>
      <c r="Z9">
        <v>0</v>
      </c>
      <c r="AA9">
        <v>72</v>
      </c>
      <c r="AB9" t="s">
        <v>3736</v>
      </c>
      <c r="AC9" t="s">
        <v>1349</v>
      </c>
    </row>
    <row r="10" spans="1:29">
      <c r="A10" t="s">
        <v>3743</v>
      </c>
      <c r="B10">
        <v>2</v>
      </c>
      <c r="C10">
        <v>45002</v>
      </c>
      <c r="D10">
        <v>12</v>
      </c>
      <c r="E10">
        <v>0.65833333333333333</v>
      </c>
      <c r="F10" t="s">
        <v>109</v>
      </c>
      <c r="G10" t="s">
        <v>628</v>
      </c>
      <c r="H10" t="s">
        <v>86</v>
      </c>
      <c r="I10" t="s">
        <v>635</v>
      </c>
      <c r="J10" t="s">
        <v>169</v>
      </c>
      <c r="K10" t="s">
        <v>2052</v>
      </c>
      <c r="L10" t="s">
        <v>108</v>
      </c>
      <c r="M10" t="s">
        <v>1029</v>
      </c>
      <c r="N10">
        <v>967555800</v>
      </c>
      <c r="O10" t="s">
        <v>285</v>
      </c>
      <c r="P10">
        <v>13030597</v>
      </c>
      <c r="Q10" t="s">
        <v>138</v>
      </c>
      <c r="R10" t="s">
        <v>585</v>
      </c>
      <c r="S10" t="s">
        <v>3744</v>
      </c>
      <c r="T10" t="s">
        <v>3733</v>
      </c>
      <c r="U10" t="s">
        <v>3734</v>
      </c>
      <c r="V10" t="s">
        <v>3745</v>
      </c>
      <c r="W10" t="s">
        <v>101</v>
      </c>
      <c r="X10" t="s">
        <v>156</v>
      </c>
      <c r="Z10">
        <v>0</v>
      </c>
      <c r="AA10">
        <v>69</v>
      </c>
      <c r="AB10" t="s">
        <v>3736</v>
      </c>
      <c r="AC10" t="s">
        <v>1349</v>
      </c>
    </row>
    <row r="11" spans="1:29">
      <c r="A11" t="s">
        <v>3852</v>
      </c>
      <c r="B11">
        <v>2</v>
      </c>
      <c r="C11">
        <v>44971</v>
      </c>
      <c r="D11">
        <v>8</v>
      </c>
      <c r="E11">
        <v>4.8611111111111112E-2</v>
      </c>
      <c r="F11" t="s">
        <v>136</v>
      </c>
      <c r="G11" t="s">
        <v>634</v>
      </c>
      <c r="H11" t="s">
        <v>713</v>
      </c>
      <c r="I11" t="s">
        <v>143</v>
      </c>
      <c r="J11" t="s">
        <v>268</v>
      </c>
      <c r="K11" t="s">
        <v>3853</v>
      </c>
      <c r="L11" t="s">
        <v>77</v>
      </c>
      <c r="M11" t="s">
        <v>575</v>
      </c>
      <c r="N11">
        <v>76618520</v>
      </c>
      <c r="O11" t="s">
        <v>593</v>
      </c>
      <c r="P11">
        <v>10004345</v>
      </c>
      <c r="Q11" t="s">
        <v>80</v>
      </c>
      <c r="R11" t="s">
        <v>79</v>
      </c>
      <c r="S11" t="s">
        <v>3854</v>
      </c>
      <c r="T11" t="s">
        <v>3855</v>
      </c>
      <c r="U11" t="s">
        <v>1245</v>
      </c>
      <c r="V11" t="s">
        <v>3856</v>
      </c>
      <c r="W11" t="s">
        <v>101</v>
      </c>
      <c r="X11" t="s">
        <v>102</v>
      </c>
      <c r="Y11">
        <v>996</v>
      </c>
      <c r="Z11">
        <v>0</v>
      </c>
      <c r="AA11">
        <v>61202</v>
      </c>
      <c r="AB11" t="s">
        <v>3857</v>
      </c>
      <c r="AC11" t="s">
        <v>1349</v>
      </c>
    </row>
    <row r="12" spans="1:29">
      <c r="A12" t="s">
        <v>4181</v>
      </c>
      <c r="B12">
        <v>2</v>
      </c>
      <c r="C12">
        <v>44763</v>
      </c>
      <c r="D12">
        <v>30</v>
      </c>
      <c r="E12">
        <v>0.875</v>
      </c>
      <c r="F12" t="s">
        <v>136</v>
      </c>
      <c r="G12" t="s">
        <v>634</v>
      </c>
      <c r="H12" t="s">
        <v>713</v>
      </c>
      <c r="I12" t="s">
        <v>143</v>
      </c>
      <c r="J12" t="s">
        <v>268</v>
      </c>
      <c r="K12" t="s">
        <v>4182</v>
      </c>
      <c r="L12" t="s">
        <v>77</v>
      </c>
      <c r="M12" t="s">
        <v>650</v>
      </c>
      <c r="N12">
        <v>80186300</v>
      </c>
      <c r="O12" t="s">
        <v>521</v>
      </c>
      <c r="P12">
        <v>10000359</v>
      </c>
      <c r="Q12" t="s">
        <v>138</v>
      </c>
      <c r="R12" t="s">
        <v>79</v>
      </c>
      <c r="S12" t="s">
        <v>4183</v>
      </c>
      <c r="T12" t="s">
        <v>4184</v>
      </c>
      <c r="U12" t="s">
        <v>4185</v>
      </c>
      <c r="W12" t="s">
        <v>101</v>
      </c>
      <c r="X12" t="s">
        <v>102</v>
      </c>
      <c r="Y12">
        <v>646.20000000000005</v>
      </c>
      <c r="Z12">
        <v>0</v>
      </c>
      <c r="AA12" t="s">
        <v>4186</v>
      </c>
      <c r="AB12" t="s">
        <v>2932</v>
      </c>
      <c r="AC12" t="s">
        <v>39</v>
      </c>
    </row>
    <row r="13" spans="1:29">
      <c r="A13" t="s">
        <v>4187</v>
      </c>
      <c r="B13">
        <v>2</v>
      </c>
      <c r="C13">
        <v>44763</v>
      </c>
      <c r="D13">
        <v>30</v>
      </c>
      <c r="E13">
        <v>0.35416666666666669</v>
      </c>
      <c r="F13" t="s">
        <v>78</v>
      </c>
      <c r="G13" t="s">
        <v>634</v>
      </c>
      <c r="H13" t="s">
        <v>713</v>
      </c>
      <c r="I13" t="s">
        <v>116</v>
      </c>
      <c r="J13" t="s">
        <v>268</v>
      </c>
      <c r="K13" t="s">
        <v>4188</v>
      </c>
      <c r="L13" t="s">
        <v>77</v>
      </c>
      <c r="M13" t="s">
        <v>705</v>
      </c>
      <c r="N13">
        <v>76057769</v>
      </c>
      <c r="O13" t="s">
        <v>469</v>
      </c>
      <c r="P13">
        <v>10003478</v>
      </c>
      <c r="Q13" t="s">
        <v>138</v>
      </c>
      <c r="R13" t="s">
        <v>110</v>
      </c>
      <c r="S13" t="s">
        <v>4189</v>
      </c>
      <c r="T13" t="s">
        <v>4190</v>
      </c>
      <c r="U13" t="s">
        <v>4191</v>
      </c>
      <c r="V13" t="s">
        <v>4192</v>
      </c>
      <c r="W13" t="s">
        <v>101</v>
      </c>
      <c r="X13" t="s">
        <v>1518</v>
      </c>
      <c r="Y13">
        <v>344</v>
      </c>
      <c r="Z13">
        <v>0</v>
      </c>
      <c r="AA13">
        <v>4192722</v>
      </c>
      <c r="AB13" t="s">
        <v>2215</v>
      </c>
      <c r="AC13" t="s">
        <v>39</v>
      </c>
    </row>
    <row r="14" spans="1:29">
      <c r="A14" t="s">
        <v>4278</v>
      </c>
      <c r="B14">
        <v>2</v>
      </c>
      <c r="C14">
        <v>44686</v>
      </c>
      <c r="D14">
        <v>19</v>
      </c>
      <c r="E14">
        <v>4.1666666666666664E-2</v>
      </c>
      <c r="F14" t="s">
        <v>136</v>
      </c>
      <c r="G14" t="s">
        <v>27</v>
      </c>
      <c r="H14" t="s">
        <v>677</v>
      </c>
      <c r="I14" t="s">
        <v>116</v>
      </c>
      <c r="J14" t="s">
        <v>117</v>
      </c>
      <c r="K14" t="s">
        <v>1168</v>
      </c>
      <c r="L14" t="s">
        <v>77</v>
      </c>
      <c r="M14" t="s">
        <v>706</v>
      </c>
      <c r="N14">
        <v>81145500</v>
      </c>
      <c r="O14" t="s">
        <v>513</v>
      </c>
      <c r="P14">
        <v>10000521</v>
      </c>
      <c r="Q14" t="s">
        <v>111</v>
      </c>
      <c r="R14" t="s">
        <v>585</v>
      </c>
      <c r="S14" t="s">
        <v>4279</v>
      </c>
      <c r="T14" t="s">
        <v>4275</v>
      </c>
      <c r="U14" t="s">
        <v>4276</v>
      </c>
      <c r="V14" t="s">
        <v>4277</v>
      </c>
      <c r="W14" t="s">
        <v>101</v>
      </c>
      <c r="X14" t="s">
        <v>129</v>
      </c>
      <c r="Y14">
        <v>2.1</v>
      </c>
      <c r="Z14">
        <v>13918.800000000001</v>
      </c>
      <c r="AA14" t="s">
        <v>2364</v>
      </c>
      <c r="AB14" t="s">
        <v>2365</v>
      </c>
      <c r="AC14" t="s">
        <v>1349</v>
      </c>
    </row>
    <row r="15" spans="1:29">
      <c r="A15" t="s">
        <v>4273</v>
      </c>
      <c r="B15">
        <v>2</v>
      </c>
      <c r="C15">
        <v>44686</v>
      </c>
      <c r="D15">
        <v>19</v>
      </c>
      <c r="E15">
        <v>4.1666666666666664E-2</v>
      </c>
      <c r="F15" t="s">
        <v>136</v>
      </c>
      <c r="G15" t="s">
        <v>27</v>
      </c>
      <c r="H15" t="s">
        <v>677</v>
      </c>
      <c r="I15" t="s">
        <v>116</v>
      </c>
      <c r="J15" t="s">
        <v>117</v>
      </c>
      <c r="K15" t="s">
        <v>1168</v>
      </c>
      <c r="L15" t="s">
        <v>77</v>
      </c>
      <c r="M15" t="s">
        <v>671</v>
      </c>
      <c r="N15">
        <v>76443294</v>
      </c>
      <c r="O15" t="s">
        <v>155</v>
      </c>
      <c r="P15">
        <v>10000591</v>
      </c>
      <c r="Q15" t="s">
        <v>111</v>
      </c>
      <c r="R15" t="s">
        <v>585</v>
      </c>
      <c r="S15" t="s">
        <v>4274</v>
      </c>
      <c r="T15" t="s">
        <v>4275</v>
      </c>
      <c r="U15" t="s">
        <v>4276</v>
      </c>
      <c r="V15" t="s">
        <v>4277</v>
      </c>
      <c r="W15" t="s">
        <v>101</v>
      </c>
      <c r="X15" t="s">
        <v>129</v>
      </c>
      <c r="Y15">
        <v>2</v>
      </c>
      <c r="Z15">
        <v>5530</v>
      </c>
      <c r="AA15" t="s">
        <v>2364</v>
      </c>
      <c r="AB15" t="s">
        <v>2365</v>
      </c>
      <c r="AC15" t="s">
        <v>1349</v>
      </c>
    </row>
    <row r="16" spans="1:29">
      <c r="A16" t="s">
        <v>4286</v>
      </c>
      <c r="B16">
        <v>2</v>
      </c>
      <c r="C16">
        <v>44686</v>
      </c>
      <c r="D16">
        <v>19</v>
      </c>
      <c r="E16">
        <v>4.1666666666666664E-2</v>
      </c>
      <c r="F16" t="s">
        <v>136</v>
      </c>
      <c r="G16" t="s">
        <v>27</v>
      </c>
      <c r="H16" t="s">
        <v>677</v>
      </c>
      <c r="I16" t="s">
        <v>116</v>
      </c>
      <c r="J16" t="s">
        <v>117</v>
      </c>
      <c r="K16" t="s">
        <v>1168</v>
      </c>
      <c r="L16" t="s">
        <v>77</v>
      </c>
      <c r="M16" t="s">
        <v>742</v>
      </c>
      <c r="N16">
        <v>76006727</v>
      </c>
      <c r="O16" t="s">
        <v>509</v>
      </c>
      <c r="P16">
        <v>10003596</v>
      </c>
      <c r="Q16" t="s">
        <v>111</v>
      </c>
      <c r="R16" t="s">
        <v>585</v>
      </c>
      <c r="S16" t="s">
        <v>4279</v>
      </c>
      <c r="T16" t="s">
        <v>4275</v>
      </c>
      <c r="U16" t="s">
        <v>4276</v>
      </c>
      <c r="V16" t="s">
        <v>4277</v>
      </c>
      <c r="W16" t="s">
        <v>101</v>
      </c>
      <c r="X16" t="s">
        <v>129</v>
      </c>
      <c r="Y16">
        <v>540</v>
      </c>
      <c r="Z16">
        <v>2010690</v>
      </c>
      <c r="AA16" t="s">
        <v>2364</v>
      </c>
      <c r="AB16" t="s">
        <v>2365</v>
      </c>
      <c r="AC16" t="s">
        <v>1349</v>
      </c>
    </row>
    <row r="17" spans="1:29">
      <c r="A17" t="s">
        <v>4281</v>
      </c>
      <c r="B17">
        <v>2</v>
      </c>
      <c r="C17">
        <v>44686</v>
      </c>
      <c r="D17">
        <v>19</v>
      </c>
      <c r="E17">
        <v>4.1666666666666664E-2</v>
      </c>
      <c r="F17" t="s">
        <v>136</v>
      </c>
      <c r="G17" t="s">
        <v>27</v>
      </c>
      <c r="H17" t="s">
        <v>677</v>
      </c>
      <c r="I17" t="s">
        <v>116</v>
      </c>
      <c r="J17" t="s">
        <v>117</v>
      </c>
      <c r="K17" t="s">
        <v>1168</v>
      </c>
      <c r="L17" t="s">
        <v>77</v>
      </c>
      <c r="M17" t="s">
        <v>705</v>
      </c>
      <c r="N17">
        <v>76057769</v>
      </c>
      <c r="O17" t="s">
        <v>469</v>
      </c>
      <c r="P17">
        <v>10003478</v>
      </c>
      <c r="Q17" t="s">
        <v>111</v>
      </c>
      <c r="R17" t="s">
        <v>585</v>
      </c>
      <c r="S17" t="s">
        <v>4279</v>
      </c>
      <c r="T17" t="s">
        <v>4275</v>
      </c>
      <c r="U17" t="s">
        <v>4282</v>
      </c>
      <c r="V17" t="s">
        <v>4277</v>
      </c>
      <c r="W17" t="s">
        <v>101</v>
      </c>
      <c r="X17" t="s">
        <v>129</v>
      </c>
      <c r="Y17">
        <v>48</v>
      </c>
      <c r="Z17">
        <v>456600</v>
      </c>
      <c r="AA17" t="s">
        <v>2364</v>
      </c>
      <c r="AB17" t="s">
        <v>2365</v>
      </c>
      <c r="AC17" t="s">
        <v>1349</v>
      </c>
    </row>
    <row r="18" spans="1:29">
      <c r="A18" t="s">
        <v>3361</v>
      </c>
      <c r="B18">
        <v>2</v>
      </c>
      <c r="C18">
        <v>44686</v>
      </c>
      <c r="D18">
        <v>23</v>
      </c>
      <c r="E18">
        <v>4.1666666666666664E-2</v>
      </c>
      <c r="F18" t="s">
        <v>136</v>
      </c>
      <c r="G18" t="s">
        <v>27</v>
      </c>
      <c r="H18" t="s">
        <v>677</v>
      </c>
      <c r="I18" t="s">
        <v>116</v>
      </c>
      <c r="J18" t="s">
        <v>117</v>
      </c>
      <c r="K18" t="s">
        <v>1168</v>
      </c>
      <c r="L18" t="s">
        <v>108</v>
      </c>
      <c r="M18" t="s">
        <v>1029</v>
      </c>
      <c r="N18">
        <v>967555800</v>
      </c>
      <c r="O18" t="s">
        <v>148</v>
      </c>
      <c r="P18">
        <v>13030495</v>
      </c>
      <c r="Q18" t="s">
        <v>111</v>
      </c>
      <c r="R18" t="s">
        <v>627</v>
      </c>
      <c r="S18" t="s">
        <v>3362</v>
      </c>
      <c r="T18" t="s">
        <v>2361</v>
      </c>
      <c r="U18" t="s">
        <v>3363</v>
      </c>
      <c r="V18" t="s">
        <v>3364</v>
      </c>
      <c r="W18" t="s">
        <v>101</v>
      </c>
      <c r="X18" t="s">
        <v>129</v>
      </c>
      <c r="Y18">
        <v>1250</v>
      </c>
      <c r="Z18">
        <v>1433375</v>
      </c>
      <c r="AA18" t="s">
        <v>2364</v>
      </c>
      <c r="AB18" t="s">
        <v>2365</v>
      </c>
      <c r="AC18" t="s">
        <v>1349</v>
      </c>
    </row>
    <row r="19" spans="1:29">
      <c r="A19" t="s">
        <v>2359</v>
      </c>
      <c r="B19">
        <v>2</v>
      </c>
      <c r="C19">
        <v>44686</v>
      </c>
      <c r="D19">
        <v>23</v>
      </c>
      <c r="E19">
        <v>4.1666666666666664E-2</v>
      </c>
      <c r="F19" t="s">
        <v>136</v>
      </c>
      <c r="G19" t="s">
        <v>27</v>
      </c>
      <c r="H19" t="s">
        <v>677</v>
      </c>
      <c r="I19" t="s">
        <v>116</v>
      </c>
      <c r="J19" t="s">
        <v>117</v>
      </c>
      <c r="K19" t="s">
        <v>1168</v>
      </c>
      <c r="L19" t="s">
        <v>108</v>
      </c>
      <c r="M19" t="s">
        <v>1029</v>
      </c>
      <c r="N19">
        <v>967555800</v>
      </c>
      <c r="O19" t="s">
        <v>769</v>
      </c>
      <c r="P19">
        <v>13030092</v>
      </c>
      <c r="Q19" t="s">
        <v>111</v>
      </c>
      <c r="R19" t="s">
        <v>627</v>
      </c>
      <c r="S19" t="s">
        <v>2360</v>
      </c>
      <c r="T19" t="s">
        <v>2361</v>
      </c>
      <c r="U19" t="s">
        <v>2362</v>
      </c>
      <c r="V19" t="s">
        <v>2363</v>
      </c>
      <c r="W19" t="s">
        <v>101</v>
      </c>
      <c r="X19" t="s">
        <v>129</v>
      </c>
      <c r="Y19">
        <v>1850</v>
      </c>
      <c r="Z19">
        <v>4364337.0786516853</v>
      </c>
      <c r="AA19" t="s">
        <v>2364</v>
      </c>
      <c r="AB19" t="s">
        <v>2365</v>
      </c>
      <c r="AC19" t="s">
        <v>1349</v>
      </c>
    </row>
    <row r="20" spans="1:29">
      <c r="A20" t="s">
        <v>4280</v>
      </c>
      <c r="B20">
        <v>2</v>
      </c>
      <c r="C20">
        <v>44686</v>
      </c>
      <c r="D20">
        <v>23</v>
      </c>
      <c r="E20">
        <v>0.96736111111111101</v>
      </c>
      <c r="F20" t="s">
        <v>136</v>
      </c>
      <c r="G20" t="s">
        <v>27</v>
      </c>
      <c r="H20" t="s">
        <v>677</v>
      </c>
      <c r="I20" t="s">
        <v>116</v>
      </c>
      <c r="J20" t="s">
        <v>117</v>
      </c>
      <c r="K20" t="s">
        <v>1168</v>
      </c>
      <c r="L20" t="s">
        <v>77</v>
      </c>
      <c r="M20" t="s">
        <v>706</v>
      </c>
      <c r="N20">
        <v>81145500</v>
      </c>
      <c r="O20" t="s">
        <v>897</v>
      </c>
      <c r="P20">
        <v>10004293</v>
      </c>
      <c r="Q20" t="s">
        <v>111</v>
      </c>
      <c r="R20" t="s">
        <v>585</v>
      </c>
      <c r="S20" t="s">
        <v>4279</v>
      </c>
      <c r="T20" t="s">
        <v>4275</v>
      </c>
      <c r="U20" t="s">
        <v>4276</v>
      </c>
      <c r="V20" t="s">
        <v>4277</v>
      </c>
      <c r="W20" t="s">
        <v>101</v>
      </c>
      <c r="X20" t="s">
        <v>129</v>
      </c>
      <c r="Y20">
        <v>17.04</v>
      </c>
      <c r="Z20">
        <v>104980.03199999999</v>
      </c>
      <c r="AA20" t="s">
        <v>2364</v>
      </c>
      <c r="AB20" t="s">
        <v>2365</v>
      </c>
      <c r="AC20" t="s">
        <v>1349</v>
      </c>
    </row>
    <row r="21" spans="1:29">
      <c r="A21" t="s">
        <v>4283</v>
      </c>
      <c r="B21">
        <v>2</v>
      </c>
      <c r="C21">
        <v>44686</v>
      </c>
      <c r="D21">
        <v>23</v>
      </c>
      <c r="E21">
        <v>4.1666666666666664E-2</v>
      </c>
      <c r="F21" t="s">
        <v>136</v>
      </c>
      <c r="G21" t="s">
        <v>27</v>
      </c>
      <c r="H21" t="s">
        <v>677</v>
      </c>
      <c r="I21" t="s">
        <v>116</v>
      </c>
      <c r="J21" t="s">
        <v>117</v>
      </c>
      <c r="K21" t="s">
        <v>4284</v>
      </c>
      <c r="L21" t="s">
        <v>77</v>
      </c>
      <c r="M21" t="s">
        <v>705</v>
      </c>
      <c r="N21">
        <v>76057769</v>
      </c>
      <c r="O21" t="s">
        <v>895</v>
      </c>
      <c r="P21">
        <v>10000520</v>
      </c>
      <c r="Q21" t="s">
        <v>111</v>
      </c>
      <c r="R21" t="s">
        <v>585</v>
      </c>
      <c r="S21" t="s">
        <v>4279</v>
      </c>
      <c r="T21" t="s">
        <v>2361</v>
      </c>
      <c r="U21" t="s">
        <v>4285</v>
      </c>
      <c r="V21" t="s">
        <v>129</v>
      </c>
      <c r="W21" t="s">
        <v>101</v>
      </c>
      <c r="X21" t="s">
        <v>129</v>
      </c>
      <c r="Y21">
        <v>315</v>
      </c>
      <c r="Z21">
        <v>2996437.5</v>
      </c>
      <c r="AA21" t="s">
        <v>2364</v>
      </c>
      <c r="AB21" t="s">
        <v>2365</v>
      </c>
      <c r="AC21" t="s">
        <v>1349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f5be09b-50a7-4811-bfd5-c75abec69f2d">
      <UserInfo>
        <DisplayName>Aseguramiento Calidad planta 2 Ways Members</DisplayName>
        <AccountId>8</AccountId>
        <AccountType/>
      </UserInfo>
      <UserInfo>
        <DisplayName>Raiza Gonzalez (Chile)</DisplayName>
        <AccountId>13</AccountId>
        <AccountType/>
      </UserInfo>
    </SharedWithUsers>
    <TaxCatchAll xmlns="df5be09b-50a7-4811-bfd5-c75abec69f2d" xsi:nil="true"/>
    <lcf76f155ced4ddcb4097134ff3c332f xmlns="3d7eb0f4-3e40-44e6-849a-dd193727fd30">
      <Terms xmlns="http://schemas.microsoft.com/office/infopath/2007/PartnerControls"/>
    </lcf76f155ced4ddcb4097134ff3c332f>
    <_Flow_SignoffStatus xmlns="3d7eb0f4-3e40-44e6-849a-dd193727fd3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A609C485BFEC2F44B9DE009470321B5B" ma:contentTypeVersion="17" ma:contentTypeDescription="Crear nuevo documento." ma:contentTypeScope="" ma:versionID="0f8c715d36c5f0b2fc3b969876fabdd8">
  <xsd:schema xmlns:xsd="http://www.w3.org/2001/XMLSchema" xmlns:xs="http://www.w3.org/2001/XMLSchema" xmlns:p="http://schemas.microsoft.com/office/2006/metadata/properties" xmlns:ns2="3d7eb0f4-3e40-44e6-849a-dd193727fd30" xmlns:ns3="df5be09b-50a7-4811-bfd5-c75abec69f2d" targetNamespace="http://schemas.microsoft.com/office/2006/metadata/properties" ma:root="true" ma:fieldsID="3d451764aa0a7e358730212d337f2712" ns2:_="" ns3:_="">
    <xsd:import namespace="3d7eb0f4-3e40-44e6-849a-dd193727fd30"/>
    <xsd:import namespace="df5be09b-50a7-4811-bfd5-c75abec69f2d"/>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2:MediaServiceAutoTags" minOccurs="0"/>
                <xsd:element ref="ns2:MediaServiceLocation"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_Flow_Signoff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7eb0f4-3e40-44e6-849a-dd193727fd3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lcf76f155ced4ddcb4097134ff3c332f" ma:index="20" nillable="true" ma:taxonomy="true" ma:internalName="lcf76f155ced4ddcb4097134ff3c332f" ma:taxonomyFieldName="MediaServiceImageTags" ma:displayName="Etiquetas de imagen" ma:readOnly="false" ma:fieldId="{5cf76f15-5ced-4ddc-b409-7134ff3c332f}" ma:taxonomyMulti="true" ma:sspId="cd3d5d5d-fde7-4fdb-a831-fd453e1daa6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_Flow_SignoffStatus" ma:index="24" nillable="true" ma:displayName="Sign-off status" ma:internalName="Sign_x002d_off_x0020_status">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5be09b-50a7-4811-bfd5-c75abec69f2d" elementFormDefault="qualified">
    <xsd:import namespace="http://schemas.microsoft.com/office/2006/documentManagement/types"/>
    <xsd:import namespace="http://schemas.microsoft.com/office/infopath/2007/PartnerControls"/>
    <xsd:element name="SharedWithUsers" ma:index="17"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Detalles de uso compartido" ma:internalName="SharedWithDetails" ma:readOnly="true">
      <xsd:simpleType>
        <xsd:restriction base="dms:Note">
          <xsd:maxLength value="255"/>
        </xsd:restriction>
      </xsd:simpleType>
    </xsd:element>
    <xsd:element name="TaxCatchAll" ma:index="21" nillable="true" ma:displayName="Taxonomy Catch All Column" ma:hidden="true" ma:list="{695844c8-6dae-44b2-b305-45f98ff5cd67}" ma:internalName="TaxCatchAll" ma:showField="CatchAllData" ma:web="df5be09b-50a7-4811-bfd5-c75abec69f2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8D58997-292A-4C93-B53C-B682C81023F2}">
  <ds:schemaRefs>
    <ds:schemaRef ds:uri="http://www.w3.org/XML/1998/namespace"/>
    <ds:schemaRef ds:uri="http://schemas.openxmlformats.org/package/2006/metadata/core-properties"/>
    <ds:schemaRef ds:uri="http://schemas.microsoft.com/office/2006/documentManagement/types"/>
    <ds:schemaRef ds:uri="http://purl.org/dc/elements/1.1/"/>
    <ds:schemaRef ds:uri="3d7eb0f4-3e40-44e6-849a-dd193727fd30"/>
    <ds:schemaRef ds:uri="http://schemas.microsoft.com/office/infopath/2007/PartnerControls"/>
    <ds:schemaRef ds:uri="http://purl.org/dc/dcmitype/"/>
    <ds:schemaRef ds:uri="df5be09b-50a7-4811-bfd5-c75abec69f2d"/>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B26831BE-E7D3-4EE9-ACA3-A8BACCB8B9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7eb0f4-3e40-44e6-849a-dd193727fd30"/>
    <ds:schemaRef ds:uri="df5be09b-50a7-4811-bfd5-c75abec69f2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5B85F05-DEB7-4379-86F9-0CA8B437DFCB}">
  <ds:schemaRefs>
    <ds:schemaRef ds:uri="http://schemas.microsoft.com/sharepoint/v3/contenttype/forms"/>
  </ds:schemaRefs>
</ds:datastoreItem>
</file>

<file path=customXml/itemProps4.xml><?xml version="1.0" encoding="utf-8"?>
<ds:datastoreItem xmlns:ds="http://schemas.openxmlformats.org/officeDocument/2006/customXml" ds:itemID="{629791C7-A0AD-454D-8E83-6E0091217E8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6</vt:i4>
      </vt:variant>
    </vt:vector>
  </HeadingPairs>
  <TitlesOfParts>
    <vt:vector size="22" baseType="lpstr">
      <vt:lpstr>CONTROL DEL CAMBIO</vt:lpstr>
      <vt:lpstr>Auxiliar</vt:lpstr>
      <vt:lpstr>Seleccion</vt:lpstr>
      <vt:lpstr>Bloqueados</vt:lpstr>
      <vt:lpstr>Hoja3</vt:lpstr>
      <vt:lpstr>EExtraños</vt:lpstr>
      <vt:lpstr>BD Maestra 130300932020- 2021</vt:lpstr>
      <vt:lpstr>Hoja2</vt:lpstr>
      <vt:lpstr>Ingresos</vt:lpstr>
      <vt:lpstr>Hoja5</vt:lpstr>
      <vt:lpstr>Informe</vt:lpstr>
      <vt:lpstr>Reporte</vt:lpstr>
      <vt:lpstr>Hoja1</vt:lpstr>
      <vt:lpstr>Hoja4</vt:lpstr>
      <vt:lpstr>Gesión</vt:lpstr>
      <vt:lpstr>Hoja6</vt:lpstr>
      <vt:lpstr>Informe!Área_de_impresión</vt:lpstr>
      <vt:lpstr>Ingresos!Área_de_impresión</vt:lpstr>
      <vt:lpstr>Reporte!Área_de_impresión</vt:lpstr>
      <vt:lpstr>Informe!Imag</vt:lpstr>
      <vt:lpstr>P_Bolleria</vt:lpstr>
      <vt:lpstr>P_Bollería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Edson Orozco (Chile)</dc:creator>
  <cp:keywords/>
  <dc:description/>
  <cp:lastModifiedBy>Edson Orozco (Chile)</cp:lastModifiedBy>
  <cp:revision/>
  <dcterms:created xsi:type="dcterms:W3CDTF">2022-04-06T18:11:39Z</dcterms:created>
  <dcterms:modified xsi:type="dcterms:W3CDTF">2024-10-01T18:53:27Z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0x010100A609C485BFEC2F44B9DE009470321B5B</vt:lpwstr>
  </property>
  <property fmtid="{D5CDD505-2E9C-101B-9397-08002B2CF9AE}" pid="3" name="MediaServiceImageTags">
    <vt:lpwstr/>
  </property>
  <property fmtid="{D5CDD505-2E9C-101B-9397-08002B2CF9AE}" pid="4" name="MSIP_Label_b24820e8-223f-4ed2-bd95-81c83f641284_Enabled">
    <vt:lpwstr>true</vt:lpwstr>
  </property>
  <property fmtid="{D5CDD505-2E9C-101B-9397-08002B2CF9AE}" pid="5" name="MSIP_Label_b24820e8-223f-4ed2-bd95-81c83f641284_SetDate">
    <vt:lpwstr>2023-05-29T15:37:32Z</vt:lpwstr>
  </property>
  <property fmtid="{D5CDD505-2E9C-101B-9397-08002B2CF9AE}" pid="6" name="MSIP_Label_b24820e8-223f-4ed2-bd95-81c83f641284_Method">
    <vt:lpwstr>Standard</vt:lpwstr>
  </property>
  <property fmtid="{D5CDD505-2E9C-101B-9397-08002B2CF9AE}" pid="7" name="MSIP_Label_b24820e8-223f-4ed2-bd95-81c83f641284_Name">
    <vt:lpwstr>b24820e8-223f-4ed2-bd95-81c83f641284</vt:lpwstr>
  </property>
  <property fmtid="{D5CDD505-2E9C-101B-9397-08002B2CF9AE}" pid="8" name="MSIP_Label_b24820e8-223f-4ed2-bd95-81c83f641284_SiteId">
    <vt:lpwstr>3cbcc3d3-094d-4006-9849-0d11d61f484d</vt:lpwstr>
  </property>
  <property fmtid="{D5CDD505-2E9C-101B-9397-08002B2CF9AE}" pid="9" name="MSIP_Label_b24820e8-223f-4ed2-bd95-81c83f641284_ActionId">
    <vt:lpwstr>50c9c02e-0bff-4037-9b60-1008fa9be765</vt:lpwstr>
  </property>
  <property fmtid="{D5CDD505-2E9C-101B-9397-08002B2CF9AE}" pid="10" name="MSIP_Label_b24820e8-223f-4ed2-bd95-81c83f641284_ContentBits">
    <vt:lpwstr>0</vt:lpwstr>
  </property>
</Properties>
</file>